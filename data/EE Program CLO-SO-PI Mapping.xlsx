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SCodex\Codex-CIP-CME-x86RVios\data\"/>
    </mc:Choice>
  </mc:AlternateContent>
  <xr:revisionPtr revIDLastSave="0" documentId="13_ncr:1_{01C9023F-1F2D-4586-A129-0F3154CA067C}" xr6:coauthVersionLast="47" xr6:coauthVersionMax="47" xr10:uidLastSave="{00000000-0000-0000-0000-000000000000}"/>
  <bookViews>
    <workbookView xWindow="-120" yWindow="-120" windowWidth="29040" windowHeight="15720" firstSheet="1" activeTab="7" xr2:uid="{00000000-000D-0000-FFFF-FFFF00000000}"/>
  </bookViews>
  <sheets>
    <sheet name="PIs" sheetId="1" r:id="rId1"/>
    <sheet name="Mapping" sheetId="2" r:id="rId2"/>
    <sheet name="EE 101" sheetId="3" r:id="rId3"/>
    <sheet name="EE 201" sheetId="4" r:id="rId4"/>
    <sheet name="EE 211" sheetId="5" r:id="rId5"/>
    <sheet name="EE 221" sheetId="6" r:id="rId6"/>
    <sheet name="EE 231" sheetId="7" r:id="rId7"/>
    <sheet name="EE 202" sheetId="8" r:id="rId8"/>
    <sheet name="EE 312" sheetId="9" r:id="rId9"/>
    <sheet name="EE 322" sheetId="10" r:id="rId10"/>
    <sheet name="EE 341" sheetId="11" r:id="rId11"/>
    <sheet name="EE 332" sheetId="12" r:id="rId12"/>
    <sheet name="EE 351" sheetId="13" r:id="rId13"/>
    <sheet name="EE 305" sheetId="14" r:id="rId14"/>
    <sheet name="EE 304" sheetId="15" r:id="rId15"/>
    <sheet name="EE 403" sheetId="16" r:id="rId16"/>
    <sheet name="EE 490" sheetId="17" r:id="rId17"/>
    <sheet name="EE 492" sheetId="18" r:id="rId18"/>
    <sheet name="EE 414" sheetId="19" r:id="rId19"/>
    <sheet name="EE 415" sheetId="20" r:id="rId20"/>
    <sheet name="EE 416" sheetId="21" r:id="rId21"/>
    <sheet name="EE 417" sheetId="33" r:id="rId22"/>
    <sheet name="EE 423" sheetId="22" r:id="rId23"/>
    <sheet name="EE 424" sheetId="23" r:id="rId24"/>
    <sheet name="EE 425" sheetId="24" r:id="rId25"/>
    <sheet name="EE 426" sheetId="25" r:id="rId26"/>
    <sheet name="EE 433" sheetId="26" r:id="rId27"/>
    <sheet name="EE 434" sheetId="27" r:id="rId28"/>
    <sheet name="EE 435" sheetId="28" r:id="rId29"/>
    <sheet name="EE 436" sheetId="29" r:id="rId30"/>
    <sheet name="EE 442" sheetId="30" r:id="rId31"/>
    <sheet name="EE 454" sheetId="34" r:id="rId32"/>
    <sheet name="EE 456" sheetId="31" r:id="rId33"/>
    <sheet name="EE 499" sheetId="32" r:id="rId34"/>
  </sheets>
  <definedNames>
    <definedName name="CPLO" localSheetId="2">'EE 101'!$E$15:$K$15</definedName>
    <definedName name="CPLO" localSheetId="3">'EE 201'!$E$15:$K$15</definedName>
    <definedName name="CPLO" localSheetId="7">'EE 202'!$E$15:$K$15</definedName>
    <definedName name="CPLO" localSheetId="4">'EE 211'!$E$15:$K$15</definedName>
    <definedName name="CPLO" localSheetId="5">'EE 221'!$E$15:$K$15</definedName>
    <definedName name="CPLO" localSheetId="6">'EE 231'!$E$15:$K$15</definedName>
    <definedName name="CPLO" localSheetId="14">'EE 304'!$E$15:$K$15</definedName>
    <definedName name="CPLO" localSheetId="13">'EE 305'!$E$15:$K$15</definedName>
    <definedName name="CPLO" localSheetId="8">'EE 312'!$E$15:$K$15</definedName>
    <definedName name="CPLO" localSheetId="9">'EE 322'!$E$15:$K$15</definedName>
    <definedName name="CPLO" localSheetId="11">'EE 332'!$E$15:$K$15</definedName>
    <definedName name="CPLO" localSheetId="10">'EE 341'!$E$15:$K$15</definedName>
    <definedName name="CPLO" localSheetId="12">'EE 351'!$E$15:$K$15</definedName>
    <definedName name="CPLO" localSheetId="15">'EE 403'!$E$15:$K$15</definedName>
    <definedName name="CPLO" localSheetId="18">'EE 414'!$E$15:$K$15</definedName>
    <definedName name="CPLO" localSheetId="19">'EE 415'!$E$15:$K$15</definedName>
    <definedName name="CPLO" localSheetId="20">'EE 416'!$E$15:$K$15</definedName>
    <definedName name="CPLO" localSheetId="21">'EE 417'!$E$15:$K$15</definedName>
    <definedName name="CPLO" localSheetId="22">'EE 423'!$E$15:$K$15</definedName>
    <definedName name="CPLO" localSheetId="23">'EE 424'!$E$15:$K$15</definedName>
    <definedName name="CPLO" localSheetId="24">'EE 425'!$E$15:$K$15</definedName>
    <definedName name="CPLO" localSheetId="25">'EE 426'!$E$15:$K$15</definedName>
    <definedName name="CPLO" localSheetId="26">'EE 433'!$E$15:$K$15</definedName>
    <definedName name="CPLO" localSheetId="27">'EE 434'!$E$15:$K$15</definedName>
    <definedName name="CPLO" localSheetId="28">'EE 435'!$E$15:$K$15</definedName>
    <definedName name="CPLO" localSheetId="29">'EE 436'!$E$15:$K$15</definedName>
    <definedName name="CPLO" localSheetId="30">'EE 442'!$E$15:$K$15</definedName>
    <definedName name="CPLO" localSheetId="31">'EE 454'!$E$15:$K$15</definedName>
    <definedName name="CPLO" localSheetId="32">'EE 456'!$E$15:$K$15</definedName>
    <definedName name="CPLO" localSheetId="16">'EE 490'!$E$16:$K$16</definedName>
    <definedName name="CPLO" localSheetId="17">'EE 492'!$E$15:$K$15</definedName>
    <definedName name="CPLO" localSheetId="33">'EE 499'!$E$15:$K$15</definedName>
    <definedName name="CPLO">#REF!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6" roundtripDataChecksum="D6TsqcLW4KC+hjYZi2b1rsXS5MRs0hSyRyyfnMmnD1s="/>
    </ext>
  </extLst>
</workbook>
</file>

<file path=xl/calcChain.xml><?xml version="1.0" encoding="utf-8"?>
<calcChain xmlns="http://schemas.openxmlformats.org/spreadsheetml/2006/main">
  <c r="E23" i="2" l="1"/>
  <c r="F23" i="2"/>
  <c r="G23" i="2"/>
  <c r="H23" i="2"/>
  <c r="I23" i="2"/>
  <c r="J23" i="2"/>
  <c r="K23" i="2"/>
  <c r="L23" i="2"/>
  <c r="M23" i="2"/>
  <c r="N23" i="2"/>
  <c r="O23" i="2"/>
  <c r="P23" i="2"/>
  <c r="Q23" i="2"/>
  <c r="R23" i="2"/>
  <c r="S23" i="2"/>
  <c r="T23" i="2"/>
  <c r="U23" i="2"/>
  <c r="D23" i="2"/>
  <c r="C23" i="2"/>
  <c r="E33" i="2"/>
  <c r="F33" i="2"/>
  <c r="G33" i="2"/>
  <c r="H33" i="2"/>
  <c r="I33" i="2"/>
  <c r="J33" i="2"/>
  <c r="K33" i="2"/>
  <c r="L33" i="2"/>
  <c r="M33" i="2"/>
  <c r="N33" i="2"/>
  <c r="O33" i="2"/>
  <c r="P33" i="2"/>
  <c r="Q33" i="2"/>
  <c r="R33" i="2"/>
  <c r="S33" i="2"/>
  <c r="T33" i="2"/>
  <c r="U33" i="2"/>
  <c r="D33" i="2"/>
  <c r="C33" i="2"/>
  <c r="E34" i="2"/>
  <c r="F34" i="2"/>
  <c r="G34" i="2"/>
  <c r="H34" i="2"/>
  <c r="I34" i="2"/>
  <c r="J34" i="2"/>
  <c r="K34" i="2"/>
  <c r="L34" i="2"/>
  <c r="M34" i="2"/>
  <c r="N34" i="2"/>
  <c r="O34" i="2"/>
  <c r="P34" i="2"/>
  <c r="Q34" i="2"/>
  <c r="R34" i="2"/>
  <c r="S34" i="2"/>
  <c r="T34" i="2"/>
  <c r="U34" i="2"/>
  <c r="D34" i="2"/>
  <c r="C34" i="2"/>
  <c r="E35" i="2"/>
  <c r="F35" i="2"/>
  <c r="G35" i="2"/>
  <c r="H35" i="2"/>
  <c r="I35" i="2"/>
  <c r="J35" i="2"/>
  <c r="K35" i="2"/>
  <c r="L35" i="2"/>
  <c r="M35" i="2"/>
  <c r="N35" i="2"/>
  <c r="O35" i="2"/>
  <c r="P35" i="2"/>
  <c r="Q35" i="2"/>
  <c r="R35" i="2"/>
  <c r="S35" i="2"/>
  <c r="T35" i="2"/>
  <c r="U35" i="2"/>
  <c r="D35" i="2"/>
  <c r="C35" i="2"/>
  <c r="U16" i="34"/>
  <c r="Q16" i="34"/>
  <c r="O16" i="34"/>
  <c r="M16" i="34"/>
  <c r="K16" i="34"/>
  <c r="G16" i="34"/>
  <c r="E16" i="34"/>
  <c r="D16" i="34"/>
  <c r="C16" i="34"/>
  <c r="V15" i="34"/>
  <c r="U15" i="34"/>
  <c r="T15" i="34"/>
  <c r="S15" i="34"/>
  <c r="R15" i="34"/>
  <c r="Q15" i="34"/>
  <c r="P15" i="34"/>
  <c r="O15" i="34"/>
  <c r="N15" i="34"/>
  <c r="M15" i="34"/>
  <c r="L15" i="34"/>
  <c r="K15" i="34"/>
  <c r="J15" i="34"/>
  <c r="I15" i="34"/>
  <c r="H15" i="34"/>
  <c r="G15" i="34"/>
  <c r="F15" i="34"/>
  <c r="E15" i="34"/>
  <c r="D15" i="34"/>
  <c r="C15" i="34"/>
  <c r="W14" i="34" a="1"/>
  <c r="W14" i="34" s="1"/>
  <c r="D14" i="34"/>
  <c r="W13" i="34" a="1"/>
  <c r="W13" i="34" s="1"/>
  <c r="D13" i="34"/>
  <c r="W12" i="34"/>
  <c r="W12" i="34" a="1"/>
  <c r="D12" i="34"/>
  <c r="W11" i="34" a="1"/>
  <c r="W11" i="34" s="1"/>
  <c r="D11" i="34"/>
  <c r="W10" i="34"/>
  <c r="W10" i="34" a="1"/>
  <c r="D10" i="34"/>
  <c r="W9" i="34" a="1"/>
  <c r="W9" i="34" s="1"/>
  <c r="D9" i="34"/>
  <c r="W8" i="34" a="1"/>
  <c r="W8" i="34" s="1"/>
  <c r="D8" i="34"/>
  <c r="W7" i="34" a="1"/>
  <c r="W7" i="34" s="1"/>
  <c r="D7" i="34"/>
  <c r="W6" i="34" a="1"/>
  <c r="W6" i="34" s="1"/>
  <c r="D6" i="34"/>
  <c r="W5" i="34"/>
  <c r="W5" i="34" a="1"/>
  <c r="D5" i="34"/>
  <c r="U16" i="33"/>
  <c r="Q16" i="33"/>
  <c r="O16" i="33"/>
  <c r="M16" i="33"/>
  <c r="K16" i="33"/>
  <c r="G16" i="33"/>
  <c r="E16" i="33"/>
  <c r="D16" i="33"/>
  <c r="C16" i="33"/>
  <c r="V15" i="33"/>
  <c r="U15" i="33"/>
  <c r="T15" i="33"/>
  <c r="S15" i="33"/>
  <c r="R15" i="33"/>
  <c r="Q15" i="33"/>
  <c r="P15" i="33"/>
  <c r="O15" i="33"/>
  <c r="N15" i="33"/>
  <c r="M15" i="33"/>
  <c r="L15" i="33"/>
  <c r="K15" i="33"/>
  <c r="J15" i="33"/>
  <c r="I15" i="33"/>
  <c r="H15" i="33"/>
  <c r="G15" i="33"/>
  <c r="F15" i="33"/>
  <c r="E15" i="33"/>
  <c r="D15" i="33"/>
  <c r="C15" i="33"/>
  <c r="W14" i="33" a="1"/>
  <c r="W14" i="33" s="1"/>
  <c r="D14" i="33"/>
  <c r="W13" i="33" a="1"/>
  <c r="W13" i="33" s="1"/>
  <c r="D13" i="33"/>
  <c r="W12" i="33" a="1"/>
  <c r="W12" i="33" s="1"/>
  <c r="D12" i="33"/>
  <c r="W11" i="33" a="1"/>
  <c r="W11" i="33" s="1"/>
  <c r="D11" i="33"/>
  <c r="W10" i="33"/>
  <c r="W10" i="33" a="1"/>
  <c r="D10" i="33"/>
  <c r="W9" i="33" a="1"/>
  <c r="W9" i="33" s="1"/>
  <c r="D9" i="33"/>
  <c r="W8" i="33"/>
  <c r="W8" i="33" a="1"/>
  <c r="D8" i="33"/>
  <c r="W7" i="33" a="1"/>
  <c r="W7" i="33" s="1"/>
  <c r="D7" i="33"/>
  <c r="W6" i="33" a="1"/>
  <c r="W6" i="33" s="1"/>
  <c r="D6" i="33"/>
  <c r="W5" i="33"/>
  <c r="W5" i="33" a="1"/>
  <c r="D5" i="33"/>
  <c r="C15" i="28"/>
  <c r="C16" i="28"/>
  <c r="W15" i="17" a="1"/>
  <c r="W15" i="17" s="1"/>
  <c r="D15" i="17"/>
  <c r="W6" i="4" a="1"/>
  <c r="W6" i="4" s="1"/>
  <c r="W7" i="4" a="1"/>
  <c r="W7" i="4" s="1"/>
  <c r="W8" i="4" a="1"/>
  <c r="W8" i="4" s="1"/>
  <c r="W9" i="4" a="1"/>
  <c r="W9" i="4"/>
  <c r="W10" i="4" a="1"/>
  <c r="W10" i="4" s="1"/>
  <c r="W11" i="4" a="1"/>
  <c r="W11" i="4" s="1"/>
  <c r="W12" i="4" a="1"/>
  <c r="W12" i="4" s="1"/>
  <c r="W13" i="4" a="1"/>
  <c r="W13" i="4"/>
  <c r="W14" i="4" a="1"/>
  <c r="W14" i="4" s="1"/>
  <c r="W6" i="5" a="1"/>
  <c r="W6" i="5" s="1"/>
  <c r="W7" i="5" a="1"/>
  <c r="W7" i="5" s="1"/>
  <c r="W8" i="5" a="1"/>
  <c r="W8" i="5"/>
  <c r="W9" i="5" a="1"/>
  <c r="W9" i="5" s="1"/>
  <c r="W10" i="5" a="1"/>
  <c r="W10" i="5" s="1"/>
  <c r="W11" i="5" a="1"/>
  <c r="W11" i="5" s="1"/>
  <c r="W12" i="5" a="1"/>
  <c r="W12" i="5"/>
  <c r="W13" i="5" a="1"/>
  <c r="W13" i="5" s="1"/>
  <c r="W14" i="5" a="1"/>
  <c r="W14" i="5" s="1"/>
  <c r="W6" i="6" a="1"/>
  <c r="W6" i="6" s="1"/>
  <c r="W7" i="6" a="1"/>
  <c r="W7" i="6"/>
  <c r="W8" i="6" a="1"/>
  <c r="W8" i="6" s="1"/>
  <c r="W9" i="6" a="1"/>
  <c r="W9" i="6" s="1"/>
  <c r="W10" i="6" a="1"/>
  <c r="W10" i="6" s="1"/>
  <c r="W11" i="6" a="1"/>
  <c r="W11" i="6"/>
  <c r="W12" i="6" a="1"/>
  <c r="W12" i="6" s="1"/>
  <c r="W13" i="6" a="1"/>
  <c r="W13" i="6" s="1"/>
  <c r="W14" i="6" a="1"/>
  <c r="W14" i="6" s="1"/>
  <c r="W6" i="7" a="1"/>
  <c r="W6" i="7"/>
  <c r="W7" i="7" a="1"/>
  <c r="W7" i="7" s="1"/>
  <c r="W8" i="7" a="1"/>
  <c r="W8" i="7" s="1"/>
  <c r="W9" i="7" a="1"/>
  <c r="W9" i="7" s="1"/>
  <c r="W10" i="7" a="1"/>
  <c r="W10" i="7"/>
  <c r="W11" i="7" a="1"/>
  <c r="W11" i="7" s="1"/>
  <c r="W12" i="7" a="1"/>
  <c r="W12" i="7" s="1"/>
  <c r="W13" i="7" a="1"/>
  <c r="W13" i="7" s="1"/>
  <c r="W14" i="7" a="1"/>
  <c r="W14" i="7"/>
  <c r="W6" i="8" a="1"/>
  <c r="W6" i="8" s="1"/>
  <c r="W7" i="8" a="1"/>
  <c r="W7" i="8" s="1"/>
  <c r="W8" i="8" a="1"/>
  <c r="W8" i="8" s="1"/>
  <c r="W9" i="8" a="1"/>
  <c r="W9" i="8"/>
  <c r="W10" i="8" a="1"/>
  <c r="W10" i="8" s="1"/>
  <c r="W11" i="8" a="1"/>
  <c r="W11" i="8" s="1"/>
  <c r="W12" i="8" a="1"/>
  <c r="W12" i="8" s="1"/>
  <c r="W13" i="8" a="1"/>
  <c r="W13" i="8" s="1"/>
  <c r="W14" i="8" a="1"/>
  <c r="W14" i="8" s="1"/>
  <c r="W6" i="9" a="1"/>
  <c r="W6" i="9" s="1"/>
  <c r="W7" i="9" a="1"/>
  <c r="W7" i="9" s="1"/>
  <c r="W8" i="9" a="1"/>
  <c r="W8" i="9"/>
  <c r="W9" i="9" a="1"/>
  <c r="W9" i="9" s="1"/>
  <c r="W10" i="9" a="1"/>
  <c r="W10" i="9" s="1"/>
  <c r="W11" i="9" a="1"/>
  <c r="W11" i="9" s="1"/>
  <c r="W12" i="9" a="1"/>
  <c r="W12" i="9"/>
  <c r="W13" i="9" a="1"/>
  <c r="W13" i="9" s="1"/>
  <c r="W14" i="9" a="1"/>
  <c r="W14" i="9" s="1"/>
  <c r="W6" i="10" a="1"/>
  <c r="W6" i="10" s="1"/>
  <c r="W7" i="10" a="1"/>
  <c r="W7" i="10" s="1"/>
  <c r="W8" i="10" a="1"/>
  <c r="W8" i="10" s="1"/>
  <c r="W9" i="10" a="1"/>
  <c r="W9" i="10" s="1"/>
  <c r="W10" i="10" a="1"/>
  <c r="W10" i="10" s="1"/>
  <c r="W11" i="10" a="1"/>
  <c r="W11" i="10"/>
  <c r="W12" i="10" a="1"/>
  <c r="W12" i="10" s="1"/>
  <c r="W13" i="10" a="1"/>
  <c r="W13" i="10" s="1"/>
  <c r="W14" i="10" a="1"/>
  <c r="W14" i="10" s="1"/>
  <c r="W6" i="11" a="1"/>
  <c r="W6" i="11"/>
  <c r="W7" i="11" a="1"/>
  <c r="W7" i="11" s="1"/>
  <c r="W8" i="11" a="1"/>
  <c r="W8" i="11" s="1"/>
  <c r="W9" i="11" a="1"/>
  <c r="W9" i="11" s="1"/>
  <c r="W10" i="11" a="1"/>
  <c r="W10" i="11"/>
  <c r="W11" i="11" a="1"/>
  <c r="W11" i="11" s="1"/>
  <c r="W12" i="11" a="1"/>
  <c r="W12" i="11" s="1"/>
  <c r="W13" i="11" a="1"/>
  <c r="W13" i="11" s="1"/>
  <c r="W14" i="11" a="1"/>
  <c r="W14" i="11"/>
  <c r="W6" i="12" a="1"/>
  <c r="W6" i="12" s="1"/>
  <c r="W7" i="12" a="1"/>
  <c r="W7" i="12" s="1"/>
  <c r="W8" i="12" a="1"/>
  <c r="W8" i="12" s="1"/>
  <c r="W9" i="12" a="1"/>
  <c r="W9" i="12"/>
  <c r="W10" i="12" a="1"/>
  <c r="W10" i="12" s="1"/>
  <c r="W11" i="12" a="1"/>
  <c r="W11" i="12" s="1"/>
  <c r="W12" i="12" a="1"/>
  <c r="W12" i="12" s="1"/>
  <c r="W13" i="12" a="1"/>
  <c r="W13" i="12"/>
  <c r="W14" i="12" a="1"/>
  <c r="W14" i="12" s="1"/>
  <c r="W6" i="13" a="1"/>
  <c r="W6" i="13" s="1"/>
  <c r="W7" i="13" a="1"/>
  <c r="W7" i="13" s="1"/>
  <c r="W8" i="13" a="1"/>
  <c r="W8" i="13"/>
  <c r="W9" i="13" a="1"/>
  <c r="W9" i="13" s="1"/>
  <c r="W10" i="13" a="1"/>
  <c r="W10" i="13" s="1"/>
  <c r="W11" i="13" a="1"/>
  <c r="W11" i="13" s="1"/>
  <c r="W12" i="13" a="1"/>
  <c r="W12" i="13"/>
  <c r="W13" i="13" a="1"/>
  <c r="W13" i="13" s="1"/>
  <c r="W14" i="13" a="1"/>
  <c r="W14" i="13" s="1"/>
  <c r="W6" i="14" a="1"/>
  <c r="W6" i="14" s="1"/>
  <c r="W7" i="14" a="1"/>
  <c r="W7" i="14"/>
  <c r="W8" i="14" a="1"/>
  <c r="W8" i="14" s="1"/>
  <c r="W9" i="14" a="1"/>
  <c r="W9" i="14" s="1"/>
  <c r="W10" i="14" a="1"/>
  <c r="W10" i="14" s="1"/>
  <c r="W11" i="14" a="1"/>
  <c r="W11" i="14"/>
  <c r="W12" i="14" a="1"/>
  <c r="W12" i="14" s="1"/>
  <c r="W13" i="14" a="1"/>
  <c r="W13" i="14" s="1"/>
  <c r="W14" i="14" a="1"/>
  <c r="W14" i="14" s="1"/>
  <c r="W6" i="15" a="1"/>
  <c r="W6" i="15"/>
  <c r="W7" i="15" a="1"/>
  <c r="W7" i="15" s="1"/>
  <c r="W8" i="15" a="1"/>
  <c r="W8" i="15" s="1"/>
  <c r="W9" i="15" a="1"/>
  <c r="W9" i="15" s="1"/>
  <c r="W10" i="15" a="1"/>
  <c r="W10" i="15"/>
  <c r="W11" i="15" a="1"/>
  <c r="W11" i="15" s="1"/>
  <c r="W12" i="15" a="1"/>
  <c r="W12" i="15" s="1"/>
  <c r="W13" i="15" a="1"/>
  <c r="W13" i="15" s="1"/>
  <c r="W14" i="15" a="1"/>
  <c r="W14" i="15"/>
  <c r="W6" i="16" a="1"/>
  <c r="W6" i="16" s="1"/>
  <c r="W7" i="16" a="1"/>
  <c r="W7" i="16" s="1"/>
  <c r="W8" i="16" a="1"/>
  <c r="W8" i="16" s="1"/>
  <c r="W9" i="16" a="1"/>
  <c r="W9" i="16"/>
  <c r="W10" i="16" a="1"/>
  <c r="W10" i="16" s="1"/>
  <c r="W11" i="16" a="1"/>
  <c r="W11" i="16" s="1"/>
  <c r="W12" i="16" a="1"/>
  <c r="W12" i="16" s="1"/>
  <c r="W13" i="16" a="1"/>
  <c r="W13" i="16"/>
  <c r="W14" i="16" a="1"/>
  <c r="W14" i="16" s="1"/>
  <c r="W6" i="17" a="1"/>
  <c r="W6" i="17" s="1"/>
  <c r="W7" i="17" a="1"/>
  <c r="W7" i="17" s="1"/>
  <c r="W8" i="17" a="1"/>
  <c r="W8" i="17"/>
  <c r="W9" i="17" a="1"/>
  <c r="W9" i="17" s="1"/>
  <c r="W10" i="17" a="1"/>
  <c r="W10" i="17" s="1"/>
  <c r="W11" i="17" a="1"/>
  <c r="W11" i="17" s="1"/>
  <c r="W12" i="17" a="1"/>
  <c r="W12" i="17"/>
  <c r="W13" i="17" a="1"/>
  <c r="W13" i="17" s="1"/>
  <c r="W14" i="17" a="1"/>
  <c r="W14" i="17" s="1"/>
  <c r="W6" i="18" a="1"/>
  <c r="W6" i="18" s="1"/>
  <c r="W7" i="18" a="1"/>
  <c r="W7" i="18"/>
  <c r="W8" i="18" a="1"/>
  <c r="W8" i="18" s="1"/>
  <c r="W9" i="18" a="1"/>
  <c r="W9" i="18" s="1"/>
  <c r="W10" i="18" a="1"/>
  <c r="W10" i="18" s="1"/>
  <c r="W11" i="18" a="1"/>
  <c r="W11" i="18"/>
  <c r="W12" i="18" a="1"/>
  <c r="W12" i="18" s="1"/>
  <c r="W13" i="18" a="1"/>
  <c r="W13" i="18" s="1"/>
  <c r="W14" i="18" a="1"/>
  <c r="W14" i="18" s="1"/>
  <c r="W6" i="19" a="1"/>
  <c r="W6" i="19"/>
  <c r="W7" i="19" a="1"/>
  <c r="W7" i="19" s="1"/>
  <c r="W8" i="19" a="1"/>
  <c r="W8" i="19" s="1"/>
  <c r="W9" i="19" a="1"/>
  <c r="W9" i="19" s="1"/>
  <c r="W10" i="19" a="1"/>
  <c r="W10" i="19"/>
  <c r="W11" i="19" a="1"/>
  <c r="W11" i="19" s="1"/>
  <c r="W12" i="19" a="1"/>
  <c r="W12" i="19" s="1"/>
  <c r="W13" i="19" a="1"/>
  <c r="W13" i="19" s="1"/>
  <c r="W14" i="19" a="1"/>
  <c r="W14" i="19"/>
  <c r="W6" i="20" a="1"/>
  <c r="W6" i="20" s="1"/>
  <c r="W7" i="20" a="1"/>
  <c r="W7" i="20" s="1"/>
  <c r="W8" i="20" a="1"/>
  <c r="W8" i="20" s="1"/>
  <c r="W9" i="20" a="1"/>
  <c r="W9" i="20"/>
  <c r="W10" i="20" a="1"/>
  <c r="W10" i="20" s="1"/>
  <c r="W11" i="20" a="1"/>
  <c r="W11" i="20" s="1"/>
  <c r="W12" i="20" a="1"/>
  <c r="W12" i="20" s="1"/>
  <c r="W13" i="20" a="1"/>
  <c r="W13" i="20"/>
  <c r="W14" i="20" a="1"/>
  <c r="W14" i="20" s="1"/>
  <c r="W6" i="21" a="1"/>
  <c r="W6" i="21" s="1"/>
  <c r="W7" i="21" a="1"/>
  <c r="W7" i="21" s="1"/>
  <c r="W8" i="21" a="1"/>
  <c r="W8" i="21" s="1"/>
  <c r="W9" i="21" a="1"/>
  <c r="W9" i="21" s="1"/>
  <c r="W10" i="21" a="1"/>
  <c r="W10" i="21" s="1"/>
  <c r="W11" i="21" a="1"/>
  <c r="W11" i="21" s="1"/>
  <c r="W12" i="21" a="1"/>
  <c r="W12" i="21"/>
  <c r="W13" i="21" a="1"/>
  <c r="W13" i="21" s="1"/>
  <c r="W14" i="21" a="1"/>
  <c r="W14" i="21" s="1"/>
  <c r="W6" i="22" a="1"/>
  <c r="W6" i="22" s="1"/>
  <c r="W7" i="22" a="1"/>
  <c r="W7" i="22"/>
  <c r="W8" i="22" a="1"/>
  <c r="W8" i="22" s="1"/>
  <c r="W9" i="22" a="1"/>
  <c r="W9" i="22" s="1"/>
  <c r="W10" i="22" a="1"/>
  <c r="W10" i="22" s="1"/>
  <c r="W11" i="22" a="1"/>
  <c r="W11" i="22"/>
  <c r="W12" i="22" a="1"/>
  <c r="W12" i="22" s="1"/>
  <c r="W13" i="22" a="1"/>
  <c r="W13" i="22" s="1"/>
  <c r="W14" i="22" a="1"/>
  <c r="W14" i="22" s="1"/>
  <c r="W6" i="23" a="1"/>
  <c r="W6" i="23"/>
  <c r="W7" i="23" a="1"/>
  <c r="W7" i="23" s="1"/>
  <c r="W8" i="23" a="1"/>
  <c r="W8" i="23" s="1"/>
  <c r="W9" i="23" a="1"/>
  <c r="W9" i="23" s="1"/>
  <c r="W10" i="23" a="1"/>
  <c r="W10" i="23"/>
  <c r="W11" i="23" a="1"/>
  <c r="W11" i="23" s="1"/>
  <c r="W12" i="23" a="1"/>
  <c r="W12" i="23" s="1"/>
  <c r="W13" i="23" a="1"/>
  <c r="W13" i="23" s="1"/>
  <c r="W14" i="23" a="1"/>
  <c r="W14" i="23"/>
  <c r="W6" i="24" a="1"/>
  <c r="W6" i="24" s="1"/>
  <c r="W7" i="24" a="1"/>
  <c r="W7" i="24" s="1"/>
  <c r="W8" i="24" a="1"/>
  <c r="W8" i="24" s="1"/>
  <c r="W9" i="24" a="1"/>
  <c r="W9" i="24"/>
  <c r="W10" i="24" a="1"/>
  <c r="W10" i="24" s="1"/>
  <c r="W11" i="24" a="1"/>
  <c r="W11" i="24" s="1"/>
  <c r="W12" i="24" a="1"/>
  <c r="W12" i="24" s="1"/>
  <c r="W13" i="24" a="1"/>
  <c r="W13" i="24"/>
  <c r="W14" i="24" a="1"/>
  <c r="W14" i="24" s="1"/>
  <c r="W6" i="25" a="1"/>
  <c r="W6" i="25" s="1"/>
  <c r="W7" i="25" a="1"/>
  <c r="W7" i="25" s="1"/>
  <c r="W8" i="25" a="1"/>
  <c r="W8" i="25"/>
  <c r="W9" i="25" a="1"/>
  <c r="W9" i="25" s="1"/>
  <c r="W10" i="25" a="1"/>
  <c r="W10" i="25" s="1"/>
  <c r="W11" i="25" a="1"/>
  <c r="W11" i="25" s="1"/>
  <c r="W12" i="25" a="1"/>
  <c r="W12" i="25"/>
  <c r="W13" i="25" a="1"/>
  <c r="W13" i="25" s="1"/>
  <c r="W14" i="25" a="1"/>
  <c r="W14" i="25" s="1"/>
  <c r="W6" i="26" a="1"/>
  <c r="W6" i="26" s="1"/>
  <c r="W7" i="26" a="1"/>
  <c r="W7" i="26"/>
  <c r="W8" i="26" a="1"/>
  <c r="W8" i="26" s="1"/>
  <c r="W9" i="26" a="1"/>
  <c r="W9" i="26" s="1"/>
  <c r="W10" i="26" a="1"/>
  <c r="W10" i="26" s="1"/>
  <c r="W11" i="26" a="1"/>
  <c r="W11" i="26"/>
  <c r="W12" i="26" a="1"/>
  <c r="W12" i="26" s="1"/>
  <c r="W13" i="26" a="1"/>
  <c r="W13" i="26" s="1"/>
  <c r="W14" i="26" a="1"/>
  <c r="W14" i="26" s="1"/>
  <c r="W6" i="27" a="1"/>
  <c r="W6" i="27"/>
  <c r="W7" i="27" a="1"/>
  <c r="W7" i="27" s="1"/>
  <c r="W8" i="27" a="1"/>
  <c r="W8" i="27" s="1"/>
  <c r="W9" i="27" a="1"/>
  <c r="W9" i="27" s="1"/>
  <c r="W10" i="27" a="1"/>
  <c r="W10" i="27"/>
  <c r="W11" i="27" a="1"/>
  <c r="W11" i="27" s="1"/>
  <c r="W12" i="27" a="1"/>
  <c r="W12" i="27" s="1"/>
  <c r="W13" i="27" a="1"/>
  <c r="W13" i="27" s="1"/>
  <c r="W14" i="27" a="1"/>
  <c r="W14" i="27"/>
  <c r="W6" i="28" a="1"/>
  <c r="W6" i="28" s="1"/>
  <c r="W7" i="28" a="1"/>
  <c r="W7" i="28" s="1"/>
  <c r="W8" i="28" a="1"/>
  <c r="W8" i="28" s="1"/>
  <c r="W9" i="28" a="1"/>
  <c r="W9" i="28" s="1"/>
  <c r="W10" i="28" a="1"/>
  <c r="W10" i="28" s="1"/>
  <c r="W11" i="28" a="1"/>
  <c r="W11" i="28" s="1"/>
  <c r="W12" i="28" a="1"/>
  <c r="W12" i="28" s="1"/>
  <c r="W13" i="28" a="1"/>
  <c r="W13" i="28" s="1"/>
  <c r="W14" i="28" a="1"/>
  <c r="W14" i="28" s="1"/>
  <c r="W6" i="29" a="1"/>
  <c r="W6" i="29" s="1"/>
  <c r="W7" i="29" a="1"/>
  <c r="W7" i="29" s="1"/>
  <c r="W8" i="29" a="1"/>
  <c r="W8" i="29" s="1"/>
  <c r="W9" i="29" a="1"/>
  <c r="W9" i="29" s="1"/>
  <c r="W10" i="29" a="1"/>
  <c r="W10" i="29" s="1"/>
  <c r="W11" i="29" a="1"/>
  <c r="W11" i="29" s="1"/>
  <c r="W12" i="29" a="1"/>
  <c r="W12" i="29"/>
  <c r="W13" i="29" a="1"/>
  <c r="W13" i="29" s="1"/>
  <c r="W14" i="29" a="1"/>
  <c r="W14" i="29" s="1"/>
  <c r="W6" i="30" a="1"/>
  <c r="W6" i="30" s="1"/>
  <c r="W7" i="30" a="1"/>
  <c r="W7" i="30"/>
  <c r="W8" i="30" a="1"/>
  <c r="W8" i="30" s="1"/>
  <c r="W9" i="30" a="1"/>
  <c r="W9" i="30" s="1"/>
  <c r="W10" i="30" a="1"/>
  <c r="W10" i="30" s="1"/>
  <c r="W11" i="30" a="1"/>
  <c r="W11" i="30"/>
  <c r="W12" i="30" a="1"/>
  <c r="W12" i="30" s="1"/>
  <c r="W13" i="30" a="1"/>
  <c r="W13" i="30" s="1"/>
  <c r="W14" i="30" a="1"/>
  <c r="W14" i="30" s="1"/>
  <c r="W6" i="31" a="1"/>
  <c r="W6" i="31"/>
  <c r="W7" i="31" a="1"/>
  <c r="W7" i="31" s="1"/>
  <c r="W8" i="31" a="1"/>
  <c r="W8" i="31" s="1"/>
  <c r="W9" i="31" a="1"/>
  <c r="W9" i="31" s="1"/>
  <c r="W10" i="31" a="1"/>
  <c r="W10" i="31"/>
  <c r="W11" i="31" a="1"/>
  <c r="W11" i="31" s="1"/>
  <c r="W12" i="31" a="1"/>
  <c r="W12" i="31" s="1"/>
  <c r="W13" i="31" a="1"/>
  <c r="W13" i="31" s="1"/>
  <c r="W14" i="31" a="1"/>
  <c r="W14" i="31"/>
  <c r="W6" i="32" a="1"/>
  <c r="W6" i="32" s="1"/>
  <c r="W7" i="32" a="1"/>
  <c r="W7" i="32" s="1"/>
  <c r="W8" i="32" a="1"/>
  <c r="W8" i="32" s="1"/>
  <c r="W9" i="32" a="1"/>
  <c r="W9" i="32" s="1"/>
  <c r="W10" i="32" a="1"/>
  <c r="W10" i="32" s="1"/>
  <c r="W11" i="32" a="1"/>
  <c r="W11" i="32" s="1"/>
  <c r="W12" i="32" a="1"/>
  <c r="W12" i="32" s="1"/>
  <c r="W13" i="32" a="1"/>
  <c r="W13" i="32" s="1"/>
  <c r="W14" i="32" a="1"/>
  <c r="W14" i="32" s="1"/>
  <c r="W6" i="3" a="1"/>
  <c r="W6" i="3" s="1"/>
  <c r="W7" i="3" a="1"/>
  <c r="W7" i="3" s="1"/>
  <c r="W8" i="3" a="1"/>
  <c r="W8" i="3" s="1"/>
  <c r="W9" i="3" a="1"/>
  <c r="W9" i="3" s="1"/>
  <c r="W10" i="3" a="1"/>
  <c r="W10" i="3" s="1"/>
  <c r="W11" i="3" a="1"/>
  <c r="W11" i="3" s="1"/>
  <c r="W12" i="3" a="1"/>
  <c r="W12" i="3"/>
  <c r="W13" i="3" a="1"/>
  <c r="W13" i="3" s="1"/>
  <c r="W14" i="3" a="1"/>
  <c r="W14" i="3" s="1"/>
  <c r="W5" i="4" a="1"/>
  <c r="W5" i="4" s="1"/>
  <c r="W5" i="5" a="1"/>
  <c r="W5" i="5" s="1"/>
  <c r="W5" i="6" a="1"/>
  <c r="W5" i="6" s="1"/>
  <c r="W5" i="7" a="1"/>
  <c r="W5" i="7"/>
  <c r="W5" i="8" a="1"/>
  <c r="W5" i="8" s="1"/>
  <c r="W5" i="9" a="1"/>
  <c r="W5" i="9" s="1"/>
  <c r="W5" i="10" a="1"/>
  <c r="W5" i="10" s="1"/>
  <c r="W5" i="11" a="1"/>
  <c r="W5" i="11"/>
  <c r="W5" i="12" a="1"/>
  <c r="W5" i="12" s="1"/>
  <c r="W5" i="13" a="1"/>
  <c r="W5" i="13" s="1"/>
  <c r="W5" i="14" a="1"/>
  <c r="W5" i="14" s="1"/>
  <c r="W5" i="15" a="1"/>
  <c r="W5" i="15"/>
  <c r="W5" i="16" a="1"/>
  <c r="W5" i="16" s="1"/>
  <c r="W5" i="17" a="1"/>
  <c r="W5" i="17" s="1"/>
  <c r="W5" i="18" a="1"/>
  <c r="W5" i="18" s="1"/>
  <c r="W5" i="19" a="1"/>
  <c r="W5" i="19"/>
  <c r="W5" i="20" a="1"/>
  <c r="W5" i="20" s="1"/>
  <c r="W5" i="21" a="1"/>
  <c r="W5" i="21" s="1"/>
  <c r="W5" i="22" a="1"/>
  <c r="W5" i="22" s="1"/>
  <c r="W5" i="23" a="1"/>
  <c r="W5" i="23"/>
  <c r="W5" i="24" a="1"/>
  <c r="W5" i="24" s="1"/>
  <c r="W5" i="25" a="1"/>
  <c r="W5" i="25" s="1"/>
  <c r="W5" i="26" a="1"/>
  <c r="W5" i="26" s="1"/>
  <c r="W5" i="27" a="1"/>
  <c r="W5" i="27"/>
  <c r="W5" i="28" a="1"/>
  <c r="W5" i="28" s="1"/>
  <c r="W5" i="29" a="1"/>
  <c r="W5" i="29" s="1"/>
  <c r="W5" i="30" a="1"/>
  <c r="W5" i="30" s="1"/>
  <c r="W5" i="31" a="1"/>
  <c r="W5" i="31"/>
  <c r="W5" i="32" a="1"/>
  <c r="W5" i="32" s="1"/>
  <c r="W5" i="3" a="1"/>
  <c r="W5" i="3" s="1"/>
  <c r="D6" i="4"/>
  <c r="D7" i="4"/>
  <c r="D8" i="4"/>
  <c r="D9" i="4"/>
  <c r="D10" i="4"/>
  <c r="D11" i="4"/>
  <c r="D12" i="4"/>
  <c r="D13" i="4"/>
  <c r="D14" i="4"/>
  <c r="D6" i="5"/>
  <c r="D7" i="5"/>
  <c r="D8" i="5"/>
  <c r="D9" i="5"/>
  <c r="D10" i="5"/>
  <c r="D11" i="5"/>
  <c r="D12" i="5"/>
  <c r="D13" i="5"/>
  <c r="D14" i="5"/>
  <c r="D6" i="6"/>
  <c r="D7" i="6"/>
  <c r="D8" i="6"/>
  <c r="D9" i="6"/>
  <c r="D10" i="6"/>
  <c r="D11" i="6"/>
  <c r="D12" i="6"/>
  <c r="D13" i="6"/>
  <c r="D14" i="6"/>
  <c r="D6" i="7"/>
  <c r="D7" i="7"/>
  <c r="D8" i="7"/>
  <c r="D9" i="7"/>
  <c r="D10" i="7"/>
  <c r="D11" i="7"/>
  <c r="D12" i="7"/>
  <c r="D13" i="7"/>
  <c r="D14" i="7"/>
  <c r="D6" i="8"/>
  <c r="D7" i="8"/>
  <c r="D8" i="8"/>
  <c r="D9" i="8"/>
  <c r="D10" i="8"/>
  <c r="D11" i="8"/>
  <c r="D12" i="8"/>
  <c r="D13" i="8"/>
  <c r="D14" i="8"/>
  <c r="D6" i="9"/>
  <c r="D7" i="9"/>
  <c r="D8" i="9"/>
  <c r="D9" i="9"/>
  <c r="D10" i="9"/>
  <c r="D11" i="9"/>
  <c r="D12" i="9"/>
  <c r="D13" i="9"/>
  <c r="D14" i="9"/>
  <c r="D6" i="10"/>
  <c r="D7" i="10"/>
  <c r="D8" i="10"/>
  <c r="D9" i="10"/>
  <c r="D10" i="10"/>
  <c r="D11" i="10"/>
  <c r="D12" i="10"/>
  <c r="D13" i="10"/>
  <c r="D14" i="10"/>
  <c r="D6" i="11"/>
  <c r="D7" i="11"/>
  <c r="D8" i="11"/>
  <c r="D9" i="11"/>
  <c r="D10" i="11"/>
  <c r="D11" i="11"/>
  <c r="D12" i="11"/>
  <c r="D13" i="11"/>
  <c r="D14" i="11"/>
  <c r="D6" i="12"/>
  <c r="D7" i="12"/>
  <c r="D8" i="12"/>
  <c r="D9" i="12"/>
  <c r="D10" i="12"/>
  <c r="D11" i="12"/>
  <c r="D12" i="12"/>
  <c r="D13" i="12"/>
  <c r="D14" i="12"/>
  <c r="D6" i="13"/>
  <c r="D7" i="13"/>
  <c r="D8" i="13"/>
  <c r="D9" i="13"/>
  <c r="D10" i="13"/>
  <c r="D11" i="13"/>
  <c r="D12" i="13"/>
  <c r="D13" i="13"/>
  <c r="D14" i="13"/>
  <c r="D6" i="14"/>
  <c r="D7" i="14"/>
  <c r="D8" i="14"/>
  <c r="D9" i="14"/>
  <c r="D10" i="14"/>
  <c r="D11" i="14"/>
  <c r="D12" i="14"/>
  <c r="D13" i="14"/>
  <c r="D14" i="14"/>
  <c r="D6" i="15"/>
  <c r="D7" i="15"/>
  <c r="D8" i="15"/>
  <c r="D9" i="15"/>
  <c r="D10" i="15"/>
  <c r="D11" i="15"/>
  <c r="D12" i="15"/>
  <c r="D13" i="15"/>
  <c r="D14" i="15"/>
  <c r="D6" i="16"/>
  <c r="D7" i="16"/>
  <c r="D8" i="16"/>
  <c r="D9" i="16"/>
  <c r="D10" i="16"/>
  <c r="D11" i="16"/>
  <c r="D12" i="16"/>
  <c r="D13" i="16"/>
  <c r="D14" i="16"/>
  <c r="D6" i="17"/>
  <c r="D7" i="17"/>
  <c r="D8" i="17"/>
  <c r="D9" i="17"/>
  <c r="D10" i="17"/>
  <c r="D11" i="17"/>
  <c r="D12" i="17"/>
  <c r="D13" i="17"/>
  <c r="D14" i="17"/>
  <c r="D6" i="18"/>
  <c r="D7" i="18"/>
  <c r="D8" i="18"/>
  <c r="D9" i="18"/>
  <c r="D10" i="18"/>
  <c r="D11" i="18"/>
  <c r="D12" i="18"/>
  <c r="D13" i="18"/>
  <c r="D14" i="18"/>
  <c r="D6" i="19"/>
  <c r="D7" i="19"/>
  <c r="D8" i="19"/>
  <c r="D9" i="19"/>
  <c r="D10" i="19"/>
  <c r="D11" i="19"/>
  <c r="D12" i="19"/>
  <c r="D13" i="19"/>
  <c r="D14" i="19"/>
  <c r="D6" i="20"/>
  <c r="D7" i="20"/>
  <c r="D8" i="20"/>
  <c r="D9" i="20"/>
  <c r="D10" i="20"/>
  <c r="D11" i="20"/>
  <c r="D12" i="20"/>
  <c r="D13" i="20"/>
  <c r="D14" i="20"/>
  <c r="D6" i="21"/>
  <c r="D7" i="21"/>
  <c r="D8" i="21"/>
  <c r="D9" i="21"/>
  <c r="D10" i="21"/>
  <c r="D11" i="21"/>
  <c r="D12" i="21"/>
  <c r="D13" i="21"/>
  <c r="D14" i="21"/>
  <c r="D6" i="22"/>
  <c r="D7" i="22"/>
  <c r="D8" i="22"/>
  <c r="D9" i="22"/>
  <c r="D10" i="22"/>
  <c r="D11" i="22"/>
  <c r="D12" i="22"/>
  <c r="D13" i="22"/>
  <c r="D14" i="22"/>
  <c r="D6" i="23"/>
  <c r="D7" i="23"/>
  <c r="D8" i="23"/>
  <c r="D9" i="23"/>
  <c r="D10" i="23"/>
  <c r="D11" i="23"/>
  <c r="D12" i="23"/>
  <c r="D13" i="23"/>
  <c r="D14" i="23"/>
  <c r="D6" i="24"/>
  <c r="D7" i="24"/>
  <c r="D8" i="24"/>
  <c r="D9" i="24"/>
  <c r="D10" i="24"/>
  <c r="D11" i="24"/>
  <c r="D12" i="24"/>
  <c r="D13" i="24"/>
  <c r="D14" i="24"/>
  <c r="D6" i="25"/>
  <c r="D7" i="25"/>
  <c r="D8" i="25"/>
  <c r="D9" i="25"/>
  <c r="D10" i="25"/>
  <c r="D11" i="25"/>
  <c r="D12" i="25"/>
  <c r="D13" i="25"/>
  <c r="D14" i="25"/>
  <c r="D6" i="26"/>
  <c r="D7" i="26"/>
  <c r="D8" i="26"/>
  <c r="D9" i="26"/>
  <c r="D10" i="26"/>
  <c r="D11" i="26"/>
  <c r="D12" i="26"/>
  <c r="D13" i="26"/>
  <c r="D14" i="26"/>
  <c r="D6" i="27"/>
  <c r="D7" i="27"/>
  <c r="D8" i="27"/>
  <c r="D9" i="27"/>
  <c r="D10" i="27"/>
  <c r="D11" i="27"/>
  <c r="D12" i="27"/>
  <c r="D13" i="27"/>
  <c r="D14" i="27"/>
  <c r="D6" i="28"/>
  <c r="D7" i="28"/>
  <c r="D8" i="28"/>
  <c r="D9" i="28"/>
  <c r="D10" i="28"/>
  <c r="D11" i="28"/>
  <c r="D12" i="28"/>
  <c r="D13" i="28"/>
  <c r="D14" i="28"/>
  <c r="D6" i="29"/>
  <c r="D7" i="29"/>
  <c r="D8" i="29"/>
  <c r="D9" i="29"/>
  <c r="D10" i="29"/>
  <c r="D11" i="29"/>
  <c r="D12" i="29"/>
  <c r="D13" i="29"/>
  <c r="D14" i="29"/>
  <c r="D6" i="30"/>
  <c r="D7" i="30"/>
  <c r="D8" i="30"/>
  <c r="D9" i="30"/>
  <c r="D10" i="30"/>
  <c r="D11" i="30"/>
  <c r="D12" i="30"/>
  <c r="D13" i="30"/>
  <c r="D14" i="30"/>
  <c r="D6" i="31"/>
  <c r="D7" i="31"/>
  <c r="D8" i="31"/>
  <c r="D9" i="31"/>
  <c r="D10" i="31"/>
  <c r="D11" i="31"/>
  <c r="D12" i="31"/>
  <c r="D13" i="31"/>
  <c r="D14" i="31"/>
  <c r="D6" i="32"/>
  <c r="D7" i="32"/>
  <c r="D8" i="32"/>
  <c r="D9" i="32"/>
  <c r="D10" i="32"/>
  <c r="D11" i="32"/>
  <c r="D12" i="32"/>
  <c r="D13" i="32"/>
  <c r="D14" i="32"/>
  <c r="D6" i="3"/>
  <c r="D7" i="3"/>
  <c r="D8" i="3"/>
  <c r="D9" i="3"/>
  <c r="D10" i="3"/>
  <c r="D11" i="3"/>
  <c r="D12" i="3"/>
  <c r="D13" i="3"/>
  <c r="D14" i="3"/>
  <c r="D5" i="4"/>
  <c r="D5" i="5"/>
  <c r="D5" i="6"/>
  <c r="D5" i="7"/>
  <c r="D5" i="8"/>
  <c r="D5" i="9"/>
  <c r="D5" i="10"/>
  <c r="D5" i="11"/>
  <c r="D5" i="12"/>
  <c r="D5" i="13"/>
  <c r="D5" i="14"/>
  <c r="D5" i="15"/>
  <c r="D5" i="16"/>
  <c r="D5" i="17"/>
  <c r="D5" i="18"/>
  <c r="D5" i="19"/>
  <c r="D5" i="20"/>
  <c r="D5" i="21"/>
  <c r="D5" i="22"/>
  <c r="D5" i="23"/>
  <c r="D5" i="24"/>
  <c r="D5" i="25"/>
  <c r="D5" i="26"/>
  <c r="D5" i="27"/>
  <c r="D5" i="28"/>
  <c r="D5" i="29"/>
  <c r="D5" i="30"/>
  <c r="D5" i="31"/>
  <c r="D5" i="32"/>
  <c r="D5" i="3"/>
  <c r="U16" i="32"/>
  <c r="Q16" i="32"/>
  <c r="O16" i="32"/>
  <c r="M16" i="32"/>
  <c r="K16" i="32"/>
  <c r="G16" i="32"/>
  <c r="E16" i="32"/>
  <c r="D16" i="32"/>
  <c r="C16" i="32"/>
  <c r="V15" i="32"/>
  <c r="U15" i="32"/>
  <c r="T15" i="32"/>
  <c r="S15" i="32"/>
  <c r="R15" i="32"/>
  <c r="Q15" i="32"/>
  <c r="P15" i="32"/>
  <c r="O15" i="32"/>
  <c r="N15" i="32"/>
  <c r="M15" i="32"/>
  <c r="L15" i="32"/>
  <c r="K15" i="32"/>
  <c r="J15" i="32"/>
  <c r="I15" i="32"/>
  <c r="H15" i="32"/>
  <c r="G15" i="32"/>
  <c r="F15" i="32"/>
  <c r="E15" i="32"/>
  <c r="D15" i="32"/>
  <c r="C15" i="32"/>
  <c r="U16" i="31"/>
  <c r="Q16" i="31"/>
  <c r="O16" i="31"/>
  <c r="M16" i="31"/>
  <c r="K16" i="31"/>
  <c r="G16" i="31"/>
  <c r="E16" i="31"/>
  <c r="D16" i="31"/>
  <c r="C16" i="31"/>
  <c r="V15" i="31"/>
  <c r="U15" i="31"/>
  <c r="T15" i="31"/>
  <c r="S15" i="31"/>
  <c r="R15" i="31"/>
  <c r="Q15" i="31"/>
  <c r="P15" i="31"/>
  <c r="O15" i="31"/>
  <c r="N15" i="31"/>
  <c r="M15" i="31"/>
  <c r="L15" i="31"/>
  <c r="K15" i="31"/>
  <c r="J15" i="31"/>
  <c r="I15" i="31"/>
  <c r="H15" i="31"/>
  <c r="G15" i="31"/>
  <c r="F15" i="31"/>
  <c r="E15" i="31"/>
  <c r="D15" i="31"/>
  <c r="C15" i="31"/>
  <c r="U16" i="30"/>
  <c r="Q16" i="30"/>
  <c r="O16" i="30"/>
  <c r="M16" i="30"/>
  <c r="K16" i="30"/>
  <c r="G16" i="30"/>
  <c r="E16" i="30"/>
  <c r="D16" i="30"/>
  <c r="C16" i="30"/>
  <c r="V15" i="30"/>
  <c r="U15" i="30"/>
  <c r="T15" i="30"/>
  <c r="S15" i="30"/>
  <c r="R15" i="30"/>
  <c r="Q15" i="30"/>
  <c r="P15" i="30"/>
  <c r="O15" i="30"/>
  <c r="N15" i="30"/>
  <c r="M15" i="30"/>
  <c r="L15" i="30"/>
  <c r="K15" i="30"/>
  <c r="J15" i="30"/>
  <c r="I15" i="30"/>
  <c r="H15" i="30"/>
  <c r="G15" i="30"/>
  <c r="F15" i="30"/>
  <c r="E15" i="30"/>
  <c r="D15" i="30"/>
  <c r="C15" i="30"/>
  <c r="U16" i="29"/>
  <c r="Q16" i="29"/>
  <c r="O16" i="29"/>
  <c r="M16" i="29"/>
  <c r="K16" i="29"/>
  <c r="G16" i="29"/>
  <c r="E16" i="29"/>
  <c r="D16" i="29"/>
  <c r="C16" i="29"/>
  <c r="V15" i="29"/>
  <c r="U15" i="29"/>
  <c r="T31" i="2" s="1"/>
  <c r="T15" i="29"/>
  <c r="S15" i="29"/>
  <c r="R31" i="2" s="1"/>
  <c r="R15" i="29"/>
  <c r="Q31" i="2" s="1"/>
  <c r="Q15" i="29"/>
  <c r="P31" i="2" s="1"/>
  <c r="P15" i="29"/>
  <c r="O15" i="29"/>
  <c r="N15" i="29"/>
  <c r="M15" i="29"/>
  <c r="L15" i="29"/>
  <c r="K15" i="29"/>
  <c r="J31" i="2" s="1"/>
  <c r="J15" i="29"/>
  <c r="I31" i="2" s="1"/>
  <c r="I15" i="29"/>
  <c r="H15" i="29"/>
  <c r="G15" i="29"/>
  <c r="F15" i="29"/>
  <c r="E15" i="29"/>
  <c r="D31" i="2" s="1"/>
  <c r="D15" i="29"/>
  <c r="C15" i="29"/>
  <c r="U16" i="28"/>
  <c r="Q16" i="28"/>
  <c r="O16" i="28"/>
  <c r="M16" i="28"/>
  <c r="K16" i="28"/>
  <c r="G16" i="28"/>
  <c r="E16" i="28"/>
  <c r="D16" i="28"/>
  <c r="V15" i="28"/>
  <c r="U30" i="2" s="1"/>
  <c r="U15" i="28"/>
  <c r="T30" i="2" s="1"/>
  <c r="T15" i="28"/>
  <c r="S15" i="28"/>
  <c r="R15" i="28"/>
  <c r="Q15" i="28"/>
  <c r="P15" i="28"/>
  <c r="O15" i="28"/>
  <c r="N15" i="28"/>
  <c r="M15" i="28"/>
  <c r="L30" i="2" s="1"/>
  <c r="L15" i="28"/>
  <c r="K15" i="28"/>
  <c r="J15" i="28"/>
  <c r="I15" i="28"/>
  <c r="H15" i="28"/>
  <c r="G15" i="28"/>
  <c r="F15" i="28"/>
  <c r="E15" i="28"/>
  <c r="D30" i="2" s="1"/>
  <c r="D15" i="28"/>
  <c r="U16" i="27"/>
  <c r="Q16" i="27"/>
  <c r="O16" i="27"/>
  <c r="M16" i="27"/>
  <c r="K16" i="27"/>
  <c r="G16" i="27"/>
  <c r="E16" i="27"/>
  <c r="D16" i="27"/>
  <c r="C16" i="27"/>
  <c r="V15" i="27"/>
  <c r="U15" i="27"/>
  <c r="T15" i="27"/>
  <c r="S15" i="27"/>
  <c r="R15" i="27"/>
  <c r="Q15" i="27"/>
  <c r="P15" i="27"/>
  <c r="O29" i="2" s="1"/>
  <c r="O15" i="27"/>
  <c r="N15" i="27"/>
  <c r="M15" i="27"/>
  <c r="L15" i="27"/>
  <c r="K15" i="27"/>
  <c r="J15" i="27"/>
  <c r="I15" i="27"/>
  <c r="H15" i="27"/>
  <c r="G29" i="2" s="1"/>
  <c r="G15" i="27"/>
  <c r="F15" i="27"/>
  <c r="E15" i="27"/>
  <c r="D15" i="27"/>
  <c r="C15" i="27"/>
  <c r="U16" i="26"/>
  <c r="Q16" i="26"/>
  <c r="O16" i="26"/>
  <c r="M16" i="26"/>
  <c r="K16" i="26"/>
  <c r="G16" i="26"/>
  <c r="E16" i="26"/>
  <c r="D16" i="26"/>
  <c r="C16" i="26"/>
  <c r="V15" i="26"/>
  <c r="U15" i="26"/>
  <c r="T15" i="26"/>
  <c r="S15" i="26"/>
  <c r="R28" i="2" s="1"/>
  <c r="R15" i="26"/>
  <c r="Q15" i="26"/>
  <c r="P15" i="26"/>
  <c r="O15" i="26"/>
  <c r="N15" i="26"/>
  <c r="M15" i="26"/>
  <c r="L15" i="26"/>
  <c r="K15" i="26"/>
  <c r="J28" i="2" s="1"/>
  <c r="J15" i="26"/>
  <c r="I15" i="26"/>
  <c r="H15" i="26"/>
  <c r="G15" i="26"/>
  <c r="F15" i="26"/>
  <c r="E15" i="26"/>
  <c r="D15" i="26"/>
  <c r="C15" i="26"/>
  <c r="U16" i="25"/>
  <c r="Q16" i="25"/>
  <c r="O16" i="25"/>
  <c r="M16" i="25"/>
  <c r="K16" i="25"/>
  <c r="G16" i="25"/>
  <c r="E16" i="25"/>
  <c r="D16" i="25"/>
  <c r="C16" i="25"/>
  <c r="V15" i="25"/>
  <c r="U27" i="2" s="1"/>
  <c r="U15" i="25"/>
  <c r="T15" i="25"/>
  <c r="S15" i="25"/>
  <c r="R15" i="25"/>
  <c r="Q15" i="25"/>
  <c r="P15" i="25"/>
  <c r="O15" i="25"/>
  <c r="N15" i="25"/>
  <c r="M27" i="2" s="1"/>
  <c r="M15" i="25"/>
  <c r="L15" i="25"/>
  <c r="K15" i="25"/>
  <c r="J15" i="25"/>
  <c r="I15" i="25"/>
  <c r="H15" i="25"/>
  <c r="G15" i="25"/>
  <c r="F15" i="25"/>
  <c r="E27" i="2" s="1"/>
  <c r="E15" i="25"/>
  <c r="D15" i="25"/>
  <c r="C15" i="25"/>
  <c r="U16" i="24"/>
  <c r="Q16" i="24"/>
  <c r="O16" i="24"/>
  <c r="M16" i="24"/>
  <c r="K16" i="24"/>
  <c r="G16" i="24"/>
  <c r="E16" i="24"/>
  <c r="D16" i="24"/>
  <c r="C16" i="24"/>
  <c r="V15" i="24"/>
  <c r="U15" i="24"/>
  <c r="T15" i="24"/>
  <c r="S15" i="24"/>
  <c r="R15" i="24"/>
  <c r="Q15" i="24"/>
  <c r="P26" i="2" s="1"/>
  <c r="P15" i="24"/>
  <c r="O15" i="24"/>
  <c r="N15" i="24"/>
  <c r="M15" i="24"/>
  <c r="L15" i="24"/>
  <c r="K15" i="24"/>
  <c r="J15" i="24"/>
  <c r="I15" i="24"/>
  <c r="H26" i="2" s="1"/>
  <c r="H15" i="24"/>
  <c r="G15" i="24"/>
  <c r="F15" i="24"/>
  <c r="E15" i="24"/>
  <c r="D15" i="24"/>
  <c r="C15" i="24"/>
  <c r="U16" i="23"/>
  <c r="Q16" i="23"/>
  <c r="O16" i="23"/>
  <c r="M16" i="23"/>
  <c r="K16" i="23"/>
  <c r="G16" i="23"/>
  <c r="E16" i="23"/>
  <c r="D16" i="23"/>
  <c r="C16" i="23"/>
  <c r="V15" i="23"/>
  <c r="U15" i="23"/>
  <c r="T15" i="23"/>
  <c r="S25" i="2" s="1"/>
  <c r="S15" i="23"/>
  <c r="R15" i="23"/>
  <c r="Q15" i="23"/>
  <c r="P15" i="23"/>
  <c r="O15" i="23"/>
  <c r="N15" i="23"/>
  <c r="M15" i="23"/>
  <c r="L15" i="23"/>
  <c r="K25" i="2" s="1"/>
  <c r="K15" i="23"/>
  <c r="J15" i="23"/>
  <c r="I15" i="23"/>
  <c r="H15" i="23"/>
  <c r="G15" i="23"/>
  <c r="F15" i="23"/>
  <c r="E15" i="23"/>
  <c r="D15" i="23"/>
  <c r="C25" i="2" s="1"/>
  <c r="C15" i="23"/>
  <c r="U16" i="22"/>
  <c r="Q16" i="22"/>
  <c r="O16" i="22"/>
  <c r="M16" i="22"/>
  <c r="K16" i="22"/>
  <c r="G16" i="22"/>
  <c r="E16" i="22"/>
  <c r="D16" i="22"/>
  <c r="C16" i="22"/>
  <c r="V15" i="22"/>
  <c r="U15" i="22"/>
  <c r="T15" i="22"/>
  <c r="S15" i="22"/>
  <c r="R15" i="22"/>
  <c r="Q15" i="22"/>
  <c r="P15" i="22"/>
  <c r="O15" i="22"/>
  <c r="N24" i="2" s="1"/>
  <c r="N15" i="22"/>
  <c r="M15" i="22"/>
  <c r="L15" i="22"/>
  <c r="K15" i="22"/>
  <c r="J15" i="22"/>
  <c r="I15" i="22"/>
  <c r="H15" i="22"/>
  <c r="G15" i="22"/>
  <c r="F24" i="2" s="1"/>
  <c r="F15" i="22"/>
  <c r="E15" i="22"/>
  <c r="D15" i="22"/>
  <c r="C15" i="22"/>
  <c r="U16" i="21"/>
  <c r="Q16" i="21"/>
  <c r="O16" i="21"/>
  <c r="M16" i="21"/>
  <c r="K16" i="21"/>
  <c r="G16" i="21"/>
  <c r="E16" i="21"/>
  <c r="D16" i="21"/>
  <c r="C16" i="21"/>
  <c r="V15" i="21"/>
  <c r="U22" i="2" s="1"/>
  <c r="U15" i="21"/>
  <c r="T15" i="21"/>
  <c r="S15" i="21"/>
  <c r="R15" i="21"/>
  <c r="Q22" i="2" s="1"/>
  <c r="Q15" i="21"/>
  <c r="P15" i="21"/>
  <c r="O15" i="21"/>
  <c r="N15" i="21"/>
  <c r="M15" i="21"/>
  <c r="L15" i="21"/>
  <c r="K22" i="2" s="1"/>
  <c r="K15" i="21"/>
  <c r="J22" i="2" s="1"/>
  <c r="J15" i="21"/>
  <c r="I22" i="2" s="1"/>
  <c r="I15" i="21"/>
  <c r="H22" i="2" s="1"/>
  <c r="H15" i="21"/>
  <c r="G22" i="2" s="1"/>
  <c r="G15" i="21"/>
  <c r="F22" i="2" s="1"/>
  <c r="F15" i="21"/>
  <c r="E22" i="2" s="1"/>
  <c r="E15" i="21"/>
  <c r="D22" i="2" s="1"/>
  <c r="D15" i="21"/>
  <c r="C15" i="21"/>
  <c r="U16" i="20"/>
  <c r="Q16" i="20"/>
  <c r="O16" i="20"/>
  <c r="M16" i="20"/>
  <c r="K16" i="20"/>
  <c r="G16" i="20"/>
  <c r="E16" i="20"/>
  <c r="D16" i="20"/>
  <c r="C16" i="20"/>
  <c r="V15" i="20"/>
  <c r="U15" i="20"/>
  <c r="T21" i="2" s="1"/>
  <c r="T15" i="20"/>
  <c r="S15" i="20"/>
  <c r="R15" i="20"/>
  <c r="Q15" i="20"/>
  <c r="P15" i="20"/>
  <c r="O15" i="20"/>
  <c r="N15" i="20"/>
  <c r="M15" i="20"/>
  <c r="L21" i="2" s="1"/>
  <c r="L15" i="20"/>
  <c r="K15" i="20"/>
  <c r="J15" i="20"/>
  <c r="I15" i="20"/>
  <c r="H15" i="20"/>
  <c r="G15" i="20"/>
  <c r="F15" i="20"/>
  <c r="E15" i="20"/>
  <c r="D21" i="2" s="1"/>
  <c r="D15" i="20"/>
  <c r="C15" i="20"/>
  <c r="U16" i="19"/>
  <c r="Q16" i="19"/>
  <c r="O16" i="19"/>
  <c r="M16" i="19"/>
  <c r="K16" i="19"/>
  <c r="G16" i="19"/>
  <c r="E16" i="19"/>
  <c r="D16" i="19"/>
  <c r="C16" i="19"/>
  <c r="V15" i="19"/>
  <c r="U15" i="19"/>
  <c r="T15" i="19"/>
  <c r="S15" i="19"/>
  <c r="R15" i="19"/>
  <c r="Q15" i="19"/>
  <c r="P15" i="19"/>
  <c r="O15" i="19"/>
  <c r="N15" i="19"/>
  <c r="M15" i="19"/>
  <c r="L15" i="19"/>
  <c r="K15" i="19"/>
  <c r="J15" i="19"/>
  <c r="I15" i="19"/>
  <c r="H15" i="19"/>
  <c r="G20" i="2" s="1"/>
  <c r="G15" i="19"/>
  <c r="F15" i="19"/>
  <c r="E15" i="19"/>
  <c r="D15" i="19"/>
  <c r="C15" i="19"/>
  <c r="U16" i="18"/>
  <c r="Q16" i="18"/>
  <c r="O16" i="18"/>
  <c r="M16" i="18"/>
  <c r="K16" i="18"/>
  <c r="G16" i="18"/>
  <c r="E16" i="18"/>
  <c r="D16" i="18"/>
  <c r="C16" i="18"/>
  <c r="V15" i="18"/>
  <c r="U15" i="18"/>
  <c r="T15" i="18"/>
  <c r="S15" i="18"/>
  <c r="R18" i="2" s="1"/>
  <c r="R15" i="18"/>
  <c r="Q15" i="18"/>
  <c r="P15" i="18"/>
  <c r="O15" i="18"/>
  <c r="N15" i="18"/>
  <c r="M15" i="18"/>
  <c r="L15" i="18"/>
  <c r="K15" i="18"/>
  <c r="J18" i="2" s="1"/>
  <c r="J15" i="18"/>
  <c r="I15" i="18"/>
  <c r="H15" i="18"/>
  <c r="G15" i="18"/>
  <c r="F15" i="18"/>
  <c r="E15" i="18"/>
  <c r="D15" i="18"/>
  <c r="C15" i="18"/>
  <c r="U17" i="17"/>
  <c r="Q17" i="17"/>
  <c r="O17" i="17"/>
  <c r="M17" i="17"/>
  <c r="K17" i="17"/>
  <c r="G17" i="17"/>
  <c r="E17" i="17"/>
  <c r="D17" i="17"/>
  <c r="C17" i="17"/>
  <c r="V16" i="17"/>
  <c r="U17" i="2" s="1"/>
  <c r="U16" i="17"/>
  <c r="T16" i="17"/>
  <c r="S16" i="17"/>
  <c r="R16" i="17"/>
  <c r="Q16" i="17"/>
  <c r="P16" i="17"/>
  <c r="O16" i="17"/>
  <c r="N16" i="17"/>
  <c r="M17" i="2" s="1"/>
  <c r="M16" i="17"/>
  <c r="L16" i="17"/>
  <c r="K16" i="17"/>
  <c r="J16" i="17"/>
  <c r="I16" i="17"/>
  <c r="H16" i="17"/>
  <c r="G16" i="17"/>
  <c r="F16" i="17"/>
  <c r="E17" i="2" s="1"/>
  <c r="E16" i="17"/>
  <c r="D16" i="17"/>
  <c r="C16" i="17"/>
  <c r="U16" i="16"/>
  <c r="Q16" i="16"/>
  <c r="O16" i="16"/>
  <c r="M16" i="16"/>
  <c r="K16" i="16"/>
  <c r="G16" i="16"/>
  <c r="E16" i="16"/>
  <c r="D16" i="16"/>
  <c r="C16" i="16"/>
  <c r="V15" i="16"/>
  <c r="U16" i="2" s="1"/>
  <c r="U15" i="16"/>
  <c r="T15" i="16"/>
  <c r="S16" i="2" s="1"/>
  <c r="S15" i="16"/>
  <c r="R15" i="16"/>
  <c r="Q15" i="16"/>
  <c r="P15" i="16"/>
  <c r="O15" i="16"/>
  <c r="N15" i="16"/>
  <c r="M15" i="16"/>
  <c r="L15" i="16"/>
  <c r="K16" i="2" s="1"/>
  <c r="K15" i="16"/>
  <c r="J15" i="16"/>
  <c r="I16" i="2" s="1"/>
  <c r="I15" i="16"/>
  <c r="H15" i="16"/>
  <c r="G15" i="16"/>
  <c r="F15" i="16"/>
  <c r="E15" i="16"/>
  <c r="D15" i="16"/>
  <c r="C16" i="2" s="1"/>
  <c r="C15" i="16"/>
  <c r="U16" i="15"/>
  <c r="Q16" i="15"/>
  <c r="O16" i="15"/>
  <c r="M16" i="15"/>
  <c r="K16" i="15"/>
  <c r="G16" i="15"/>
  <c r="E16" i="15"/>
  <c r="D16" i="15"/>
  <c r="C16" i="15"/>
  <c r="V15" i="15"/>
  <c r="U15" i="15"/>
  <c r="T15" i="15"/>
  <c r="S15" i="15"/>
  <c r="R15" i="15"/>
  <c r="Q15" i="15"/>
  <c r="P15" i="15"/>
  <c r="O15" i="15"/>
  <c r="N15" i="2" s="1"/>
  <c r="N15" i="15"/>
  <c r="M15" i="15"/>
  <c r="L15" i="15"/>
  <c r="K15" i="15"/>
  <c r="J15" i="15"/>
  <c r="I15" i="15"/>
  <c r="H15" i="15"/>
  <c r="G15" i="15"/>
  <c r="F15" i="15"/>
  <c r="E15" i="15"/>
  <c r="D15" i="15"/>
  <c r="C15" i="15"/>
  <c r="U16" i="14"/>
  <c r="Q16" i="14"/>
  <c r="O16" i="14"/>
  <c r="M16" i="14"/>
  <c r="K16" i="14"/>
  <c r="G16" i="14"/>
  <c r="E16" i="14"/>
  <c r="D16" i="14"/>
  <c r="C16" i="14"/>
  <c r="V15" i="14"/>
  <c r="U15" i="14"/>
  <c r="T15" i="14"/>
  <c r="S15" i="14"/>
  <c r="R15" i="14"/>
  <c r="Q14" i="2" s="1"/>
  <c r="Q15" i="14"/>
  <c r="P15" i="14"/>
  <c r="O15" i="14"/>
  <c r="N15" i="14"/>
  <c r="M15" i="14"/>
  <c r="L15" i="14"/>
  <c r="K15" i="14"/>
  <c r="J15" i="14"/>
  <c r="I14" i="2" s="1"/>
  <c r="I15" i="14"/>
  <c r="H15" i="14"/>
  <c r="G15" i="14"/>
  <c r="F15" i="14"/>
  <c r="E15" i="14"/>
  <c r="D15" i="14"/>
  <c r="C15" i="14"/>
  <c r="U16" i="13"/>
  <c r="Q16" i="13"/>
  <c r="O16" i="13"/>
  <c r="M16" i="13"/>
  <c r="K16" i="13"/>
  <c r="G16" i="13"/>
  <c r="E16" i="13"/>
  <c r="D16" i="13"/>
  <c r="C16" i="13"/>
  <c r="V15" i="13"/>
  <c r="U15" i="13"/>
  <c r="T13" i="2" s="1"/>
  <c r="T15" i="13"/>
  <c r="S13" i="2" s="1"/>
  <c r="S15" i="13"/>
  <c r="R15" i="13"/>
  <c r="Q13" i="2" s="1"/>
  <c r="Q15" i="13"/>
  <c r="P15" i="13"/>
  <c r="O13" i="2" s="1"/>
  <c r="O15" i="13"/>
  <c r="N15" i="13"/>
  <c r="M15" i="13"/>
  <c r="L13" i="2" s="1"/>
  <c r="L15" i="13"/>
  <c r="K15" i="13"/>
  <c r="J13" i="2" s="1"/>
  <c r="J15" i="13"/>
  <c r="I13" i="2" s="1"/>
  <c r="I15" i="13"/>
  <c r="H13" i="2" s="1"/>
  <c r="H15" i="13"/>
  <c r="G13" i="2" s="1"/>
  <c r="G15" i="13"/>
  <c r="F13" i="2" s="1"/>
  <c r="F15" i="13"/>
  <c r="E15" i="13"/>
  <c r="D13" i="2" s="1"/>
  <c r="D15" i="13"/>
  <c r="C15" i="13"/>
  <c r="U16" i="12"/>
  <c r="Q16" i="12"/>
  <c r="O16" i="12"/>
  <c r="M16" i="12"/>
  <c r="K16" i="12"/>
  <c r="G16" i="12"/>
  <c r="E16" i="12"/>
  <c r="D16" i="12"/>
  <c r="C16" i="12"/>
  <c r="V15" i="12"/>
  <c r="U15" i="12"/>
  <c r="T15" i="12"/>
  <c r="S15" i="12"/>
  <c r="R15" i="12"/>
  <c r="Q15" i="12"/>
  <c r="P15" i="12"/>
  <c r="O12" i="2" s="1"/>
  <c r="O15" i="12"/>
  <c r="N15" i="12"/>
  <c r="M15" i="12"/>
  <c r="L15" i="12"/>
  <c r="K15" i="12"/>
  <c r="J15" i="12"/>
  <c r="I15" i="12"/>
  <c r="H15" i="12"/>
  <c r="G12" i="2" s="1"/>
  <c r="G15" i="12"/>
  <c r="F15" i="12"/>
  <c r="E15" i="12"/>
  <c r="D15" i="12"/>
  <c r="C15" i="12"/>
  <c r="U16" i="11"/>
  <c r="Q16" i="11"/>
  <c r="O16" i="11"/>
  <c r="M16" i="11"/>
  <c r="K16" i="11"/>
  <c r="G16" i="11"/>
  <c r="E16" i="11"/>
  <c r="D16" i="11"/>
  <c r="C16" i="11"/>
  <c r="V15" i="11"/>
  <c r="U15" i="11"/>
  <c r="T15" i="11"/>
  <c r="S15" i="11"/>
  <c r="R11" i="2" s="1"/>
  <c r="R15" i="11"/>
  <c r="Q15" i="11"/>
  <c r="P15" i="11"/>
  <c r="O15" i="11"/>
  <c r="N15" i="11"/>
  <c r="M15" i="11"/>
  <c r="L15" i="11"/>
  <c r="K15" i="11"/>
  <c r="J11" i="2" s="1"/>
  <c r="J15" i="11"/>
  <c r="I15" i="11"/>
  <c r="H15" i="11"/>
  <c r="G15" i="11"/>
  <c r="F15" i="11"/>
  <c r="E15" i="11"/>
  <c r="D15" i="11"/>
  <c r="C15" i="11"/>
  <c r="U16" i="10"/>
  <c r="Q16" i="10"/>
  <c r="O16" i="10"/>
  <c r="M16" i="10"/>
  <c r="K16" i="10"/>
  <c r="G16" i="10"/>
  <c r="E16" i="10"/>
  <c r="D16" i="10"/>
  <c r="C16" i="10"/>
  <c r="V15" i="10"/>
  <c r="U10" i="2" s="1"/>
  <c r="U15" i="10"/>
  <c r="T10" i="2" s="1"/>
  <c r="T15" i="10"/>
  <c r="S15" i="10"/>
  <c r="R10" i="2" s="1"/>
  <c r="R15" i="10"/>
  <c r="Q15" i="10"/>
  <c r="P10" i="2" s="1"/>
  <c r="P15" i="10"/>
  <c r="O10" i="2" s="1"/>
  <c r="O15" i="10"/>
  <c r="N10" i="2" s="1"/>
  <c r="N15" i="10"/>
  <c r="M10" i="2" s="1"/>
  <c r="M15" i="10"/>
  <c r="L10" i="2" s="1"/>
  <c r="L15" i="10"/>
  <c r="K10" i="2" s="1"/>
  <c r="K15" i="10"/>
  <c r="J15" i="10"/>
  <c r="I10" i="2" s="1"/>
  <c r="I15" i="10"/>
  <c r="H10" i="2" s="1"/>
  <c r="H15" i="10"/>
  <c r="G10" i="2" s="1"/>
  <c r="G15" i="10"/>
  <c r="F10" i="2" s="1"/>
  <c r="F15" i="10"/>
  <c r="E10" i="2" s="1"/>
  <c r="E15" i="10"/>
  <c r="D10" i="2" s="1"/>
  <c r="D15" i="10"/>
  <c r="C15" i="10"/>
  <c r="U16" i="9"/>
  <c r="Q16" i="9"/>
  <c r="O16" i="9"/>
  <c r="M16" i="9"/>
  <c r="K16" i="9"/>
  <c r="G16" i="9"/>
  <c r="E16" i="9"/>
  <c r="D16" i="9"/>
  <c r="C16" i="9"/>
  <c r="V15" i="9"/>
  <c r="U15" i="9"/>
  <c r="T15" i="9"/>
  <c r="S15" i="9"/>
  <c r="R15" i="9"/>
  <c r="Q15" i="9"/>
  <c r="P9" i="2" s="1"/>
  <c r="P15" i="9"/>
  <c r="O15" i="9"/>
  <c r="N15" i="9"/>
  <c r="M15" i="9"/>
  <c r="L15" i="9"/>
  <c r="K15" i="9"/>
  <c r="J15" i="9"/>
  <c r="I15" i="9"/>
  <c r="H9" i="2" s="1"/>
  <c r="H15" i="9"/>
  <c r="G15" i="9"/>
  <c r="F15" i="9"/>
  <c r="E15" i="9"/>
  <c r="D15" i="9"/>
  <c r="C15" i="9"/>
  <c r="U16" i="8"/>
  <c r="Q16" i="8"/>
  <c r="O16" i="8"/>
  <c r="M16" i="8"/>
  <c r="K16" i="8"/>
  <c r="G16" i="8"/>
  <c r="E16" i="8"/>
  <c r="D16" i="8"/>
  <c r="C16" i="8"/>
  <c r="V15" i="8"/>
  <c r="U15" i="8"/>
  <c r="T15" i="8"/>
  <c r="S15" i="8"/>
  <c r="R15" i="8"/>
  <c r="Q15" i="8"/>
  <c r="P15" i="8"/>
  <c r="O15" i="8"/>
  <c r="N15" i="8"/>
  <c r="M15" i="8"/>
  <c r="L15" i="8"/>
  <c r="K8" i="2" s="1"/>
  <c r="K15" i="8"/>
  <c r="J15" i="8"/>
  <c r="I15" i="8"/>
  <c r="H15" i="8"/>
  <c r="G15" i="8"/>
  <c r="F15" i="8"/>
  <c r="E15" i="8"/>
  <c r="D15" i="8"/>
  <c r="C15" i="8"/>
  <c r="U16" i="7"/>
  <c r="Q16" i="7"/>
  <c r="O16" i="7"/>
  <c r="M16" i="7"/>
  <c r="K16" i="7"/>
  <c r="G16" i="7"/>
  <c r="E16" i="7"/>
  <c r="D16" i="7"/>
  <c r="C16" i="7"/>
  <c r="V15" i="7"/>
  <c r="U15" i="7"/>
  <c r="T15" i="7"/>
  <c r="S15" i="7"/>
  <c r="R15" i="7"/>
  <c r="Q15" i="7"/>
  <c r="P15" i="7"/>
  <c r="O15" i="7"/>
  <c r="N15" i="7"/>
  <c r="M15" i="7"/>
  <c r="L15" i="7"/>
  <c r="K15" i="7"/>
  <c r="J15" i="7"/>
  <c r="I15" i="7"/>
  <c r="H15" i="7"/>
  <c r="G15" i="7"/>
  <c r="F15" i="7"/>
  <c r="E15" i="7"/>
  <c r="D15" i="7"/>
  <c r="C15" i="7"/>
  <c r="U16" i="6"/>
  <c r="Q16" i="6"/>
  <c r="O16" i="6"/>
  <c r="M16" i="6"/>
  <c r="K16" i="6"/>
  <c r="G16" i="6"/>
  <c r="E16" i="6"/>
  <c r="D16" i="6"/>
  <c r="C16" i="6"/>
  <c r="V15" i="6"/>
  <c r="U15" i="6"/>
  <c r="T15" i="6"/>
  <c r="S15" i="6"/>
  <c r="R15" i="6"/>
  <c r="Q15" i="6"/>
  <c r="P15" i="6"/>
  <c r="O15" i="6"/>
  <c r="N15" i="6"/>
  <c r="M15" i="6"/>
  <c r="L15" i="6"/>
  <c r="K15" i="6"/>
  <c r="J15" i="6"/>
  <c r="I15" i="6"/>
  <c r="H15" i="6"/>
  <c r="G15" i="6"/>
  <c r="F15" i="6"/>
  <c r="E15" i="6"/>
  <c r="D15" i="6"/>
  <c r="C15" i="6"/>
  <c r="U16" i="5"/>
  <c r="Q16" i="5"/>
  <c r="O16" i="5"/>
  <c r="M16" i="5"/>
  <c r="K16" i="5"/>
  <c r="G16" i="5"/>
  <c r="E16" i="5"/>
  <c r="D16" i="5"/>
  <c r="C16" i="5"/>
  <c r="V15" i="5"/>
  <c r="U15" i="5"/>
  <c r="T15" i="5"/>
  <c r="S15" i="5"/>
  <c r="R15" i="5"/>
  <c r="Q15" i="5"/>
  <c r="P15" i="5"/>
  <c r="O15" i="5"/>
  <c r="N15" i="5"/>
  <c r="M15" i="5"/>
  <c r="L15" i="5"/>
  <c r="K15" i="5"/>
  <c r="J15" i="5"/>
  <c r="I15" i="5"/>
  <c r="H15" i="5"/>
  <c r="G15" i="5"/>
  <c r="F15" i="5"/>
  <c r="E15" i="5"/>
  <c r="D15" i="5"/>
  <c r="C15" i="5"/>
  <c r="U16" i="4"/>
  <c r="Q16" i="4"/>
  <c r="O16" i="4"/>
  <c r="M16" i="4"/>
  <c r="K16" i="4"/>
  <c r="G16" i="4"/>
  <c r="E16" i="4"/>
  <c r="D16" i="4"/>
  <c r="C16" i="4"/>
  <c r="V15" i="4"/>
  <c r="U15" i="4"/>
  <c r="T15" i="4"/>
  <c r="S15" i="4"/>
  <c r="R15" i="4"/>
  <c r="Q15" i="4"/>
  <c r="P15" i="4"/>
  <c r="O15" i="4"/>
  <c r="N15" i="4"/>
  <c r="M15" i="4"/>
  <c r="L15" i="4"/>
  <c r="K15" i="4"/>
  <c r="J15" i="4"/>
  <c r="I15" i="4"/>
  <c r="H15" i="4"/>
  <c r="G15" i="4"/>
  <c r="F15" i="4"/>
  <c r="E15" i="4"/>
  <c r="D15" i="4"/>
  <c r="C15" i="4"/>
  <c r="U16" i="3"/>
  <c r="Q16" i="3"/>
  <c r="O16" i="3"/>
  <c r="M16" i="3"/>
  <c r="K16" i="3"/>
  <c r="G16" i="3"/>
  <c r="E16" i="3"/>
  <c r="D16" i="3"/>
  <c r="C16" i="3"/>
  <c r="V15" i="3"/>
  <c r="U15" i="3"/>
  <c r="T3" i="2" s="1"/>
  <c r="T15" i="3"/>
  <c r="S15" i="3"/>
  <c r="R15" i="3"/>
  <c r="Q15" i="3"/>
  <c r="P15" i="3"/>
  <c r="O15" i="3"/>
  <c r="N15" i="3"/>
  <c r="M15" i="3"/>
  <c r="L3" i="2" s="1"/>
  <c r="L15" i="3"/>
  <c r="K3" i="2" s="1"/>
  <c r="K15" i="3"/>
  <c r="J3" i="2" s="1"/>
  <c r="J15" i="3"/>
  <c r="I3" i="2" s="1"/>
  <c r="I15" i="3"/>
  <c r="H15" i="3"/>
  <c r="G15" i="3"/>
  <c r="F15" i="3"/>
  <c r="E15" i="3"/>
  <c r="D3" i="2" s="1"/>
  <c r="D15" i="3"/>
  <c r="C15" i="3"/>
  <c r="U32" i="2"/>
  <c r="T32" i="2"/>
  <c r="S32" i="2"/>
  <c r="R32" i="2"/>
  <c r="Q32" i="2"/>
  <c r="P32" i="2"/>
  <c r="O32" i="2"/>
  <c r="N32" i="2"/>
  <c r="M32" i="2"/>
  <c r="L32" i="2"/>
  <c r="K32" i="2"/>
  <c r="J32" i="2"/>
  <c r="I32" i="2"/>
  <c r="H32" i="2"/>
  <c r="G32" i="2"/>
  <c r="F32" i="2"/>
  <c r="E32" i="2"/>
  <c r="D32" i="2"/>
  <c r="C32" i="2"/>
  <c r="U31" i="2"/>
  <c r="S31" i="2"/>
  <c r="O31" i="2"/>
  <c r="N31" i="2"/>
  <c r="M31" i="2"/>
  <c r="L31" i="2"/>
  <c r="K31" i="2"/>
  <c r="H31" i="2"/>
  <c r="G31" i="2"/>
  <c r="F31" i="2"/>
  <c r="E31" i="2"/>
  <c r="C31" i="2"/>
  <c r="S30" i="2"/>
  <c r="R30" i="2"/>
  <c r="Q30" i="2"/>
  <c r="P30" i="2"/>
  <c r="O30" i="2"/>
  <c r="N30" i="2"/>
  <c r="M30" i="2"/>
  <c r="K30" i="2"/>
  <c r="J30" i="2"/>
  <c r="I30" i="2"/>
  <c r="H30" i="2"/>
  <c r="G30" i="2"/>
  <c r="F30" i="2"/>
  <c r="E30" i="2"/>
  <c r="C30" i="2"/>
  <c r="U29" i="2"/>
  <c r="T29" i="2"/>
  <c r="S29" i="2"/>
  <c r="R29" i="2"/>
  <c r="Q29" i="2"/>
  <c r="P29" i="2"/>
  <c r="N29" i="2"/>
  <c r="M29" i="2"/>
  <c r="L29" i="2"/>
  <c r="K29" i="2"/>
  <c r="J29" i="2"/>
  <c r="I29" i="2"/>
  <c r="H29" i="2"/>
  <c r="F29" i="2"/>
  <c r="E29" i="2"/>
  <c r="D29" i="2"/>
  <c r="C29" i="2"/>
  <c r="U28" i="2"/>
  <c r="T28" i="2"/>
  <c r="S28" i="2"/>
  <c r="Q28" i="2"/>
  <c r="P28" i="2"/>
  <c r="O28" i="2"/>
  <c r="N28" i="2"/>
  <c r="M28" i="2"/>
  <c r="L28" i="2"/>
  <c r="K28" i="2"/>
  <c r="I28" i="2"/>
  <c r="H28" i="2"/>
  <c r="G28" i="2"/>
  <c r="F28" i="2"/>
  <c r="E28" i="2"/>
  <c r="D28" i="2"/>
  <c r="C28" i="2"/>
  <c r="T27" i="2"/>
  <c r="S27" i="2"/>
  <c r="R27" i="2"/>
  <c r="Q27" i="2"/>
  <c r="P27" i="2"/>
  <c r="O27" i="2"/>
  <c r="N27" i="2"/>
  <c r="L27" i="2"/>
  <c r="K27" i="2"/>
  <c r="J27" i="2"/>
  <c r="I27" i="2"/>
  <c r="H27" i="2"/>
  <c r="G27" i="2"/>
  <c r="F27" i="2"/>
  <c r="D27" i="2"/>
  <c r="C27" i="2"/>
  <c r="U26" i="2"/>
  <c r="T26" i="2"/>
  <c r="S26" i="2"/>
  <c r="R26" i="2"/>
  <c r="Q26" i="2"/>
  <c r="O26" i="2"/>
  <c r="N26" i="2"/>
  <c r="M26" i="2"/>
  <c r="L26" i="2"/>
  <c r="K26" i="2"/>
  <c r="J26" i="2"/>
  <c r="I26" i="2"/>
  <c r="G26" i="2"/>
  <c r="F26" i="2"/>
  <c r="E26" i="2"/>
  <c r="D26" i="2"/>
  <c r="C26" i="2"/>
  <c r="U25" i="2"/>
  <c r="T25" i="2"/>
  <c r="R25" i="2"/>
  <c r="Q25" i="2"/>
  <c r="P25" i="2"/>
  <c r="O25" i="2"/>
  <c r="N25" i="2"/>
  <c r="M25" i="2"/>
  <c r="L25" i="2"/>
  <c r="J25" i="2"/>
  <c r="I25" i="2"/>
  <c r="H25" i="2"/>
  <c r="G25" i="2"/>
  <c r="F25" i="2"/>
  <c r="E25" i="2"/>
  <c r="D25" i="2"/>
  <c r="U24" i="2"/>
  <c r="T24" i="2"/>
  <c r="S24" i="2"/>
  <c r="R24" i="2"/>
  <c r="Q24" i="2"/>
  <c r="P24" i="2"/>
  <c r="O24" i="2"/>
  <c r="M24" i="2"/>
  <c r="L24" i="2"/>
  <c r="K24" i="2"/>
  <c r="J24" i="2"/>
  <c r="I24" i="2"/>
  <c r="H24" i="2"/>
  <c r="G24" i="2"/>
  <c r="E24" i="2"/>
  <c r="D24" i="2"/>
  <c r="C24" i="2"/>
  <c r="T22" i="2"/>
  <c r="S22" i="2"/>
  <c r="R22" i="2"/>
  <c r="P22" i="2"/>
  <c r="O22" i="2"/>
  <c r="N22" i="2"/>
  <c r="M22" i="2"/>
  <c r="L22" i="2"/>
  <c r="C22" i="2"/>
  <c r="U21" i="2"/>
  <c r="S21" i="2"/>
  <c r="R21" i="2"/>
  <c r="Q21" i="2"/>
  <c r="P21" i="2"/>
  <c r="O21" i="2"/>
  <c r="N21" i="2"/>
  <c r="M21" i="2"/>
  <c r="K21" i="2"/>
  <c r="J21" i="2"/>
  <c r="I21" i="2"/>
  <c r="H21" i="2"/>
  <c r="G21" i="2"/>
  <c r="F21" i="2"/>
  <c r="E21" i="2"/>
  <c r="C21" i="2"/>
  <c r="U20" i="2"/>
  <c r="T20" i="2"/>
  <c r="S20" i="2"/>
  <c r="R20" i="2"/>
  <c r="Q20" i="2"/>
  <c r="P20" i="2"/>
  <c r="O20" i="2"/>
  <c r="N20" i="2"/>
  <c r="M20" i="2"/>
  <c r="L20" i="2"/>
  <c r="K20" i="2"/>
  <c r="J20" i="2"/>
  <c r="I20" i="2"/>
  <c r="H20" i="2"/>
  <c r="F20" i="2"/>
  <c r="E20" i="2"/>
  <c r="D20" i="2"/>
  <c r="C20" i="2"/>
  <c r="U18" i="2"/>
  <c r="T18" i="2"/>
  <c r="S18" i="2"/>
  <c r="Q18" i="2"/>
  <c r="P18" i="2"/>
  <c r="O18" i="2"/>
  <c r="N18" i="2"/>
  <c r="M18" i="2"/>
  <c r="L18" i="2"/>
  <c r="K18" i="2"/>
  <c r="I18" i="2"/>
  <c r="H18" i="2"/>
  <c r="G18" i="2"/>
  <c r="F18" i="2"/>
  <c r="E18" i="2"/>
  <c r="D18" i="2"/>
  <c r="C18" i="2"/>
  <c r="T17" i="2"/>
  <c r="S17" i="2"/>
  <c r="R17" i="2"/>
  <c r="Q17" i="2"/>
  <c r="P17" i="2"/>
  <c r="O17" i="2"/>
  <c r="N17" i="2"/>
  <c r="L17" i="2"/>
  <c r="K17" i="2"/>
  <c r="J17" i="2"/>
  <c r="I17" i="2"/>
  <c r="H17" i="2"/>
  <c r="G17" i="2"/>
  <c r="F17" i="2"/>
  <c r="D17" i="2"/>
  <c r="C17" i="2"/>
  <c r="T16" i="2"/>
  <c r="R16" i="2"/>
  <c r="Q16" i="2"/>
  <c r="P16" i="2"/>
  <c r="O16" i="2"/>
  <c r="N16" i="2"/>
  <c r="M16" i="2"/>
  <c r="L16" i="2"/>
  <c r="J16" i="2"/>
  <c r="H16" i="2"/>
  <c r="G16" i="2"/>
  <c r="F16" i="2"/>
  <c r="E16" i="2"/>
  <c r="D16" i="2"/>
  <c r="S15" i="2"/>
  <c r="R15" i="2"/>
  <c r="Q15" i="2"/>
  <c r="P15" i="2"/>
  <c r="O15" i="2"/>
  <c r="M15" i="2"/>
  <c r="L15" i="2"/>
  <c r="K15" i="2"/>
  <c r="J15" i="2"/>
  <c r="C15" i="2"/>
  <c r="U14" i="2"/>
  <c r="T14" i="2"/>
  <c r="S14" i="2"/>
  <c r="R14" i="2"/>
  <c r="P14" i="2"/>
  <c r="O14" i="2"/>
  <c r="N14" i="2"/>
  <c r="M14" i="2"/>
  <c r="L14" i="2"/>
  <c r="K14" i="2"/>
  <c r="J14" i="2"/>
  <c r="H14" i="2"/>
  <c r="G14" i="2"/>
  <c r="F14" i="2"/>
  <c r="E14" i="2"/>
  <c r="D14" i="2"/>
  <c r="C14" i="2"/>
  <c r="U13" i="2"/>
  <c r="R13" i="2"/>
  <c r="P13" i="2"/>
  <c r="N13" i="2"/>
  <c r="M13" i="2"/>
  <c r="K13" i="2"/>
  <c r="E13" i="2"/>
  <c r="C13" i="2"/>
  <c r="U12" i="2"/>
  <c r="T12" i="2"/>
  <c r="S12" i="2"/>
  <c r="R12" i="2"/>
  <c r="Q12" i="2"/>
  <c r="P12" i="2"/>
  <c r="N12" i="2"/>
  <c r="M12" i="2"/>
  <c r="L12" i="2"/>
  <c r="K12" i="2"/>
  <c r="J12" i="2"/>
  <c r="I12" i="2"/>
  <c r="H12" i="2"/>
  <c r="F12" i="2"/>
  <c r="E12" i="2"/>
  <c r="D12" i="2"/>
  <c r="C12" i="2"/>
  <c r="U11" i="2"/>
  <c r="T11" i="2"/>
  <c r="S11" i="2"/>
  <c r="Q11" i="2"/>
  <c r="P11" i="2"/>
  <c r="O11" i="2"/>
  <c r="N11" i="2"/>
  <c r="M11" i="2"/>
  <c r="L11" i="2"/>
  <c r="K11" i="2"/>
  <c r="I11" i="2"/>
  <c r="H11" i="2"/>
  <c r="G11" i="2"/>
  <c r="F11" i="2"/>
  <c r="E11" i="2"/>
  <c r="D11" i="2"/>
  <c r="C11" i="2"/>
  <c r="S10" i="2"/>
  <c r="Q10" i="2"/>
  <c r="J10" i="2"/>
  <c r="C10" i="2"/>
  <c r="U9" i="2"/>
  <c r="T9" i="2"/>
  <c r="Q9" i="2"/>
  <c r="O9" i="2"/>
  <c r="N9" i="2"/>
  <c r="M9" i="2"/>
  <c r="L9" i="2"/>
  <c r="K9" i="2"/>
  <c r="J9" i="2"/>
  <c r="I9" i="2"/>
  <c r="C9" i="2"/>
  <c r="U8" i="2"/>
  <c r="Q8" i="2"/>
  <c r="P8" i="2"/>
  <c r="O8" i="2"/>
  <c r="N8" i="2"/>
  <c r="M8" i="2"/>
  <c r="L8" i="2"/>
  <c r="J8" i="2"/>
  <c r="I8" i="2"/>
  <c r="H8" i="2"/>
  <c r="G8" i="2"/>
  <c r="F8" i="2"/>
  <c r="C8" i="2"/>
  <c r="U7" i="2"/>
  <c r="T7" i="2"/>
  <c r="S7" i="2"/>
  <c r="R7" i="2"/>
  <c r="Q7" i="2"/>
  <c r="P7" i="2"/>
  <c r="O7" i="2"/>
  <c r="N7" i="2"/>
  <c r="M7" i="2"/>
  <c r="L7" i="2"/>
  <c r="K7" i="2"/>
  <c r="J7" i="2"/>
  <c r="I7" i="2"/>
  <c r="H7" i="2"/>
  <c r="G7" i="2"/>
  <c r="F7" i="2"/>
  <c r="E7" i="2"/>
  <c r="D7" i="2"/>
  <c r="C7" i="2"/>
  <c r="U6" i="2"/>
  <c r="T6" i="2"/>
  <c r="S6" i="2"/>
  <c r="R6" i="2"/>
  <c r="Q6" i="2"/>
  <c r="P6" i="2"/>
  <c r="O6" i="2"/>
  <c r="N6" i="2"/>
  <c r="M6" i="2"/>
  <c r="L6" i="2"/>
  <c r="K6" i="2"/>
  <c r="J6" i="2"/>
  <c r="I6" i="2"/>
  <c r="H6" i="2"/>
  <c r="G6" i="2"/>
  <c r="F6" i="2"/>
  <c r="E6" i="2"/>
  <c r="D6" i="2"/>
  <c r="C6" i="2"/>
  <c r="U5" i="2"/>
  <c r="T5" i="2"/>
  <c r="S5" i="2"/>
  <c r="R5" i="2"/>
  <c r="Q5" i="2"/>
  <c r="P5" i="2"/>
  <c r="O5" i="2"/>
  <c r="N5" i="2"/>
  <c r="M5" i="2"/>
  <c r="L5" i="2"/>
  <c r="K5" i="2"/>
  <c r="J5" i="2"/>
  <c r="I5" i="2"/>
  <c r="H5" i="2"/>
  <c r="G5" i="2"/>
  <c r="F5" i="2"/>
  <c r="E5" i="2"/>
  <c r="D5" i="2"/>
  <c r="C5" i="2"/>
  <c r="U4" i="2"/>
  <c r="T4" i="2"/>
  <c r="S4" i="2"/>
  <c r="R4" i="2"/>
  <c r="Q4" i="2"/>
  <c r="P4" i="2"/>
  <c r="O4" i="2"/>
  <c r="N4" i="2"/>
  <c r="M4" i="2"/>
  <c r="L4" i="2"/>
  <c r="K4" i="2"/>
  <c r="J4" i="2"/>
  <c r="I4" i="2"/>
  <c r="H4" i="2"/>
  <c r="G4" i="2"/>
  <c r="F4" i="2"/>
  <c r="E4" i="2"/>
  <c r="D4" i="2"/>
  <c r="C4" i="2"/>
  <c r="U3" i="2"/>
  <c r="S3" i="2"/>
  <c r="R3" i="2"/>
  <c r="Q3" i="2"/>
  <c r="P3" i="2"/>
  <c r="O3" i="2"/>
  <c r="N3" i="2"/>
  <c r="M3" i="2"/>
  <c r="H3" i="2"/>
  <c r="G3" i="2"/>
  <c r="F3" i="2"/>
  <c r="E3" i="2"/>
  <c r="C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5" authorId="0" shapeId="0" xr:uid="{00000000-0006-0000-0300-000006000000}">
      <text>
        <r>
          <rPr>
            <sz val="11"/>
            <color theme="1"/>
            <rFont val="Calibri"/>
            <scheme val="minor"/>
          </rPr>
          <t>======
ID#AAABzG0tJuo
Dr. Maged Abdullah Esmail    (2026-01-27 03:44:17)
Needed rephrasing to cover all topics. The new one in red</t>
        </r>
      </text>
    </comment>
    <comment ref="C8" authorId="0" shapeId="0" xr:uid="{00000000-0006-0000-0300-000005000000}">
      <text>
        <r>
          <rPr>
            <sz val="11"/>
            <color theme="1"/>
            <rFont val="Calibri"/>
            <scheme val="minor"/>
          </rPr>
          <t>======
ID#AAABzG0tJus
Dr. Maged Abdullah Esmail    (2026-01-27 03:45:11)
Needed rephrasing to cover all topics. The new one in red</t>
        </r>
      </text>
    </comment>
    <comment ref="C9" authorId="0" shapeId="0" xr:uid="{00000000-0006-0000-0300-000004000000}">
      <text>
        <r>
          <rPr>
            <sz val="11"/>
            <color theme="1"/>
            <rFont val="Calibri"/>
            <scheme val="minor"/>
          </rPr>
          <t>======
ID#AAABzG0tJuw
Dr. Maged Abdullah Esmail    (2026-01-27 03:45:46)
Needed rephrasing to merge 2.2 and 2.3. The new one in red</t>
        </r>
      </text>
    </comment>
    <comment ref="C10" authorId="0" shapeId="0" xr:uid="{00000000-0006-0000-0300-000003000000}">
      <text>
        <r>
          <rPr>
            <sz val="11"/>
            <color theme="1"/>
            <rFont val="Calibri"/>
            <scheme val="minor"/>
          </rPr>
          <t>======
ID#AAABzG0tJu0
Dr. Maged Abdullah Esmail    (2026-01-27 03:46:25)
Removed this clo as it is now merged with 2.2. The new one in red is dedicated for lab experiments and so6</t>
        </r>
      </text>
    </comment>
    <comment ref="C13" authorId="0" shapeId="0" xr:uid="{00000000-0006-0000-0300-000002000000}">
      <text>
        <r>
          <rPr>
            <sz val="11"/>
            <color theme="1"/>
            <rFont val="Calibri"/>
            <scheme val="minor"/>
          </rPr>
          <t>======
ID#AAABzG0tJu4
Dr. Maged Abdullah Esmail    (2026-01-27 03:46:57)
The new one in red is now dedicated for so5 teamwork</t>
        </r>
      </text>
    </comment>
    <comment ref="C14" authorId="0" shapeId="0" xr:uid="{00000000-0006-0000-0300-000001000000}">
      <text>
        <r>
          <rPr>
            <sz val="11"/>
            <color theme="1"/>
            <rFont val="Calibri"/>
            <scheme val="minor"/>
          </rPr>
          <t>======
ID#AAABzG0tJu8
Dr. Maged Abdullah Esmail    (2026-01-27 03:47:23)
The new one in red is for ethics, which was not there before</t>
        </r>
      </text>
    </comment>
  </commentList>
  <extLst>
    <ext xmlns:r="http://schemas.openxmlformats.org/officeDocument/2006/relationships" uri="GoogleSheetsCustomDataVersion2">
      <go:sheetsCustomData xmlns:go="http://customooxmlschemas.google.com/" r:id="rId1" roundtripDataSignature="AMtx7micQPGSuYpYe+ffYS7aCPbiHKC5P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5" authorId="0" shapeId="0" xr:uid="{00000000-0006-0000-0600-000006000000}">
      <text>
        <r>
          <rPr>
            <sz val="11"/>
            <color theme="1"/>
            <rFont val="Calibri"/>
            <scheme val="minor"/>
          </rPr>
          <t>======
ID#AAABzIrDUi0
Dr. Moustafa Nasralla    (2026-01-27 20:11:40)
This CLO targets foundational knowledge where students apply standard mathematical and engineering definitions to characterize signals and systems without requiring higher-order analysis or engineering judgment.
Homework Problem Sets (PI12)
Quizzes (PI12)
Midterm / Major Exams (PI12)
Final Exam (PI12</t>
        </r>
      </text>
    </comment>
    <comment ref="C6" authorId="0" shapeId="0" xr:uid="{00000000-0006-0000-0600-000003000000}">
      <text>
        <r>
          <rPr>
            <sz val="11"/>
            <color theme="1"/>
            <rFont val="Calibri"/>
            <scheme val="minor"/>
          </rPr>
          <t>======
ID#AAABzLdwxdc
Dr. Moustafa Nasralla    (2026-01-29 20:36:07)
Homework Problem Sets (PI12)
Quizzes (PI12)
Midterm / Major Exams (PI12)
Final Exam (PI12)</t>
        </r>
      </text>
    </comment>
    <comment ref="C8" authorId="0" shapeId="0" xr:uid="{00000000-0006-0000-0600-000002000000}">
      <text>
        <r>
          <rPr>
            <sz val="11"/>
            <color theme="1"/>
            <rFont val="Calibri"/>
            <scheme val="minor"/>
          </rPr>
          <t>======
ID#AAABzLdwxdg
Dr. Moustafa Nasralla    (2026-01-29 20:39:52)
Homework + Exams with convolution/response computations (PI12)
Questions that require interpreting plots/results (PI63)
Questions that require concluding stability/causality/behavior (PI64)
MATLAB lab/task producing responses + interpretation + conclusion (PI12, PI63, PI64)</t>
        </r>
      </text>
    </comment>
    <comment ref="C9" authorId="0" shapeId="0" xr:uid="{00000000-0006-0000-0600-000005000000}">
      <text>
        <r>
          <rPr>
            <sz val="11"/>
            <color theme="1"/>
            <rFont val="Calibri"/>
            <scheme val="minor"/>
          </rPr>
          <t>======
ID#AAABzIrDUi8
Dr. Moustafa Nasralla    (2026-01-27 20:45:58)
Homework (Z-transform system analysis) (PI12)
MATLAB-based pole–zero and response analysis (PI12, PI6.3)
Exam problems requiring stability/causality conclusions (PI6.3, PI6.4)
Interpretation questions (given plots → conclusions) (PI6.4)</t>
        </r>
      </text>
    </comment>
    <comment ref="C10" authorId="0" shapeId="0" xr:uid="{00000000-0006-0000-0600-000001000000}">
      <text>
        <r>
          <rPr>
            <sz val="11"/>
            <color theme="1"/>
            <rFont val="Calibri"/>
            <scheme val="minor"/>
          </rPr>
          <t>======
ID#AAABzLdwxdk
Dr. Moustafa Nasralla    (2026-01-29 20:42:17)
Homework Problem Sets (Fourier analysis &amp; spectra) (PI 1.2)
MATLAB / FFT-Based Analysis Tasks (PI 1.2, PI 6.3)
Quizzes (concepts + interpretation questions) (PI 1.2, PI 6.3)
Midterm / Major Exams (PI 1.2, PI 6.3)
Final Exam (PI 1.2, PI 6.3)</t>
        </r>
      </text>
    </comment>
    <comment ref="C11" authorId="0" shapeId="0" xr:uid="{00000000-0006-0000-0600-000004000000}">
      <text>
        <r>
          <rPr>
            <sz val="11"/>
            <color theme="1"/>
            <rFont val="Calibri"/>
            <scheme val="minor"/>
          </rPr>
          <t>======
ID#AAABzIrDUjA
Dr. Moustafa Nasralla    (2026-01-27 21:00:08)
MATLAB Lab Assignment / Mini-Project Report (PI63, PI64, PI71)
MATLAB Code Submission + Output Files (plots, spectra) (PI63)
Performance Evaluation &amp; Conclusions Section (PI64)
Independent Learning Note (½–1 page) (PI71)
Instructor Observation / Code Review Checklist (PI63, PI64)</t>
        </r>
      </text>
    </comment>
  </commentList>
  <extLst>
    <ext xmlns:r="http://schemas.openxmlformats.org/officeDocument/2006/relationships" uri="GoogleSheetsCustomDataVersion2">
      <go:sheetsCustomData xmlns:go="http://customooxmlschemas.google.com/" r:id="rId1" roundtripDataSignature="AMtx7mgQnTPSaGF+LsfAPFjSGxthrUk2T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5" authorId="0" shapeId="0" xr:uid="{00000000-0006-0000-0A00-000001000000}">
      <text>
        <r>
          <rPr>
            <sz val="11"/>
            <color theme="1"/>
            <rFont val="Calibri"/>
            <scheme val="minor"/>
          </rPr>
          <t>======
ID#AAABzHmf01U
Dr. Maged Abdullah Esmail    (2026-01-27 10:13:07)
Rephrased to be comprehensive. The new one is the red one. Remove the black one</t>
        </r>
      </text>
    </comment>
    <comment ref="C8" authorId="0" shapeId="0" xr:uid="{00000000-0006-0000-0A00-000004000000}">
      <text>
        <r>
          <rPr>
            <sz val="11"/>
            <color theme="1"/>
            <rFont val="Calibri"/>
            <scheme val="minor"/>
          </rPr>
          <t>======
ID#AAABzG6n24k
Dr. Maged Abdullah Esmail    (2026-01-27 10:09:30)
Rephrased to cover CLO2.1 and CLO2.3. The new one is the red one. Remove the black one</t>
        </r>
      </text>
    </comment>
    <comment ref="C9" authorId="0" shapeId="0" xr:uid="{00000000-0006-0000-0A00-000003000000}">
      <text>
        <r>
          <rPr>
            <sz val="11"/>
            <color theme="1"/>
            <rFont val="Calibri"/>
            <scheme val="minor"/>
          </rPr>
          <t>======
ID#AAABzHmf01M
Dr. Maged Abdullah Esmail    (2026-01-27 10:09:46)
Rephrased to cover more topics. he new one is the red one. Remove the black one</t>
        </r>
      </text>
    </comment>
    <comment ref="C10" authorId="0" shapeId="0" xr:uid="{00000000-0006-0000-0A00-000005000000}">
      <text>
        <r>
          <rPr>
            <sz val="11"/>
            <color theme="1"/>
            <rFont val="Calibri"/>
            <scheme val="minor"/>
          </rPr>
          <t>======
ID#AAABzG6n24g
Dr. Maged Abdullah Esmail    (2026-01-27 10:08:59)
Remove this as it is now covered in CLO2.1</t>
        </r>
      </text>
    </comment>
    <comment ref="C11" authorId="0" shapeId="0" xr:uid="{00000000-0006-0000-0A00-000002000000}">
      <text>
        <r>
          <rPr>
            <sz val="11"/>
            <color theme="1"/>
            <rFont val="Calibri"/>
            <scheme val="minor"/>
          </rPr>
          <t>======
ID#AAABzHmf01Q
Dr. Maged Abdullah Esmail    (2026-01-27 10:10:10)
New CLO to cover SO3</t>
        </r>
      </text>
    </comment>
    <comment ref="C13" authorId="0" shapeId="0" xr:uid="{00000000-0006-0000-0A00-000006000000}">
      <text>
        <r>
          <rPr>
            <sz val="11"/>
            <color theme="1"/>
            <rFont val="Calibri"/>
            <scheme val="minor"/>
          </rPr>
          <t>======
ID#AAABzG6n24c
Dr. Maged Abdullah Esmail    (2026-01-27 10:07:40)
New CLO to cover SO7</t>
        </r>
      </text>
    </comment>
  </commentList>
  <extLst>
    <ext xmlns:r="http://schemas.openxmlformats.org/officeDocument/2006/relationships" uri="GoogleSheetsCustomDataVersion2">
      <go:sheetsCustomData xmlns:go="http://customooxmlschemas.google.com/" r:id="rId1" roundtripDataSignature="AMtx7mguHLXBwDU9b5GGgvzDt35CZBVTb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C5" authorId="0" shapeId="0" xr:uid="{00000000-0006-0000-1000-000009000000}">
      <text>
        <r>
          <rPr>
            <sz val="11"/>
            <color theme="1"/>
            <rFont val="Calibri"/>
            <scheme val="minor"/>
          </rPr>
          <t>======
ID#AAABzLdwxcs
Dr. Moustafa Nasralla    (2026-01-29 20:21:50)
Assessments:
Project Proposal Report (PI11, PI12)
[PI11] Clearly stated problem definition identifying an open-ended electrical engineering challenge
[PI12] Identification of governing equations, EE principles, and system parameters
[PI12] Preliminary quantitative performance metrics (e.g., power, bandwidth, efficiency)
Requirements &amp; Specifications Document (PI11, PI12)
[PI11] Functional and non-functional requirements derived from the problem statement
[PI12] Quantified technical specifications based on engineering principles
[PI12] Justified assumptions and constraints supported by EE reasoning
Proposal Oral Presentation / Design Pitch (PI11, PI12)
[PI11] Verbal explanation of the engineering problem scope and complexity
[PI12] Justification of technical feasibility using mathematical and EE principles
[PI12] Responses to technical questions demonstrating applied engineering knowledge
Project Logbook / Design Journal (PI11, PI12)
[PI11] Dated entries documenting problem scoping and technical research activities
[PI12] Records of identified engineering principles, equations, and parameters
[PI12] Documentation of technical decisions made during problem formulation
Individual Contribution Reflection (PI12)
[PI12] Description of technical knowledge independently researched and applied
[PI12] Explanation of how engineering principles informed problem definition and feasibility</t>
        </r>
      </text>
    </comment>
    <comment ref="C8" authorId="0" shapeId="0" xr:uid="{00000000-0006-0000-1000-000008000000}">
      <text>
        <r>
          <rPr>
            <sz val="11"/>
            <color theme="1"/>
            <rFont val="Calibri"/>
            <scheme val="minor"/>
          </rPr>
          <t>======
ID#AAABzLdwxcw
Dr. Moustafa Nasralla    (2026-01-29 20:22:42)
Conceptual Design Report (PI21, PI22, PI23, PI24)
Design Review Presentation (PDR/CDR) (PI21, PI22, PI23, PI24)
Design Constraints &amp; Standards Compliance Section (PI22, PI23, PI24)
Final Design Report (PI21, PI22, PI23, PI24)</t>
        </r>
      </text>
    </comment>
    <comment ref="C9" authorId="0" shapeId="0" xr:uid="{00000000-0006-0000-1000-000006000000}">
      <text>
        <r>
          <rPr>
            <sz val="11"/>
            <color theme="1"/>
            <rFont val="Calibri"/>
            <scheme val="minor"/>
          </rPr>
          <t>======
ID#AAABzLdwxc4
Dr. Moustafa Nasralla    (2026-01-29 20:24:58)
Concept Generation &amp; Selection Report (PI21, PI23)
Concept Screening / Decision Matrix (Pugh or Weighted Scoring) (PI21, PI23)
Design Review (PDR/CDR) – Alternatives &amp; Justification Slides (PI21, PI23)
Project Logbook Entries on Alternatives &amp; Rationale (PI21, PI23)</t>
        </r>
      </text>
    </comment>
    <comment ref="C10" authorId="0" shapeId="0" xr:uid="{00000000-0006-0000-1000-000007000000}">
      <text>
        <r>
          <rPr>
            <sz val="11"/>
            <color theme="1"/>
            <rFont val="Calibri"/>
            <scheme val="minor"/>
          </rPr>
          <t>======
ID#AAABzLdwxc0
Dr. Moustafa Nasralla    (2026-01-29 20:24:37)
Engineering Drawings / CAD Files Submission (PI31)
Design Visualization Section in Final Report (PI31)
Design Review Visuals (PDR/CDR Slides &amp; Posters) (PI31)
Annotated Schematics / Block Diagrams (PI31)</t>
        </r>
      </text>
    </comment>
    <comment ref="C11" authorId="0" shapeId="0" xr:uid="{00000000-0006-0000-1000-000005000000}">
      <text>
        <r>
          <rPr>
            <sz val="11"/>
            <color theme="1"/>
            <rFont val="Calibri"/>
            <scheme val="minor"/>
          </rPr>
          <t>======
ID#AAABzLdwxc8
Dr. Moustafa Nasralla    (2026-01-29 20:25:54)
Formal Technical Report (with drawings/graphs) (PI31)
Engineering Drawings / Visual Design Artifacts (PI31)
Proposal Oral Presentation / Design Pitch (PI32)
Design Review Presentation (PDR/CDR) (PI32)
Final Oral Presentation &amp; Demo (PI32)</t>
        </r>
      </text>
    </comment>
    <comment ref="C12" authorId="0" shapeId="0" xr:uid="{00000000-0006-0000-1000-000004000000}">
      <text>
        <r>
          <rPr>
            <sz val="11"/>
            <color theme="1"/>
            <rFont val="Calibri"/>
            <scheme val="minor"/>
          </rPr>
          <t>======
ID#AAABzLdwxdM
Dr. Moustafa Nasralla    (2026-01-29 20:29:27)
Experimental/Test Plan (PI61)
Prototype Testing &amp; Data Collection Records (PI62)
Results Analysis Section in Technical Report (PI63)
Design Validation &amp; Conclusions Section (PI64)
Final Design Demonstration / Validation Review (PI61, PI62, PI63, PI64)</t>
        </r>
      </text>
    </comment>
    <comment ref="C13" authorId="0" shapeId="0" xr:uid="{00000000-0006-0000-1000-000003000000}">
      <text>
        <r>
          <rPr>
            <sz val="11"/>
            <color theme="1"/>
            <rFont val="Calibri"/>
            <scheme val="minor"/>
          </rPr>
          <t>======
ID#AAABzLdwxdQ
Dr. Moustafa Nasralla    (2026-01-29 20:30:17)
Ethics &amp; Professional Responsibility Case Study Report (PI41, PI42)
Risk/Safety &amp; Impact Assessment Section in Design Report (PI42)
Standards/Compliance &amp; Legal Considerations Checklist (PI41, PI42)
Oral Defense (Q&amp;A) on Ethical/Impact Considerations (PI41, PI42)</t>
        </r>
      </text>
    </comment>
    <comment ref="C14" authorId="0" shapeId="0" xr:uid="{00000000-0006-0000-1000-000002000000}">
      <text>
        <r>
          <rPr>
            <sz val="11"/>
            <color theme="1"/>
            <rFont val="Calibri"/>
            <scheme val="minor"/>
          </rPr>
          <t>======
ID#AAABzLdwxdU
Dr. Moustafa Nasralla    (2026-01-29 20:30:54)
Team Project Plan &amp; Task Allocation Document (PI51, PI52)
Peer Evaluation / Teamwork Assessment (PI51, PI52)
Project Management Artifacts (Gantt chart, milestones) (PI52)
Advisor/Instructor Team Performance Evaluation (PI51, PI52)</t>
        </r>
      </text>
    </comment>
    <comment ref="C15" authorId="0" shapeId="0" xr:uid="{00000000-0006-0000-1000-000001000000}">
      <text>
        <r>
          <rPr>
            <sz val="11"/>
            <color theme="1"/>
            <rFont val="Calibri"/>
            <scheme val="minor"/>
          </rPr>
          <t>======
ID#AAABzLdwxdY
Dr. Moustafa Nasralla    (2026-01-29 20:31:26)
Independent Learning Log / Self-Learning Report (PI71, PI72)
Tool/Standard Adoption Evidence in Design Report (PI72)
Annotated Bibliography / Technical Resource Summary (PI71)
Advisor Evaluation of Learning Adaptation (PI71, PI72)</t>
        </r>
      </text>
    </comment>
  </commentList>
  <extLst>
    <ext xmlns:r="http://schemas.openxmlformats.org/officeDocument/2006/relationships" uri="GoogleSheetsCustomDataVersion2">
      <go:sheetsCustomData xmlns:go="http://customooxmlschemas.google.com/" r:id="rId1" roundtripDataSignature="AMtx7miphZrPRY0bMWxMFiGYdh37efUo5w=="/>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5" authorId="0" shapeId="0" xr:uid="{00000000-0006-0000-1100-000007000000}">
      <text>
        <r>
          <rPr>
            <sz val="11"/>
            <color theme="1"/>
            <rFont val="Calibri"/>
            <scheme val="minor"/>
          </rPr>
          <t>======
ID#AAABzLdwxdo
Dr. Moustafa Nasralla    (2026-01-29 20:50:39)
COOP Technical Report (PI12, PI72)
Learning Reflection / Self-Learning Report (PI71, PI72)
Workplace Task Portfolio / Evidence Log (PI12)
Employer / Supervisor Evaluation (PI12)
Final COOP Oral Presentation (PI12, PI72)</t>
        </r>
      </text>
    </comment>
    <comment ref="C6" authorId="0" shapeId="0" xr:uid="{00000000-0006-0000-1100-000006000000}">
      <text>
        <r>
          <rPr>
            <sz val="11"/>
            <color theme="1"/>
            <rFont val="Calibri"/>
            <scheme val="minor"/>
          </rPr>
          <t>======
ID#AAABzLdwxds
Dr. Moustafa Nasralla    (2026-01-29 20:52:34)
COOP Technical Report – Problem Identification Section (PI11, PI12)
Workplace Problem Log / Weekly Logbook (PI11)
Employer / Supervisor Evaluation (PI11, PI12)
Final COOP Presentation – Industry Problems Section (PI11, PI12)</t>
        </r>
      </text>
    </comment>
    <comment ref="C8" authorId="0" shapeId="0" xr:uid="{00000000-0006-0000-1100-000005000000}">
      <text>
        <r>
          <rPr>
            <sz val="11"/>
            <color theme="1"/>
            <rFont val="Calibri"/>
            <scheme val="minor"/>
          </rPr>
          <t>======
ID#AAABzLdwxdw
Dr. Moustafa Nasralla    (2026-01-29 20:53:47)
COOP Technical Report (PI31)
Workplace Written Communication Samples (emails, reports, memos) (PI31)
Final COOP Oral Presentation (PI32)
Supervisor Evaluation of Communication Skills (PI31, PI32)</t>
        </r>
      </text>
    </comment>
    <comment ref="C9" authorId="0" shapeId="0" xr:uid="{00000000-0006-0000-1100-000004000000}">
      <text>
        <r>
          <rPr>
            <sz val="11"/>
            <color theme="1"/>
            <rFont val="Calibri"/>
            <scheme val="minor"/>
          </rPr>
          <t>======
ID#AAABzLdwxd0
Dr. Moustafa Nasralla    (2026-01-29 20:55:43)
COOP Technical Report – Technical Work Section (PI12, PI63, PI64)
Workplace Task Portfolio / Evidence Log (PI12, PI63)
Supervisor Evaluation of Technical Performance (PI12, PI64)
Troubleshooting Case Description / Reflection (PI63, PI64)</t>
        </r>
      </text>
    </comment>
    <comment ref="C10" authorId="0" shapeId="0" xr:uid="{00000000-0006-0000-1100-000001000000}">
      <text>
        <r>
          <rPr>
            <sz val="11"/>
            <color theme="1"/>
            <rFont val="Calibri"/>
            <scheme val="minor"/>
          </rPr>
          <t>======
ID#AAABzLdwxeA
Dr. Moustafa Nasralla    (2026-01-29 21:00:50)
Employer / Supervisor Evaluation (Teamwork &amp; Leadership) (PI51, PI52)
Team Contribution Reflection Report (PI51, PI52)
Workplace Task Allocation / Planning Evidence (PI52)
Peer or Team Feedback (if available) (PI51)</t>
        </r>
      </text>
    </comment>
    <comment ref="C13" authorId="0" shapeId="0" xr:uid="{00000000-0006-0000-1100-000003000000}">
      <text>
        <r>
          <rPr>
            <sz val="11"/>
            <color theme="1"/>
            <rFont val="Calibri"/>
            <scheme val="minor"/>
          </rPr>
          <t>======
ID#AAABzLdwxd4
Dr. Moustafa Nasralla    (2026-01-29 20:56:07)
COOP Technical Report – Technical Work Section (PI12, PI63, PI64)
Workplace Task Portfolio / Evidence Log (PI12, PI63)
Supervisor Evaluation of Technical Performance (PI12, PI64)
Troubleshooting Case Description / Reflection (PI63, PI64)</t>
        </r>
      </text>
    </comment>
    <comment ref="C14" authorId="0" shapeId="0" xr:uid="{00000000-0006-0000-1100-000002000000}">
      <text>
        <r>
          <rPr>
            <sz val="11"/>
            <color theme="1"/>
            <rFont val="Calibri"/>
            <scheme val="minor"/>
          </rPr>
          <t>======
ID#AAABzLdwxd8
Dr. Moustafa Nasralla    (2026-01-29 20:57:22)
Ethics &amp; Professional Responsibility Reflection Report (PI41, PI42)
COOP Technical Report – Ethics / Compliance Section (PI41, PI42)
Employer / Supervisor Evaluation (Professional Conduct &amp; Ethics) (PI41)
Ethical Scenario / Incident Analysis (Workplace-based) (PI41, PI42)</t>
        </r>
      </text>
    </comment>
  </commentList>
  <extLst>
    <ext xmlns:r="http://schemas.openxmlformats.org/officeDocument/2006/relationships" uri="GoogleSheetsCustomDataVersion2">
      <go:sheetsCustomData xmlns:go="http://customooxmlschemas.google.com/" r:id="rId1" roundtripDataSignature="AMtx7mhR7AJIoppNGQczdSaYj5J+GTTIiw=="/>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<sst xmlns="http://schemas.openxmlformats.org/spreadsheetml/2006/main" count="1669" uniqueCount="296">
  <si>
    <t>SO#</t>
  </si>
  <si>
    <t>SO statement</t>
  </si>
  <si>
    <t>PI code</t>
  </si>
  <si>
    <t>PI statement</t>
  </si>
  <si>
    <t>Course level</t>
  </si>
  <si>
    <t>Rubric</t>
  </si>
  <si>
    <t>ABET Illustration</t>
  </si>
  <si>
    <t>SO1</t>
  </si>
  <si>
    <t>Ability to identify, formulate, and solve complex engineering problems by applying principles of engineering, science, and mathematics.</t>
  </si>
  <si>
    <t>PI11</t>
  </si>
  <si>
    <t>Identify, formulate, and solve complex electrical engineering problems</t>
  </si>
  <si>
    <t>– For senior-level courses that include complex engineering problems.</t>
  </si>
  <si>
    <r>
      <rPr>
        <b/>
        <sz val="11"/>
        <color theme="1"/>
        <rFont val="Calibri"/>
      </rPr>
      <t xml:space="preserve">Complex Engineering Problems </t>
    </r>
    <r>
      <rPr>
        <sz val="11"/>
        <color theme="1"/>
        <rFont val="Calibri"/>
      </rPr>
      <t xml:space="preserve">– Complex engineering problems include </t>
    </r>
    <r>
      <rPr>
        <b/>
        <sz val="11"/>
        <color rgb="FFFF0000"/>
        <rFont val="Calibri"/>
      </rPr>
      <t xml:space="preserve">one or more of the following </t>
    </r>
    <r>
      <rPr>
        <sz val="11"/>
        <color theme="1"/>
        <rFont val="Calibri"/>
      </rPr>
      <t>characteristics: 
-involving wide-ranging or conflicting technical issues, 
-having no obvious solution, 
-addressing problems not encompassed by current standards and codes, 
-involving diverse groups of stakeholders, 
-including many component parts or sub-problems, 
-involving multiple disciplines, 
-or having significant consequences in a range of contexts.</t>
    </r>
  </si>
  <si>
    <t>PI12</t>
  </si>
  <si>
    <t>Apply principles of mathematics, science, and electrical engineering to solve engineering problems and compute required quantities</t>
  </si>
  <si>
    <t>-For low-level courses such as circuits, electronics, signals, etc.
-Also for senior-level courses that include complex engineering problems (together with PI11).</t>
  </si>
  <si>
    <t>SO2</t>
  </si>
  <si>
    <t>An ability to apply engineering design to produce solutions that meet specified needs with consideration of public health, safety, and welfare, as well as global, cultural, social, environmental, and economic factors.</t>
  </si>
  <si>
    <t>PI21</t>
  </si>
  <si>
    <t>Apply engineering design to produce a solution that meets specified needs</t>
  </si>
  <si>
    <r>
      <rPr>
        <b/>
        <sz val="11"/>
        <color theme="1"/>
        <rFont val="Calibri"/>
      </rPr>
      <t>Engineering design</t>
    </r>
    <r>
      <rPr>
        <sz val="11"/>
        <color theme="1"/>
        <rFont val="Calibri"/>
      </rPr>
      <t xml:space="preserve"> is a </t>
    </r>
    <r>
      <rPr>
        <b/>
        <sz val="11"/>
        <color theme="1"/>
        <rFont val="Calibri"/>
      </rPr>
      <t xml:space="preserve">process </t>
    </r>
    <r>
      <rPr>
        <sz val="11"/>
        <color theme="1"/>
        <rFont val="Calibri"/>
      </rPr>
      <t xml:space="preserve">of devising a system, component, or process to meet desired needs and specifications within </t>
    </r>
    <r>
      <rPr>
        <b/>
        <sz val="11"/>
        <color theme="1"/>
        <rFont val="Calibri"/>
      </rPr>
      <t>constraints</t>
    </r>
    <r>
      <rPr>
        <sz val="11"/>
        <color theme="1"/>
        <rFont val="Calibri"/>
      </rPr>
      <t xml:space="preserve">. It is an </t>
    </r>
    <r>
      <rPr>
        <b/>
        <sz val="11"/>
        <color theme="1"/>
        <rFont val="Calibri"/>
      </rPr>
      <t>iterative</t>
    </r>
    <r>
      <rPr>
        <sz val="11"/>
        <color theme="1"/>
        <rFont val="Calibri"/>
      </rPr>
      <t xml:space="preserve">, </t>
    </r>
    <r>
      <rPr>
        <b/>
        <sz val="11"/>
        <color theme="1"/>
        <rFont val="Calibri"/>
      </rPr>
      <t>creative</t>
    </r>
    <r>
      <rPr>
        <sz val="11"/>
        <color theme="1"/>
        <rFont val="Calibri"/>
      </rPr>
      <t xml:space="preserve">, </t>
    </r>
    <r>
      <rPr>
        <b/>
        <sz val="11"/>
        <color theme="1"/>
        <rFont val="Calibri"/>
      </rPr>
      <t>decision-making process</t>
    </r>
    <r>
      <rPr>
        <sz val="11"/>
        <color theme="1"/>
        <rFont val="Calibri"/>
      </rPr>
      <t xml:space="preserve"> in which the basic sciences, mathematics, and engineering sciences are applied to convert resources into solutions. Engineering design </t>
    </r>
    <r>
      <rPr>
        <b/>
        <sz val="11"/>
        <color theme="1"/>
        <rFont val="Calibri"/>
      </rPr>
      <t xml:space="preserve">involves </t>
    </r>
    <r>
      <rPr>
        <sz val="11"/>
        <color theme="1"/>
        <rFont val="Calibri"/>
      </rPr>
      <t xml:space="preserve">identifying opportunities, developing requirements, performing analysis and synthesis, generating multiple solutions, evaluating solutions against requirements, considering risks, and making trade-offs, for the purpose of obtaining a high-quality solution under the given circumstances. </t>
    </r>
    <r>
      <rPr>
        <b/>
        <sz val="11"/>
        <color theme="1"/>
        <rFont val="Calibri"/>
      </rPr>
      <t>For illustrative purposes only</t>
    </r>
    <r>
      <rPr>
        <sz val="11"/>
        <color theme="1"/>
        <rFont val="Calibri"/>
      </rPr>
      <t xml:space="preserve">, examples of possible constraints include aesthetics, codes, constructability, cost, ergonomics, extensibility, functionality, interoperability, legal considerations, maintainability, manufacturability, marketability, policy, regulations, schedule, standards, sustainability, or usability.
 This does not mean that each of these elements  (factors) must have a significant effect on the design — </t>
    </r>
    <r>
      <rPr>
        <b/>
        <sz val="11"/>
        <color theme="1"/>
        <rFont val="Calibri"/>
      </rPr>
      <t>it just means that the program must show that students consider these elements as they engage in design.</t>
    </r>
  </si>
  <si>
    <t xml:space="preserve">To what extent does a program need to cover all of these examples to ensure the problems incorporated in the curriculum suitably covers engineering design? Different curricular areas emphasize different phases of the design process. The program should emphasize the phases that are essential for its students. It is expected that all phases of the design process will be included to some extent. </t>
  </si>
  <si>
    <t>PI22</t>
  </si>
  <si>
    <t>Design Solutions that consider public health, safety, and welfare, as well as global, cultural, social, environmental, and economic factors.</t>
  </si>
  <si>
    <t>PI23</t>
  </si>
  <si>
    <t>Identify and justify multiple realistic constraints relevant to the project design</t>
  </si>
  <si>
    <t>PI24</t>
  </si>
  <si>
    <t>Identify and apply appropriate engineering standards and codes relevant to the project design.</t>
  </si>
  <si>
    <t>SO3</t>
  </si>
  <si>
    <t>An ability to communicate effectively with a range of audiences</t>
  </si>
  <si>
    <t>PI31</t>
  </si>
  <si>
    <t>Communicate technical ideas in written technical reports, including engineering graphs and drawings</t>
  </si>
  <si>
    <r>
      <rPr>
        <u/>
        <sz val="11"/>
        <color rgb="FF1155CC"/>
        <rFont val="Calibri"/>
      </rPr>
      <t>-The guidance indicates that the “range of audiences” should</t>
    </r>
    <r>
      <rPr>
        <b/>
        <u/>
        <sz val="11"/>
        <color rgb="FF1155CC"/>
        <rFont val="Calibri"/>
      </rPr>
      <t xml:space="preserve"> include at least two distinct audiences</t>
    </r>
    <r>
      <rPr>
        <u/>
        <sz val="11"/>
        <color rgb="FF1155CC"/>
        <rFont val="Calibri"/>
      </rPr>
      <t xml:space="preserve"> (and they should be relevant to the discipline or program’s mission). 
-It is the program's responsibility to determine the range of audiences. For example, if a program stresses preparing students for graduate school, it might have students prepare a journal paper. There are many other possible audiences: faculty, students, non-technical, the public sector, etc. For example, students in biomedical engineering programs might communicate with doctors. In the major design experience, students might communicate with external clients. It is the program's responsibility to determine the most meaningful audiences for its students.</t>
    </r>
  </si>
  <si>
    <t>PI32</t>
  </si>
  <si>
    <t>Conduct effective oral technical presentations to a range of audiences</t>
  </si>
  <si>
    <t>SO4</t>
  </si>
  <si>
    <t>An ability to recognize ethical and professional responsibilities in engineering situations and make informed judgments, which must consider the impact of engineering solutions in global, economic, environmental, and societal contexts.</t>
  </si>
  <si>
    <t>PI41</t>
  </si>
  <si>
    <t>Recognize ethical and professional responsibilities in engineering situations</t>
  </si>
  <si>
    <r>
      <rPr>
        <u/>
        <sz val="11"/>
        <color rgb="FF0563C1"/>
        <rFont val="Calibri"/>
      </rPr>
      <t xml:space="preserve">make informed judgements that consider the impact of engineering solutions in global, economic, environmental, and societal contexts. </t>
    </r>
    <r>
      <rPr>
        <b/>
        <u/>
        <sz val="11"/>
        <color rgb="FF0563C1"/>
        <rFont val="Calibri"/>
      </rPr>
      <t>It is not necessary for every engineering situation to require that each of these contexts be a major consideration</t>
    </r>
    <r>
      <rPr>
        <u/>
        <sz val="11"/>
        <color rgb="FF0563C1"/>
        <rFont val="Calibri"/>
      </rPr>
      <t xml:space="preserve">. Consideration of the impact as the judgement is made is key. </t>
    </r>
  </si>
  <si>
    <t xml:space="preserve">do we have to find a case where all four elements are major considerations? The emphasis for informed judgments is the ability of the student to consider impacts in all four contexts.  When considering actual engineering situations, it is possible that only one or two impacts are major.  Students must be able to consider all four, but it is acceptable to state that an impact is minor. </t>
  </si>
  <si>
    <t>PI42</t>
  </si>
  <si>
    <t>Make informed judgments considering the impact of engineering solutions in global, societal, economic, and environmental contexts</t>
  </si>
  <si>
    <t>SO5</t>
  </si>
  <si>
    <t>An ability to function effectively on a team whose members together provide leadership, create a collaborative and inclusive environment, establish goals, plan tasks, and meet objectives.</t>
  </si>
  <si>
    <t>PI51</t>
  </si>
  <si>
    <t>Work effectively as a team member and contribute reliably to team tasks and objectives</t>
  </si>
  <si>
    <t>-For low-level and senior-level courses</t>
  </si>
  <si>
    <r>
      <rPr>
        <sz val="11"/>
        <color theme="1"/>
        <rFont val="Calibri"/>
      </rPr>
      <t xml:space="preserve">Student Outcome #5 requires that students be able to function effectively on collaborative and inclusive teams </t>
    </r>
    <r>
      <rPr>
        <b/>
        <sz val="11"/>
        <color theme="1"/>
        <rFont val="Calibri"/>
      </rPr>
      <t xml:space="preserve">as well as carry out project management tasks. </t>
    </r>
    <r>
      <rPr>
        <sz val="11"/>
        <color theme="1"/>
        <rFont val="Calibri"/>
      </rPr>
      <t xml:space="preserve">Programs have a variety of methods for demonstrating that students have these abilities. There are many texts on project management available for use. </t>
    </r>
    <r>
      <rPr>
        <b/>
        <sz val="11"/>
        <color theme="1"/>
        <rFont val="Calibri"/>
      </rPr>
      <t xml:space="preserve">Gantt charts, schedules, scrum, goal setting, and decision matrices might be useful to demonstrate project management tasks. </t>
    </r>
    <r>
      <rPr>
        <sz val="11"/>
        <color theme="1"/>
        <rFont val="Calibri"/>
      </rPr>
      <t xml:space="preserve">Inclusiveness and collaboration can be characterized using existing instruments in the literature. </t>
    </r>
  </si>
  <si>
    <r>
      <rPr>
        <b/>
        <sz val="11"/>
        <color theme="1"/>
        <rFont val="Calibri"/>
      </rPr>
      <t xml:space="preserve">Several methods for measuring attainment of this ability have been used by programs: 
</t>
    </r>
    <r>
      <rPr>
        <sz val="11"/>
        <color theme="1"/>
        <rFont val="Calibri"/>
      </rPr>
      <t xml:space="preserve">a. Videotaping a team meeting and evaluating the team performance using a rubric. 
b. Students write descriptions of their contributions and their team members' contributions indicating how they collaborated and were inclusive. A rubric is often used to evaluate the description. 
c. External clients meet with students over a period of time and evaluate their contributions and inclusiveness. 
d. Use of web-based peer evaluations such as CATME.org or TEAMMATES. The peer evaluations include specific questions about collaboration and inclusiveness. 
e. Verbal feedback from course TAs or instructors about a team's collaboration and inclusiveness. Students take notes and give evidence to support or refute the feedback. 
</t>
    </r>
    <r>
      <rPr>
        <b/>
        <sz val="11"/>
        <color theme="1"/>
        <rFont val="Calibri"/>
      </rPr>
      <t xml:space="preserve">Programs are expected to develop assessment methodologies that are meaningful for their students. </t>
    </r>
  </si>
  <si>
    <t>PI52</t>
  </si>
  <si>
    <t>Provide leadership in planning and managing team work and support a collaborative, inclusive team environment</t>
  </si>
  <si>
    <t>– For senior-level courses that include design project.</t>
  </si>
  <si>
    <t>SO6</t>
  </si>
  <si>
    <t>An ability to develop and conduct appropriate experimentation, analyze and interpret data, and use engineering judgment to draw conclusions.</t>
  </si>
  <si>
    <t>PI61</t>
  </si>
  <si>
    <t>Develop appropriate experimentation</t>
  </si>
  <si>
    <t>– For senior-level courses that include experiement development</t>
  </si>
  <si>
    <r>
      <rPr>
        <sz val="11"/>
        <color theme="1"/>
        <rFont val="Calibri"/>
      </rPr>
      <t xml:space="preserve">Student Outcome #6 requires in part that students have the ability to develop and conduct appropriate experimentation, analyze and interpret data, and use engineering judgment to draw conclusions. </t>
    </r>
    <r>
      <rPr>
        <b/>
        <sz val="11"/>
        <color theme="1"/>
        <rFont val="Calibri"/>
      </rPr>
      <t xml:space="preserve">There is no requirement that students be able to design an experiment. 
</t>
    </r>
    <r>
      <rPr>
        <sz val="11"/>
        <color theme="1"/>
        <rFont val="Calibri"/>
      </rPr>
      <t xml:space="preserve">The components of Outcome 6 do not have to be addressed in series, and the outcome may be satisfied in the context of more than one system. </t>
    </r>
  </si>
  <si>
    <r>
      <rPr>
        <sz val="11"/>
        <color theme="1"/>
        <rFont val="Calibri"/>
      </rPr>
      <t xml:space="preserve">The components of Outcome 6 </t>
    </r>
    <r>
      <rPr>
        <b/>
        <sz val="11"/>
        <color theme="1"/>
        <rFont val="Calibri"/>
      </rPr>
      <t>do not have to be addressed in series</t>
    </r>
    <r>
      <rPr>
        <sz val="11"/>
        <color theme="1"/>
        <rFont val="Calibri"/>
      </rPr>
      <t>, and the outcome may be satisfied in the context of more than one system. 
 For example, you can develop an experiment by itself, interpret data from a different system that is not related (e.g. an industrial set of data), and draw conclusions in another homework problem using data that isn’t even connected to the first two)</t>
    </r>
  </si>
  <si>
    <t>PI62</t>
  </si>
  <si>
    <t>Conduct experimentation and collect data</t>
  </si>
  <si>
    <t>PI63</t>
  </si>
  <si>
    <t>Analyze and interpret data</t>
  </si>
  <si>
    <t>PI64</t>
  </si>
  <si>
    <t>Use engineering judgment to draw conclusions</t>
  </si>
  <si>
    <t>requries to be included in the lab manuals</t>
  </si>
  <si>
    <t>SO7</t>
  </si>
  <si>
    <t>An ability to acquire and apply new knowledge as needed, using appropriate learning strategies.</t>
  </si>
  <si>
    <t>PI71</t>
  </si>
  <si>
    <t>Acquire new knowledge using appropriate learning strategies</t>
  </si>
  <si>
    <t>PI72</t>
  </si>
  <si>
    <t>Apply newly acquired knowledge to engineering tasks</t>
  </si>
  <si>
    <t>Course Instructor (251-252)</t>
  </si>
  <si>
    <t>Course Title</t>
  </si>
  <si>
    <t>Course Code</t>
  </si>
  <si>
    <t>Dr. Muddesar Iqbal</t>
  </si>
  <si>
    <t>Computer Programming for Engineering</t>
  </si>
  <si>
    <t>Dr. Maged Esmail</t>
  </si>
  <si>
    <t>Introduction to Circuits</t>
  </si>
  <si>
    <t>Dr. Mahmoud Abdelreheem</t>
  </si>
  <si>
    <t>Electronic Fundamentals</t>
  </si>
  <si>
    <t>Dr. Walid Dyab</t>
  </si>
  <si>
    <t>Logic Design</t>
  </si>
  <si>
    <t>Dr. Moustafa Nasralla</t>
  </si>
  <si>
    <t>Signals and Systems</t>
  </si>
  <si>
    <t>Dr. Mahagan Sagar Bhaskar</t>
  </si>
  <si>
    <t>Circuit Analysis</t>
  </si>
  <si>
    <t>I</t>
  </si>
  <si>
    <t>Electronic Engineering</t>
  </si>
  <si>
    <t>P</t>
  </si>
  <si>
    <t>Microprocessors Design</t>
  </si>
  <si>
    <t>Electromagnetics Fundamental</t>
  </si>
  <si>
    <t>Control Systems</t>
  </si>
  <si>
    <t>Dr. Mourad Rizk</t>
  </si>
  <si>
    <t>Communication Systems</t>
  </si>
  <si>
    <t>Dr. Ahmed Alnakhli</t>
  </si>
  <si>
    <t>Power Electronics</t>
  </si>
  <si>
    <t>Electrical Machines</t>
  </si>
  <si>
    <t>Power Systems</t>
  </si>
  <si>
    <t>Senior Design Project</t>
  </si>
  <si>
    <t>Cooperative Training</t>
  </si>
  <si>
    <t>PROGRAM ELECTIVE COURSES</t>
  </si>
  <si>
    <t>Electrical and Electronic Measurements</t>
  </si>
  <si>
    <t>Opto-Electronics</t>
  </si>
  <si>
    <t>VLSI Circuits Design</t>
  </si>
  <si>
    <t>Data Communication Networks</t>
  </si>
  <si>
    <t>Digital Communications</t>
  </si>
  <si>
    <t>Wireless Communications Systems</t>
  </si>
  <si>
    <t>Antenna and wave propagation</t>
  </si>
  <si>
    <t>Mechatronics</t>
  </si>
  <si>
    <t>PLC Microcontrollers</t>
  </si>
  <si>
    <t>Robotics and Automation</t>
  </si>
  <si>
    <t>Artifitial Intellegince</t>
  </si>
  <si>
    <t>Digital Signal Processing</t>
  </si>
  <si>
    <t>Renewable Energy Engineering</t>
  </si>
  <si>
    <t>Special Topics In Electrical and Electronics Engineering</t>
  </si>
  <si>
    <t>Course Code:</t>
  </si>
  <si>
    <t>Id</t>
  </si>
  <si>
    <t>Perf. Level:</t>
  </si>
  <si>
    <t>ABET Student Outcomes and Performance Indicators</t>
  </si>
  <si>
    <t>EE 101</t>
  </si>
  <si>
    <t>NCAAA Domains</t>
  </si>
  <si>
    <t>Course Learning Outcomes</t>
  </si>
  <si>
    <t>Aligned SOs</t>
  </si>
  <si>
    <t>Aligned Pis</t>
  </si>
  <si>
    <t>Knowledge and understanding</t>
  </si>
  <si>
    <t>Define fundamental concepts of programming along with problem-solving techniques and analytical thinking.</t>
  </si>
  <si>
    <t>Skills</t>
  </si>
  <si>
    <t>Explain the various logic using various operators and expressions.</t>
  </si>
  <si>
    <t>Write a programming code in Python.</t>
  </si>
  <si>
    <t>Examine program code using Python</t>
  </si>
  <si>
    <t>Values, autonomy and responsibility</t>
  </si>
  <si>
    <t>Aligned PIs</t>
  </si>
  <si>
    <t>EE 201</t>
  </si>
  <si>
    <t>Evaluate ethical and professional responsibilities in electrical engineering design and analysis decisions</t>
  </si>
  <si>
    <t>Aligned Sos</t>
  </si>
  <si>
    <t>EE 211</t>
  </si>
  <si>
    <t xml:space="preserve">Solve fundamental electronic circuit problems involving diodes, BJTs, and operational amplifiers using principles of electronics and circuit theory. </t>
  </si>
  <si>
    <t>Explain the operation and applications of semiconductor devices and amplifiers using appropriate technical language and circuit representations.</t>
  </si>
  <si>
    <t>Design basic electronic circuits such as rectifiers, transistor amplifiers, and operational-amplifier applications to satisfy given performance requirements.</t>
  </si>
  <si>
    <t>Perform laboratory experiments on electronic circuits and analyze the resulting data to verify theoretical concepts.</t>
  </si>
  <si>
    <t>Collaborate effectively in laboratory activities to build, test, and troubleshoot electronic circuits.</t>
  </si>
  <si>
    <t>EE 221</t>
  </si>
  <si>
    <t>Describe integrated-circuit logic families, memory devices, and programmable logic devices.</t>
  </si>
  <si>
    <t>Explain different binary number systems and arithmetic.</t>
  </si>
  <si>
    <t>Explain Boolean expressions using Karnaugh Map.</t>
  </si>
  <si>
    <t>Analyze and design combinational logic circuit.</t>
  </si>
  <si>
    <t>Analyze and design sequential logic circuits including flip flops, counters, and registers.</t>
  </si>
  <si>
    <t>Demonstrate the ability to work in a team to collaborate in performing LAB experiments and projects.</t>
  </si>
  <si>
    <t>Illustrate the ability to use Multisim and FPGA boards in group activities through lab and projects.</t>
  </si>
  <si>
    <t>EE 231</t>
  </si>
  <si>
    <t xml:space="preserve">Analyze continuous and discrete linear time-invariant (LTI) systems.  </t>
  </si>
  <si>
    <t>EE 202</t>
  </si>
  <si>
    <t>Recognize the application of the basic electric circuit components in different electrical applications.</t>
  </si>
  <si>
    <t>Apply the Laplace transform in circuit analysis.</t>
  </si>
  <si>
    <t>EE 312</t>
  </si>
  <si>
    <t>Identify the feature of various amplifier circuits, active filters, and oscillators.</t>
  </si>
  <si>
    <t>Analyze the model of BJT amplifiers and their frequency response.</t>
  </si>
  <si>
    <t>Analyze the DC and AC model of various FET amplifiers.</t>
  </si>
  <si>
    <t>Design CMOS circuit such as NAND Gates, Tranmsission Gates and memory elements</t>
  </si>
  <si>
    <t>EE 322</t>
  </si>
  <si>
    <t>EE 341</t>
  </si>
  <si>
    <t>Calculate the percentage of electromagnetic energy reflected and transmitted from a medium to another.</t>
  </si>
  <si>
    <t>Present an oral technical presentation on an electromagnetics application</t>
  </si>
  <si>
    <t>Acquire new knowledge on an electromagnetics application using appropriate learning strategies.</t>
  </si>
  <si>
    <t>EE 332</t>
  </si>
  <si>
    <r>
      <rPr>
        <sz val="11"/>
        <color theme="1"/>
        <rFont val="Calibri"/>
      </rPr>
      <t>Recognize</t>
    </r>
    <r>
      <rPr>
        <sz val="12"/>
        <color theme="1"/>
        <rFont val="Times New Roman"/>
      </rPr>
      <t xml:space="preserve"> feedback in control systems and stability concept</t>
    </r>
  </si>
  <si>
    <t xml:space="preserve">Apply the Laplace Transform in modelling the LTI control systems </t>
  </si>
  <si>
    <t>Evaluate the beahaviour of LTI in time domain</t>
  </si>
  <si>
    <t>Design a stable control system according to the required specification</t>
  </si>
  <si>
    <t>Demonstrate the concepts of stable and well-performed control systems</t>
  </si>
  <si>
    <t>EE 351</t>
  </si>
  <si>
    <t>Recognize different analog modulation and demodulation techniques.</t>
  </si>
  <si>
    <t>Explain the linear model of the distortionless channel.</t>
  </si>
  <si>
    <t xml:space="preserve">Recognize the basic model of communication systems, such as AM and FM radio systems. </t>
  </si>
  <si>
    <t>Analyze the impact of various channels on communication systems.</t>
  </si>
  <si>
    <t>Demonstrate the pulse modulation techniques.</t>
  </si>
  <si>
    <t>Design modulation and demodulation circuits using various lab experiments, such as: envelope detector, rectifier circuits, and software defined radio circutis.</t>
  </si>
  <si>
    <t>EE 305</t>
  </si>
  <si>
    <r>
      <rPr>
        <sz val="11"/>
        <color theme="1"/>
        <rFont val="Calibri"/>
      </rPr>
      <t>Recognize</t>
    </r>
    <r>
      <rPr>
        <sz val="11"/>
        <color rgb="FF000000"/>
        <rFont val="Times New Roman"/>
      </rPr>
      <t xml:space="preserve"> the characteristics of various </t>
    </r>
    <r>
      <rPr>
        <sz val="11"/>
        <color theme="1"/>
        <rFont val="Times New Roman"/>
      </rPr>
      <t xml:space="preserve">semiconductor devices and </t>
    </r>
    <r>
      <rPr>
        <sz val="11"/>
        <color rgb="FF000000"/>
        <rFont val="Times New Roman"/>
      </rPr>
      <t>power converter configurations.</t>
    </r>
  </si>
  <si>
    <t>Analyze the various configurations of AC-DC converter.</t>
  </si>
  <si>
    <t>Analyze the various configurations of DC-DC converter.</t>
  </si>
  <si>
    <t>Analyze the various configurations of DC-AC converter.</t>
  </si>
  <si>
    <t>Analyze the various configurations of AC-AC converter.</t>
  </si>
  <si>
    <t>Demonstrate various power electronics circuits, application, and analyze the waveform through simulation and experimental work</t>
  </si>
  <si>
    <t>EE 304</t>
  </si>
  <si>
    <t>Explain the concepts of electromechanical energy conversion systems</t>
  </si>
  <si>
    <t>Describe the construction, principle of operation, and characteristics of dc machines, ac machines and transformers</t>
  </si>
  <si>
    <t>Analyze the selection, methods of speed control, and methods of direction reversal of and applications of d.c. machines</t>
  </si>
  <si>
    <t>Analyze the selection, methods of speed control, and methods of direction reversal of and applications of a.c. machines</t>
  </si>
  <si>
    <t>Show the importance of sustainability in electrical machines and transformers</t>
  </si>
  <si>
    <t>EE 403</t>
  </si>
  <si>
    <t>M</t>
  </si>
  <si>
    <t>Describe the different types of power generators and their characteristics</t>
  </si>
  <si>
    <t xml:space="preserve">Analyse both symmetrical and unsymmetrical conditions in power systems. </t>
  </si>
  <si>
    <t>Analyze the behavior of power systems under steady-state and transient conditions</t>
  </si>
  <si>
    <t>Evaluate the per-unit system and draw the single-line diagram</t>
  </si>
  <si>
    <t>Demonstrate effective technical communication of power system analysis and results.</t>
  </si>
  <si>
    <t>Demonstrate the ability to independently acquire and apply new knowledge related to power systems.</t>
  </si>
  <si>
    <t>EE 490</t>
  </si>
  <si>
    <t>Validate design solutions through experimentation/testing, data collection, analysis, and engineering conclusions.</t>
  </si>
  <si>
    <t xml:space="preserve">Acquire new knowledge, tools, standards, or technologies as needed to complete the design project.
</t>
  </si>
  <si>
    <t>EE 492</t>
  </si>
  <si>
    <t>Demonstrate a comprehensive understanding of their academic studies through general education and their areas of specializations.</t>
  </si>
  <si>
    <t>Demonstrate effective communication skills to a range of audiences.</t>
  </si>
  <si>
    <t>Collaborate effectively within multidisciplinary teams to plan tasks, meet objectives, and support a professional work environment.</t>
  </si>
  <si>
    <t>Demonstrate the ability to work as an individual and as a part of a multi-disciplinary team</t>
  </si>
  <si>
    <t>EE 414</t>
  </si>
  <si>
    <t>EE 415</t>
  </si>
  <si>
    <t>EE 416</t>
  </si>
  <si>
    <t>EE 423</t>
  </si>
  <si>
    <t>EE 424</t>
  </si>
  <si>
    <t>EE 425</t>
  </si>
  <si>
    <t>EE 426</t>
  </si>
  <si>
    <t>Describe electomagnetic wave radiation mechanism.</t>
  </si>
  <si>
    <t>Recognize various antennas types</t>
  </si>
  <si>
    <t>Design antennas for various applications.</t>
  </si>
  <si>
    <t xml:space="preserve">Design and analyze antenna arrays. </t>
  </si>
  <si>
    <t xml:space="preserve">Calculate antenna parameters like gain, input impedance, radiated power and radiation resistance. </t>
  </si>
  <si>
    <t>Describe electromagnetic interference, radiation hazards, and the effect of EM fields on the environment.</t>
  </si>
  <si>
    <t>EE 433</t>
  </si>
  <si>
    <t>EE 434</t>
  </si>
  <si>
    <t>Describe fundamental automation and control concepts related to programmable logic controllers and relay ladder logic.</t>
  </si>
  <si>
    <t>Explain PLC hardware structure, programming concepts, and industrial applications using appropriate technical terminology, ladder diagrams, and documentation.</t>
  </si>
  <si>
    <t>Conduct laboratory experiments involving PLC programming, testing, and monitoring to evaluate system behavior and performance.</t>
  </si>
  <si>
    <t>Apply new PLC functions, instructions, and communication concepts using manuals, software tools, and self-directed learning resources.</t>
  </si>
  <si>
    <t>EE 435</t>
  </si>
  <si>
    <t>EE 436</t>
  </si>
  <si>
    <t>EE 442</t>
  </si>
  <si>
    <t>EE 456</t>
  </si>
  <si>
    <t>Explain the basic concepts, components, and principles of Renewable Energy sources</t>
  </si>
  <si>
    <t>Design and develop the photovoltaic and wind energy systems.</t>
  </si>
  <si>
    <t>Explain the Fuel Cell systems and energy storage devices.</t>
  </si>
  <si>
    <t>Illustrate the importance of energy transition and sustainability</t>
  </si>
  <si>
    <t>EE 499</t>
  </si>
  <si>
    <t>Explain fundamental electrical quantities, circuit elements, and basic AC signal concepts and their relationships in linear circuits.</t>
  </si>
  <si>
    <t>Analyze DC resistive circuits using Kirchhoff’s laws, nodal and mesh analysis, and basic network theorems.</t>
  </si>
  <si>
    <t>Analyze AC circuits using phasor representation, including impedance-based analysis and power and power-factor concepts.</t>
  </si>
  <si>
    <t>Investigate electric circuits through experiments and simulations</t>
  </si>
  <si>
    <t>Contribute to team tasks and objectives in electric circuits laboratory activities</t>
  </si>
  <si>
    <t>Describe continuous- and discrete-time signals and systems using standard properties and classification criteria.</t>
  </si>
  <si>
    <t>Describe sampling theory principles for converting continuous-time signals to discrete-time signals.</t>
  </si>
  <si>
    <t>Analyze LTI systems using Z-transform concepts to interpret results and draw engineering conclusions.</t>
  </si>
  <si>
    <t>Explain Continuous- and Discrete-time Fourier Transform concepts and their applications for LTI systems by interpreting frequency-domain results.</t>
  </si>
  <si>
    <t>Write MATLAB code to implement sampling-based discrete-time systems and evaluate their performance using independently learned tools or functions.</t>
  </si>
  <si>
    <t>Explain the functional organization and operation of microprocessor components including datapath, control unit, registers, ALU, and buses.</t>
  </si>
  <si>
    <t>Design control units and sequential systems using finite state machines for system control applications.</t>
  </si>
  <si>
    <t>Implement and verify an integrated digital system combining datapath and control components on FPGA hardware.</t>
  </si>
  <si>
    <t>Explain the fundamental concepts of electromagnetics, including electric and magnetic fields and their sources in free space and material media.</t>
  </si>
  <si>
    <t>Apply Maxwell’s equations to determine electric and magnetic field components in different media and under relevant boundary conditions.</t>
  </si>
  <si>
    <t>Analyze key electromagnetic parameters, including electric field intensity due to charge distributions, work and electric potential, electric current and current density, and magnetic field intensity.</t>
  </si>
  <si>
    <t>Identify relevant technical information and engineering principles needed to define and solve an open-ended design problem.</t>
  </si>
  <si>
    <t>Communicate design solutions visually using engineering tools and drawings.</t>
  </si>
  <si>
    <t>Communicate design solutions using written, visual, and oral technical methods.</t>
  </si>
  <si>
    <t>Evaluate ethical and legal responsibilities and their impact on engineering decisions.</t>
  </si>
  <si>
    <t>Collaborate to establish goals, plan tasks, and meet project objectives within a team.</t>
  </si>
  <si>
    <t>Demonstrate professional and ethical responsibility in engineering practice and decision-making.</t>
  </si>
  <si>
    <t>Explain the workflow of VLSI design methodologies and the key steps involved in the fabrication of ASICs and FPGAs.</t>
  </si>
  <si>
    <t xml:space="preserve">Identify the main players in the VLSI industry </t>
  </si>
  <si>
    <t>Differentiate between different packaging of VLSI circuits</t>
  </si>
  <si>
    <t>Design VLSI circuits using HDL.</t>
  </si>
  <si>
    <t xml:space="preserve">Perform functional and timing analysis of HDL designs </t>
  </si>
  <si>
    <t>Execute post-synthesis analysis to ensure the design meets specified performance criteria.</t>
  </si>
  <si>
    <t>Uphold ethical standards in VLSI design, including compliance with regulations, accurate reporting, intellectual property rights, and environmental considerations.</t>
  </si>
  <si>
    <t>Describe the basic theory underlying modern robotics</t>
  </si>
  <si>
    <t>Analyze the kinematics and dynamics of robot manipulators</t>
  </si>
  <si>
    <t>Design appropriate controllers and trajectory generation solutions for manipulators</t>
  </si>
  <si>
    <t>Comply to safety considerations in the design and operation of robotic systems</t>
  </si>
  <si>
    <t>Contribute responsibly to team-based planning and problem-solving in a group robotics project.</t>
  </si>
  <si>
    <t>Describe the theoretical foundations of supervised, unsupervised, and deep learning techniques</t>
  </si>
  <si>
    <t>Analyse and prepare data for AI applications in engineering contexts.</t>
  </si>
  <si>
    <t>Design AI models using appropriate metrics and interpret their results.</t>
  </si>
  <si>
    <t xml:space="preserve">Write Programming Code to Implement AI models. </t>
  </si>
  <si>
    <t>Use AI concepts in engineering applications such as energy prediction, automation, and intelligent control systems</t>
  </si>
  <si>
    <t>Explain advanced concepts and principles related to a selected contemporary topic in electrical and electronics engineering.</t>
  </si>
  <si>
    <t>Analyze engineering problems associated with the selected topic using appropriate theoretical and computational methods.</t>
  </si>
  <si>
    <t>Apply relevant engineering tools, techniques, or methodologies to investigate problems related to the selected topic.</t>
  </si>
  <si>
    <t>Evaluate alternative approaches, technologies, or solutions within the selected topic using appropriate technical criteria.</t>
  </si>
  <si>
    <t>Develop a solution, model, system, or study addressing a problem related to the selected topic.</t>
  </si>
  <si>
    <t>Demonstrate professional responsibility and independent learning in communicating developments related to the selected topic.</t>
  </si>
  <si>
    <t>Design arithmetic, logic, and timing components such as ALUs, registers, counters, and clock/timing circuits.</t>
  </si>
  <si>
    <t>Recognize various memory technologies, cache memories, addressing modes, memory mapping, and composing memories.</t>
  </si>
  <si>
    <t>Model digital components of microprocessor-based systems using HDL at the RTL level.</t>
  </si>
  <si>
    <t>Apply the engineering design process to produce solutions that meet specified needs with consideration of safety, environmental, economic, and societal constraints and relevant standards/codes.</t>
  </si>
  <si>
    <t>Generate alternative concepts and select a preferred solution for a design problem.</t>
  </si>
  <si>
    <t>EE 417</t>
  </si>
  <si>
    <t>Communication Electronics</t>
  </si>
  <si>
    <t>EE 454</t>
  </si>
  <si>
    <t>Power System Planning</t>
  </si>
  <si>
    <t>Identify complex electrical engineering problems encountered in industry using theoretical knowledge acquired in academic coursework to propose innovative and effective solutions.</t>
  </si>
  <si>
    <t>Apply advanced technical electrical engineering skills in design, analysis, and troubleshooting to complete assigned tasks and projects in a cooperative work environment.</t>
  </si>
  <si>
    <t>Explain the basic concepts, components, and principles of power systems</t>
  </si>
  <si>
    <t xml:space="preserve">Analyze first-order and second-order transient reponse of electrical circuits. </t>
  </si>
  <si>
    <t>Analyze frequency selective circuits, three-phase and two-port networks.</t>
  </si>
  <si>
    <t>Acquire new circuit-analysis knowledge using appropriate learning strategies and apply it to solve circuit problems.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</si>
</sst>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scheme val="minor"/>
    </font>
    <font>
      <sz val="11"/>
      <color theme="1"/>
      <name val="Calibri"/>
      <family val="2"/>
      <scheme val="minor"/>
    </font>
    <font>
      <b/>
      <sz val="16"/>
      <color theme="0"/>
      <name val="Calibri"/>
    </font>
    <font>
      <b/>
      <sz val="14"/>
      <color theme="0"/>
      <name val="Calibri"/>
    </font>
    <font>
      <sz val="11"/>
      <name val="Calibri"/>
    </font>
    <font>
      <sz val="11"/>
      <color theme="1"/>
      <name val="Calibri"/>
    </font>
    <font>
      <u/>
      <sz val="11"/>
      <color rgb="FF0563C1"/>
      <name val="Calibri"/>
    </font>
    <font>
      <u/>
      <sz val="11"/>
      <color rgb="FF0563C1"/>
      <name val="Calibri"/>
    </font>
    <font>
      <sz val="11"/>
      <color theme="0"/>
      <name val="Calibri"/>
    </font>
    <font>
      <u/>
      <sz val="11"/>
      <color rgb="FF0563C1"/>
      <name val="Calibri"/>
    </font>
    <font>
      <u/>
      <sz val="11"/>
      <color rgb="FF0563C1"/>
      <name val="Calibri"/>
    </font>
    <font>
      <sz val="11"/>
      <color rgb="FFFFFFFF"/>
      <name val="Calibri"/>
    </font>
    <font>
      <b/>
      <sz val="11"/>
      <color theme="1"/>
      <name val="Calibri"/>
    </font>
    <font>
      <b/>
      <sz val="11"/>
      <color theme="0"/>
      <name val="Calibri"/>
    </font>
    <font>
      <sz val="11"/>
      <color rgb="FF000000"/>
      <name val="Calibri"/>
    </font>
    <font>
      <u/>
      <sz val="11"/>
      <color theme="10"/>
      <name val="Calibri"/>
    </font>
    <font>
      <sz val="11"/>
      <color theme="1"/>
      <name val="Calibri"/>
    </font>
    <font>
      <b/>
      <sz val="11"/>
      <color rgb="FF3F3F3F"/>
      <name val="Calibri"/>
    </font>
    <font>
      <b/>
      <sz val="18"/>
      <color rgb="FF3F3F3F"/>
      <name val="Calibri"/>
    </font>
    <font>
      <sz val="14"/>
      <color theme="1"/>
      <name val="Calibri"/>
    </font>
    <font>
      <sz val="11"/>
      <color rgb="FFFF0000"/>
      <name val="Calibri"/>
    </font>
    <font>
      <strike/>
      <sz val="11"/>
      <color rgb="FFFF0000"/>
      <name val="Calibri"/>
    </font>
    <font>
      <b/>
      <sz val="11"/>
      <color rgb="FFFF0000"/>
      <name val="Calibri"/>
    </font>
    <font>
      <u/>
      <sz val="11"/>
      <color rgb="FF1155CC"/>
      <name val="Calibri"/>
    </font>
    <font>
      <b/>
      <u/>
      <sz val="11"/>
      <color rgb="FF1155CC"/>
      <name val="Calibri"/>
    </font>
    <font>
      <b/>
      <u/>
      <sz val="11"/>
      <color rgb="FF0563C1"/>
      <name val="Calibri"/>
    </font>
    <font>
      <sz val="12"/>
      <color theme="1"/>
      <name val="Times New Roman"/>
    </font>
    <font>
      <sz val="11"/>
      <color rgb="FF000000"/>
      <name val="Times New Roman"/>
    </font>
    <font>
      <sz val="11"/>
      <color theme="1"/>
      <name val="Times New Roman"/>
    </font>
    <font>
      <b/>
      <sz val="11"/>
      <color theme="1"/>
      <name val="Calibri"/>
      <family val="2"/>
      <scheme val="minor"/>
    </font>
    <font>
      <sz val="11"/>
      <color theme="1"/>
      <name val="Calibri"/>
      <family val="2"/>
    </font>
    <font>
      <b/>
      <sz val="11"/>
      <color theme="1"/>
      <name val="Calibri"/>
      <scheme val="minor"/>
    </font>
    <font>
      <sz val="11"/>
      <color rgb="FFFF0000"/>
      <name val="Calibri"/>
      <family val="2"/>
    </font>
    <font>
      <sz val="11"/>
      <name val="Calibri"/>
      <family val="2"/>
    </font>
    <font>
      <sz val="11"/>
      <color rgb="FF000000"/>
      <name val="Calibri"/>
      <family val="2"/>
    </font>
    <font>
      <u/>
      <sz val="11"/>
      <color theme="10"/>
      <name val="Calibri"/>
      <scheme val="minor"/>
    </font>
  </fonts>
  <fills count="34">
    <fill>
      <patternFill patternType="none"/>
    </fill>
    <fill>
      <patternFill patternType="gray125"/>
    </fill>
    <fill>
      <patternFill patternType="solid">
        <fgColor rgb="FFA5A5A5"/>
        <bgColor rgb="FFA5A5A5"/>
      </patternFill>
    </fill>
    <fill>
      <patternFill patternType="solid">
        <fgColor theme="9"/>
        <bgColor theme="9"/>
      </patternFill>
    </fill>
    <fill>
      <patternFill patternType="solid">
        <fgColor rgb="FFE2EFD9"/>
        <bgColor rgb="FFE2EFD9"/>
      </patternFill>
    </fill>
    <fill>
      <patternFill patternType="solid">
        <fgColor rgb="FFD8D8D8"/>
        <bgColor rgb="FFD8D8D8"/>
      </patternFill>
    </fill>
    <fill>
      <patternFill patternType="solid">
        <fgColor rgb="FFA8D08D"/>
        <bgColor rgb="FFA8D08D"/>
      </patternFill>
    </fill>
    <fill>
      <patternFill patternType="solid">
        <fgColor theme="8"/>
        <bgColor theme="8"/>
      </patternFill>
    </fill>
    <fill>
      <patternFill patternType="solid">
        <fgColor rgb="FFDEEAF6"/>
        <bgColor rgb="FFDEEAF6"/>
      </patternFill>
    </fill>
    <fill>
      <patternFill patternType="solid">
        <fgColor rgb="FF00FF00"/>
        <bgColor rgb="FF00FF00"/>
      </patternFill>
    </fill>
    <fill>
      <patternFill patternType="solid">
        <fgColor rgb="FFBDD6EE"/>
        <bgColor rgb="FFBDD6EE"/>
      </patternFill>
    </fill>
    <fill>
      <patternFill patternType="solid">
        <fgColor rgb="FF9CC2E5"/>
        <bgColor rgb="FF9CC2E5"/>
      </patternFill>
    </fill>
    <fill>
      <patternFill patternType="solid">
        <fgColor rgb="FF2E75B5"/>
        <bgColor rgb="FF2E75B5"/>
      </patternFill>
    </fill>
    <fill>
      <patternFill patternType="solid">
        <fgColor theme="7"/>
        <bgColor theme="7"/>
      </patternFill>
    </fill>
    <fill>
      <patternFill patternType="solid">
        <fgColor rgb="FFFEF2CB"/>
        <bgColor rgb="FFFEF2CB"/>
      </patternFill>
    </fill>
    <fill>
      <patternFill patternType="solid">
        <fgColor rgb="FFFFD965"/>
        <bgColor rgb="FFFFD965"/>
      </patternFill>
    </fill>
    <fill>
      <patternFill patternType="solid">
        <fgColor theme="6"/>
        <bgColor theme="6"/>
      </patternFill>
    </fill>
    <fill>
      <patternFill patternType="solid">
        <fgColor rgb="FFECECEC"/>
        <bgColor rgb="FFECECEC"/>
      </patternFill>
    </fill>
    <fill>
      <patternFill patternType="solid">
        <fgColor rgb="FFC8C8C8"/>
        <bgColor rgb="FFC8C8C8"/>
      </patternFill>
    </fill>
    <fill>
      <patternFill patternType="solid">
        <fgColor theme="5"/>
        <bgColor theme="5"/>
      </patternFill>
    </fill>
    <fill>
      <patternFill patternType="solid">
        <fgColor rgb="FFFBE4D5"/>
        <bgColor rgb="FFFBE4D5"/>
      </patternFill>
    </fill>
    <fill>
      <patternFill patternType="solid">
        <fgColor rgb="FFF4B083"/>
        <bgColor rgb="FFF4B083"/>
      </patternFill>
    </fill>
    <fill>
      <patternFill patternType="solid">
        <fgColor theme="4"/>
        <bgColor theme="4"/>
      </patternFill>
    </fill>
    <fill>
      <patternFill patternType="solid">
        <fgColor rgb="FFD9E2F3"/>
        <bgColor rgb="FFD9E2F3"/>
      </patternFill>
    </fill>
    <fill>
      <patternFill patternType="solid">
        <fgColor rgb="FFB4C6E7"/>
        <bgColor rgb="FFB4C6E7"/>
      </patternFill>
    </fill>
    <fill>
      <patternFill patternType="solid">
        <fgColor rgb="FF8EAADB"/>
        <bgColor rgb="FF8EAADB"/>
      </patternFill>
    </fill>
    <fill>
      <patternFill patternType="solid">
        <fgColor rgb="FF2F5496"/>
        <bgColor rgb="FF2F5496"/>
      </patternFill>
    </fill>
    <fill>
      <patternFill patternType="solid">
        <fgColor rgb="FF44546A"/>
        <bgColor rgb="FF44546A"/>
      </patternFill>
    </fill>
    <fill>
      <patternFill patternType="solid">
        <fgColor rgb="FFD6DCE4"/>
        <bgColor rgb="FFD6DCE4"/>
      </patternFill>
    </fill>
    <fill>
      <patternFill patternType="solid">
        <fgColor rgb="FF8496B0"/>
        <bgColor rgb="FF8496B0"/>
      </patternFill>
    </fill>
    <fill>
      <patternFill patternType="solid">
        <fgColor rgb="FFF2F2F2"/>
        <bgColor rgb="FFF2F2F2"/>
      </patternFill>
    </fill>
    <fill>
      <patternFill patternType="solid">
        <fgColor rgb="FFC5E0B3"/>
        <bgColor rgb="FFC5E0B3"/>
      </patternFill>
    </fill>
    <fill>
      <patternFill patternType="solid">
        <fgColor rgb="FFFFE598"/>
        <bgColor rgb="FFFFE598"/>
      </patternFill>
    </fill>
    <fill>
      <patternFill patternType="solid">
        <fgColor rgb="FFF7CAAC"/>
        <bgColor rgb="FFF7CAAC"/>
      </patternFill>
    </fill>
  </fills>
  <borders count="31">
    <border>
      <left/>
      <right/>
      <top/>
      <bottom/>
      <diagonal/>
    </border>
    <border>
      <left style="double">
        <color rgb="FF3F3F3F"/>
      </left>
      <right style="double">
        <color rgb="FF3F3F3F"/>
      </right>
      <top style="double">
        <color rgb="FF3F3F3F"/>
      </top>
      <bottom style="double">
        <color rgb="FF3F3F3F"/>
      </bottom>
      <diagonal/>
    </border>
    <border>
      <left style="double">
        <color rgb="FF3F3F3F"/>
      </left>
      <right/>
      <top style="double">
        <color rgb="FF3F3F3F"/>
      </top>
      <bottom style="double">
        <color rgb="FF3F3F3F"/>
      </bottom>
      <diagonal/>
    </border>
    <border>
      <left/>
      <right style="double">
        <color rgb="FF3F3F3F"/>
      </right>
      <top style="double">
        <color rgb="FF3F3F3F"/>
      </top>
      <bottom style="double">
        <color rgb="FF3F3F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3F3F3F"/>
      </left>
      <right style="thin">
        <color rgb="FF3F3F3F"/>
      </right>
      <top style="thin">
        <color rgb="FF3F3F3F"/>
      </top>
      <bottom style="thin">
        <color rgb="FF3F3F3F"/>
      </bottom>
      <diagonal/>
    </border>
    <border>
      <left style="thin">
        <color rgb="FF3F3F3F"/>
      </left>
      <right/>
      <top style="thin">
        <color rgb="FF3F3F3F"/>
      </top>
      <bottom/>
      <diagonal/>
    </border>
    <border>
      <left/>
      <right/>
      <top style="thin">
        <color rgb="FF3F3F3F"/>
      </top>
      <bottom/>
      <diagonal/>
    </border>
    <border>
      <left/>
      <right style="thin">
        <color rgb="FF3F3F3F"/>
      </right>
      <top style="thin">
        <color rgb="FF3F3F3F"/>
      </top>
      <bottom/>
      <diagonal/>
    </border>
    <border>
      <left style="thin">
        <color rgb="FF3F3F3F"/>
      </left>
      <right/>
      <top/>
      <bottom style="thin">
        <color rgb="FF3F3F3F"/>
      </bottom>
      <diagonal/>
    </border>
    <border>
      <left/>
      <right/>
      <top/>
      <bottom style="thin">
        <color rgb="FF3F3F3F"/>
      </bottom>
      <diagonal/>
    </border>
    <border>
      <left/>
      <right style="thin">
        <color rgb="FF3F3F3F"/>
      </right>
      <top/>
      <bottom style="thin">
        <color rgb="FF3F3F3F"/>
      </bottom>
      <diagonal/>
    </border>
    <border>
      <left style="thin">
        <color rgb="FF3F3F3F"/>
      </left>
      <right style="thin">
        <color rgb="FF3F3F3F"/>
      </right>
      <top style="thin">
        <color rgb="FF3F3F3F"/>
      </top>
      <bottom/>
      <diagonal/>
    </border>
    <border>
      <left style="thin">
        <color rgb="FF3F3F3F"/>
      </left>
      <right style="thin">
        <color rgb="FF3F3F3F"/>
      </right>
      <top/>
      <bottom style="thin">
        <color rgb="FF3F3F3F"/>
      </bottom>
      <diagonal/>
    </border>
    <border>
      <left style="thin">
        <color rgb="FF3F3F3F"/>
      </left>
      <right style="thin">
        <color rgb="FF3F3F3F"/>
      </right>
      <top/>
      <bottom style="thin">
        <color rgb="FF000000"/>
      </bottom>
      <diagonal/>
    </border>
  </borders>
  <cellStyleXfs count="2">
    <xf numFmtId="0" fontId="0" fillId="0" borderId="0"/>
    <xf numFmtId="0" fontId="35"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xf>
    <xf numFmtId="0" fontId="3"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wrapText="1"/>
    </xf>
    <xf numFmtId="0" fontId="5" fillId="0" borderId="0" xfId="0" applyFont="1" applyAlignment="1">
      <alignment vertical="center"/>
    </xf>
    <xf numFmtId="0" fontId="5" fillId="4" borderId="5" xfId="0" applyFont="1" applyFill="1" applyBorder="1" applyAlignment="1">
      <alignment horizontal="center" vertical="center"/>
    </xf>
    <xf numFmtId="0" fontId="5" fillId="4" borderId="5" xfId="0" applyFont="1" applyFill="1" applyBorder="1" applyAlignment="1">
      <alignment horizontal="left" vertical="center" wrapText="1"/>
    </xf>
    <xf numFmtId="0" fontId="5" fillId="4" borderId="5" xfId="0" applyFont="1" applyFill="1" applyBorder="1" applyAlignment="1">
      <alignment vertical="center" wrapText="1"/>
    </xf>
    <xf numFmtId="0" fontId="6" fillId="0" borderId="4" xfId="0" applyFont="1" applyBorder="1" applyAlignment="1">
      <alignment horizontal="center" vertical="center"/>
    </xf>
    <xf numFmtId="0" fontId="5" fillId="6" borderId="5" xfId="0" applyFont="1" applyFill="1" applyBorder="1" applyAlignment="1">
      <alignment horizontal="center" vertical="center"/>
    </xf>
    <xf numFmtId="0" fontId="5" fillId="6" borderId="5" xfId="0" applyFont="1" applyFill="1" applyBorder="1" applyAlignment="1">
      <alignment horizontal="left" vertical="center" wrapText="1"/>
    </xf>
    <xf numFmtId="0" fontId="5" fillId="6" borderId="5" xfId="0" applyFont="1" applyFill="1" applyBorder="1" applyAlignment="1">
      <alignment vertical="center" wrapText="1"/>
    </xf>
    <xf numFmtId="0" fontId="5" fillId="8" borderId="5" xfId="0" applyFont="1" applyFill="1" applyBorder="1" applyAlignment="1">
      <alignment horizontal="center" vertical="center"/>
    </xf>
    <xf numFmtId="0" fontId="5" fillId="8" borderId="5" xfId="0" applyFont="1" applyFill="1" applyBorder="1" applyAlignment="1">
      <alignment horizontal="left" vertical="center" wrapText="1"/>
    </xf>
    <xf numFmtId="0" fontId="5" fillId="8" borderId="5" xfId="0" applyFont="1" applyFill="1" applyBorder="1" applyAlignment="1">
      <alignment vertical="center"/>
    </xf>
    <xf numFmtId="0" fontId="5" fillId="10" borderId="5" xfId="0" applyFont="1" applyFill="1" applyBorder="1" applyAlignment="1">
      <alignment horizontal="center" vertical="center"/>
    </xf>
    <xf numFmtId="0" fontId="5" fillId="10" borderId="5" xfId="0" applyFont="1" applyFill="1" applyBorder="1" applyAlignment="1">
      <alignment horizontal="left" vertical="center" wrapText="1"/>
    </xf>
    <xf numFmtId="0" fontId="5" fillId="10" borderId="5" xfId="0" applyFont="1" applyFill="1" applyBorder="1" applyAlignment="1">
      <alignment vertical="center"/>
    </xf>
    <xf numFmtId="0" fontId="7" fillId="0" borderId="5" xfId="0" applyFont="1" applyBorder="1" applyAlignment="1">
      <alignment horizontal="center" vertical="center"/>
    </xf>
    <xf numFmtId="0" fontId="5" fillId="11" borderId="5" xfId="0" applyFont="1" applyFill="1" applyBorder="1" applyAlignment="1">
      <alignment horizontal="center" vertical="center"/>
    </xf>
    <xf numFmtId="0" fontId="5" fillId="11" borderId="5" xfId="0" applyFont="1" applyFill="1" applyBorder="1" applyAlignment="1">
      <alignment horizontal="left" vertical="center" wrapText="1"/>
    </xf>
    <xf numFmtId="0" fontId="5" fillId="11" borderId="5" xfId="0" applyFont="1" applyFill="1" applyBorder="1" applyAlignment="1">
      <alignment vertical="center"/>
    </xf>
    <xf numFmtId="0" fontId="8" fillId="12" borderId="5" xfId="0" applyFont="1" applyFill="1" applyBorder="1" applyAlignment="1">
      <alignment horizontal="center" vertical="center"/>
    </xf>
    <xf numFmtId="0" fontId="8" fillId="12" borderId="5" xfId="0" applyFont="1" applyFill="1" applyBorder="1" applyAlignment="1">
      <alignment horizontal="left" vertical="center" wrapText="1"/>
    </xf>
    <xf numFmtId="0" fontId="5" fillId="12" borderId="5" xfId="0" applyFont="1" applyFill="1" applyBorder="1" applyAlignment="1">
      <alignment vertical="center"/>
    </xf>
    <xf numFmtId="0" fontId="5" fillId="14" borderId="5" xfId="0" applyFont="1" applyFill="1" applyBorder="1" applyAlignment="1">
      <alignment horizontal="center" vertical="center"/>
    </xf>
    <xf numFmtId="0" fontId="5" fillId="14" borderId="5" xfId="0" applyFont="1" applyFill="1" applyBorder="1" applyAlignment="1">
      <alignment horizontal="left" vertical="center" wrapText="1"/>
    </xf>
    <xf numFmtId="0" fontId="5" fillId="14" borderId="5" xfId="0" applyFont="1" applyFill="1" applyBorder="1" applyAlignment="1">
      <alignment vertical="center"/>
    </xf>
    <xf numFmtId="0" fontId="5" fillId="15" borderId="5" xfId="0" applyFont="1" applyFill="1" applyBorder="1" applyAlignment="1">
      <alignment horizontal="center" vertical="center"/>
    </xf>
    <xf numFmtId="0" fontId="5" fillId="15" borderId="5" xfId="0" applyFont="1" applyFill="1" applyBorder="1" applyAlignment="1">
      <alignment horizontal="left" vertical="center" wrapText="1"/>
    </xf>
    <xf numFmtId="0" fontId="5" fillId="15" borderId="5" xfId="0" applyFont="1" applyFill="1" applyBorder="1" applyAlignment="1">
      <alignment vertical="center"/>
    </xf>
    <xf numFmtId="0" fontId="5" fillId="17" borderId="5" xfId="0" applyFont="1" applyFill="1" applyBorder="1" applyAlignment="1">
      <alignment horizontal="center" vertical="center"/>
    </xf>
    <xf numFmtId="0" fontId="5" fillId="17" borderId="5" xfId="0" applyFont="1" applyFill="1" applyBorder="1" applyAlignment="1">
      <alignment horizontal="left" vertical="center" wrapText="1"/>
    </xf>
    <xf numFmtId="0" fontId="5" fillId="17" borderId="5" xfId="0" applyFont="1" applyFill="1" applyBorder="1" applyAlignment="1">
      <alignment vertical="center"/>
    </xf>
    <xf numFmtId="0" fontId="5" fillId="18" borderId="5" xfId="0" applyFont="1" applyFill="1" applyBorder="1" applyAlignment="1">
      <alignment horizontal="center" vertical="center"/>
    </xf>
    <xf numFmtId="0" fontId="5" fillId="18" borderId="5" xfId="0" applyFont="1" applyFill="1" applyBorder="1" applyAlignment="1">
      <alignment horizontal="left" vertical="center" wrapText="1"/>
    </xf>
    <xf numFmtId="0" fontId="5" fillId="18" borderId="5" xfId="0" applyFont="1" applyFill="1" applyBorder="1" applyAlignment="1">
      <alignment vertical="center"/>
    </xf>
    <xf numFmtId="0" fontId="5" fillId="20" borderId="5" xfId="0" applyFont="1" applyFill="1" applyBorder="1" applyAlignment="1">
      <alignment horizontal="center" vertical="center"/>
    </xf>
    <xf numFmtId="0" fontId="5" fillId="20" borderId="17" xfId="0" applyFont="1" applyFill="1" applyBorder="1" applyAlignment="1">
      <alignment horizontal="left" vertical="center" wrapText="1"/>
    </xf>
    <xf numFmtId="0" fontId="5" fillId="20" borderId="5" xfId="0" applyFont="1" applyFill="1" applyBorder="1" applyAlignment="1">
      <alignment vertical="center" wrapText="1"/>
    </xf>
    <xf numFmtId="0" fontId="5" fillId="21" borderId="5" xfId="0" applyFont="1" applyFill="1" applyBorder="1" applyAlignment="1">
      <alignment horizontal="center" vertical="center"/>
    </xf>
    <xf numFmtId="0" fontId="5" fillId="21" borderId="5" xfId="0" applyFont="1" applyFill="1" applyBorder="1" applyAlignment="1">
      <alignment horizontal="left" vertical="center" wrapText="1"/>
    </xf>
    <xf numFmtId="0" fontId="5" fillId="21" borderId="5" xfId="0" applyFont="1" applyFill="1" applyBorder="1" applyAlignment="1">
      <alignment vertical="center" wrapText="1"/>
    </xf>
    <xf numFmtId="0" fontId="5" fillId="23" borderId="5" xfId="0" applyFont="1" applyFill="1" applyBorder="1" applyAlignment="1">
      <alignment horizontal="center" vertical="center"/>
    </xf>
    <xf numFmtId="0" fontId="5" fillId="23" borderId="5" xfId="0" applyFont="1" applyFill="1" applyBorder="1" applyAlignment="1">
      <alignment horizontal="left" vertical="center" wrapText="1"/>
    </xf>
    <xf numFmtId="0" fontId="5" fillId="23" borderId="5" xfId="0" applyFont="1" applyFill="1" applyBorder="1" applyAlignment="1">
      <alignment vertical="center" wrapText="1"/>
    </xf>
    <xf numFmtId="0" fontId="5" fillId="24" borderId="5" xfId="0" applyFont="1" applyFill="1" applyBorder="1" applyAlignment="1">
      <alignment horizontal="center" vertical="center"/>
    </xf>
    <xf numFmtId="0" fontId="5" fillId="24" borderId="5" xfId="0" applyFont="1" applyFill="1" applyBorder="1" applyAlignment="1">
      <alignment horizontal="left" vertical="center" wrapText="1"/>
    </xf>
    <xf numFmtId="0" fontId="5" fillId="24" borderId="5" xfId="0" applyFont="1" applyFill="1" applyBorder="1" applyAlignment="1">
      <alignment vertical="center"/>
    </xf>
    <xf numFmtId="0" fontId="5" fillId="25" borderId="5" xfId="0" applyFont="1" applyFill="1" applyBorder="1" applyAlignment="1">
      <alignment horizontal="center" vertical="center"/>
    </xf>
    <xf numFmtId="0" fontId="5" fillId="25" borderId="5" xfId="0" applyFont="1" applyFill="1" applyBorder="1" applyAlignment="1">
      <alignment horizontal="left" vertical="center" wrapText="1"/>
    </xf>
    <xf numFmtId="0" fontId="5" fillId="25" borderId="5" xfId="0" applyFont="1" applyFill="1" applyBorder="1" applyAlignment="1">
      <alignment vertical="center"/>
    </xf>
    <xf numFmtId="0" fontId="8" fillId="26" borderId="5" xfId="0" applyFont="1" applyFill="1" applyBorder="1" applyAlignment="1">
      <alignment horizontal="center" vertical="center"/>
    </xf>
    <xf numFmtId="0" fontId="8" fillId="26" borderId="5" xfId="0" applyFont="1" applyFill="1" applyBorder="1" applyAlignment="1">
      <alignment horizontal="left" vertical="center"/>
    </xf>
    <xf numFmtId="0" fontId="8" fillId="26" borderId="5" xfId="0" applyFont="1" applyFill="1" applyBorder="1" applyAlignment="1">
      <alignment vertical="center"/>
    </xf>
    <xf numFmtId="0" fontId="5" fillId="28" borderId="5" xfId="0" applyFont="1" applyFill="1" applyBorder="1" applyAlignment="1">
      <alignment horizontal="center" vertical="center"/>
    </xf>
    <xf numFmtId="0" fontId="5" fillId="28" borderId="5" xfId="0" applyFont="1" applyFill="1" applyBorder="1" applyAlignment="1">
      <alignment horizontal="left" vertical="center" wrapText="1"/>
    </xf>
    <xf numFmtId="0" fontId="5" fillId="28" borderId="5" xfId="0" applyFont="1" applyFill="1" applyBorder="1" applyAlignment="1">
      <alignment vertical="center"/>
    </xf>
    <xf numFmtId="0" fontId="5" fillId="5" borderId="17" xfId="0" applyFont="1" applyFill="1" applyBorder="1" applyAlignment="1">
      <alignment vertical="center"/>
    </xf>
    <xf numFmtId="0" fontId="8" fillId="29" borderId="5" xfId="0" applyFont="1" applyFill="1" applyBorder="1" applyAlignment="1">
      <alignment horizontal="center" vertical="center"/>
    </xf>
    <xf numFmtId="0" fontId="8" fillId="29" borderId="5" xfId="0" applyFont="1" applyFill="1" applyBorder="1" applyAlignment="1">
      <alignment horizontal="left" vertical="center" wrapText="1"/>
    </xf>
    <xf numFmtId="0" fontId="8" fillId="29" borderId="5" xfId="0" applyFont="1" applyFill="1" applyBorder="1" applyAlignment="1">
      <alignment vertical="center"/>
    </xf>
    <xf numFmtId="0" fontId="2" fillId="0" borderId="0" xfId="0" applyFont="1" applyAlignment="1">
      <alignment horizontal="center" vertical="center"/>
    </xf>
    <xf numFmtId="0" fontId="5" fillId="0" borderId="0" xfId="0" applyFont="1" applyAlignment="1">
      <alignment horizontal="left" vertical="center" wrapText="1"/>
    </xf>
    <xf numFmtId="0" fontId="2" fillId="0" borderId="0" xfId="0" applyFont="1" applyAlignment="1">
      <alignment vertical="center"/>
    </xf>
    <xf numFmtId="0" fontId="5" fillId="0" borderId="0" xfId="0" applyFont="1" applyAlignment="1">
      <alignment horizontal="center" vertical="center"/>
    </xf>
    <xf numFmtId="0" fontId="12" fillId="4" borderId="5" xfId="0" applyFont="1" applyFill="1" applyBorder="1" applyAlignment="1">
      <alignment horizontal="center" vertical="center"/>
    </xf>
    <xf numFmtId="0" fontId="12" fillId="6" borderId="5" xfId="0" applyFont="1" applyFill="1" applyBorder="1" applyAlignment="1">
      <alignment horizontal="center" vertical="center"/>
    </xf>
    <xf numFmtId="0" fontId="12" fillId="8" borderId="5" xfId="0" applyFont="1" applyFill="1" applyBorder="1" applyAlignment="1">
      <alignment horizontal="center" vertical="center"/>
    </xf>
    <xf numFmtId="0" fontId="12" fillId="10" borderId="5" xfId="0" applyFont="1" applyFill="1" applyBorder="1" applyAlignment="1">
      <alignment horizontal="center" vertical="center"/>
    </xf>
    <xf numFmtId="0" fontId="12" fillId="11" borderId="5" xfId="0" applyFont="1" applyFill="1" applyBorder="1" applyAlignment="1">
      <alignment horizontal="center" vertical="center"/>
    </xf>
    <xf numFmtId="0" fontId="13" fillId="12" borderId="5" xfId="0" applyFont="1" applyFill="1" applyBorder="1" applyAlignment="1">
      <alignment horizontal="center" vertical="center"/>
    </xf>
    <xf numFmtId="0" fontId="12" fillId="14" borderId="5" xfId="0" applyFont="1" applyFill="1" applyBorder="1" applyAlignment="1">
      <alignment horizontal="center" vertical="center"/>
    </xf>
    <xf numFmtId="0" fontId="14" fillId="0" borderId="5" xfId="0" applyFont="1" applyBorder="1" applyAlignment="1">
      <alignment horizontal="center"/>
    </xf>
    <xf numFmtId="0" fontId="15" fillId="0" borderId="5" xfId="0" applyFont="1" applyBorder="1" applyAlignment="1">
      <alignment horizontal="right" vertical="center"/>
    </xf>
    <xf numFmtId="0" fontId="5" fillId="0" borderId="5" xfId="0" applyFont="1" applyBorder="1" applyAlignment="1">
      <alignment horizontal="center" vertical="center"/>
    </xf>
    <xf numFmtId="0" fontId="8" fillId="0" borderId="5" xfId="0" applyFont="1" applyBorder="1" applyAlignment="1">
      <alignment horizontal="center" vertical="center"/>
    </xf>
    <xf numFmtId="0" fontId="11" fillId="0" borderId="5" xfId="0" applyFont="1" applyBorder="1" applyAlignment="1">
      <alignment horizontal="center" vertical="center"/>
    </xf>
    <xf numFmtId="0" fontId="16" fillId="5" borderId="5" xfId="0" applyFont="1" applyFill="1" applyBorder="1"/>
    <xf numFmtId="0" fontId="5" fillId="0" borderId="0" xfId="0" applyFont="1" applyAlignment="1">
      <alignment horizontal="right" vertical="center"/>
    </xf>
    <xf numFmtId="0" fontId="17" fillId="30" borderId="21" xfId="0" applyFont="1" applyFill="1" applyBorder="1" applyAlignment="1">
      <alignment horizontal="left" vertical="center"/>
    </xf>
    <xf numFmtId="0" fontId="17" fillId="30" borderId="21" xfId="0" applyFont="1" applyFill="1" applyBorder="1" applyAlignment="1">
      <alignment horizontal="center" vertical="center"/>
    </xf>
    <xf numFmtId="0" fontId="17" fillId="30" borderId="21" xfId="0" applyFont="1" applyFill="1" applyBorder="1" applyAlignment="1">
      <alignment horizontal="left" vertical="center" wrapText="1"/>
    </xf>
    <xf numFmtId="0" fontId="17" fillId="30" borderId="21" xfId="0" applyFont="1" applyFill="1" applyBorder="1" applyAlignment="1">
      <alignment horizontal="center" vertical="center" wrapText="1"/>
    </xf>
    <xf numFmtId="0" fontId="12" fillId="15" borderId="5" xfId="0" applyFont="1" applyFill="1" applyBorder="1" applyAlignment="1">
      <alignment horizontal="center" vertical="center"/>
    </xf>
    <xf numFmtId="0" fontId="12" fillId="17" borderId="5" xfId="0" applyFont="1" applyFill="1" applyBorder="1" applyAlignment="1">
      <alignment horizontal="center" vertical="center"/>
    </xf>
    <xf numFmtId="0" fontId="12" fillId="18" borderId="5" xfId="0" applyFont="1" applyFill="1" applyBorder="1" applyAlignment="1">
      <alignment horizontal="center" vertical="center"/>
    </xf>
    <xf numFmtId="0" fontId="12" fillId="20" borderId="5" xfId="0" applyFont="1" applyFill="1" applyBorder="1" applyAlignment="1">
      <alignment horizontal="center" vertical="center"/>
    </xf>
    <xf numFmtId="0" fontId="12" fillId="21" borderId="5" xfId="0" applyFont="1" applyFill="1" applyBorder="1" applyAlignment="1">
      <alignment horizontal="center" vertical="center"/>
    </xf>
    <xf numFmtId="0" fontId="12" fillId="23" borderId="5" xfId="0" applyFont="1" applyFill="1" applyBorder="1" applyAlignment="1">
      <alignment horizontal="center" vertical="center"/>
    </xf>
    <xf numFmtId="0" fontId="12" fillId="24" borderId="5" xfId="0" applyFont="1" applyFill="1" applyBorder="1" applyAlignment="1">
      <alignment horizontal="center" vertical="center"/>
    </xf>
    <xf numFmtId="0" fontId="12" fillId="25" borderId="5" xfId="0" applyFont="1" applyFill="1" applyBorder="1" applyAlignment="1">
      <alignment horizontal="center" vertical="center"/>
    </xf>
    <xf numFmtId="0" fontId="13" fillId="26" borderId="5" xfId="0" applyFont="1" applyFill="1" applyBorder="1" applyAlignment="1">
      <alignment horizontal="center" vertical="center"/>
    </xf>
    <xf numFmtId="0" fontId="12" fillId="28" borderId="5" xfId="0" applyFont="1" applyFill="1" applyBorder="1" applyAlignment="1">
      <alignment horizontal="center" vertical="center"/>
    </xf>
    <xf numFmtId="0" fontId="12" fillId="29" borderId="5" xfId="0" applyFont="1" applyFill="1" applyBorder="1" applyAlignment="1">
      <alignment horizontal="center" vertical="center"/>
    </xf>
    <xf numFmtId="0" fontId="5" fillId="31" borderId="5" xfId="0" applyFont="1" applyFill="1" applyBorder="1" applyAlignment="1">
      <alignment horizontal="center" vertical="center"/>
    </xf>
    <xf numFmtId="0" fontId="5" fillId="31" borderId="5" xfId="0" applyFont="1" applyFill="1" applyBorder="1" applyAlignment="1">
      <alignment horizontal="left" vertical="center" wrapText="1"/>
    </xf>
    <xf numFmtId="0" fontId="5" fillId="32" borderId="5" xfId="0" applyFont="1" applyFill="1" applyBorder="1" applyAlignment="1">
      <alignment horizontal="center" vertical="center"/>
    </xf>
    <xf numFmtId="0" fontId="5" fillId="32" borderId="5" xfId="0" applyFont="1" applyFill="1" applyBorder="1" applyAlignment="1">
      <alignment horizontal="left" vertical="center" wrapText="1"/>
    </xf>
    <xf numFmtId="0" fontId="5" fillId="33" borderId="5" xfId="0" applyFont="1" applyFill="1" applyBorder="1" applyAlignment="1">
      <alignment horizontal="center" vertical="center"/>
    </xf>
    <xf numFmtId="0" fontId="5" fillId="33" borderId="5" xfId="0" applyFont="1" applyFill="1" applyBorder="1" applyAlignment="1">
      <alignment horizontal="left" vertical="center" wrapText="1"/>
    </xf>
    <xf numFmtId="0" fontId="17" fillId="30" borderId="21" xfId="0" applyFont="1" applyFill="1" applyBorder="1" applyAlignment="1">
      <alignment vertical="center"/>
    </xf>
    <xf numFmtId="0" fontId="19" fillId="0" borderId="0" xfId="0" applyFont="1" applyAlignment="1">
      <alignment horizontal="center" vertical="center"/>
    </xf>
    <xf numFmtId="0" fontId="20" fillId="33" borderId="5" xfId="0" applyFont="1" applyFill="1" applyBorder="1" applyAlignment="1">
      <alignment horizontal="left" vertical="center" wrapText="1"/>
    </xf>
    <xf numFmtId="0" fontId="21" fillId="33" borderId="5" xfId="0" applyFont="1" applyFill="1" applyBorder="1" applyAlignment="1">
      <alignment horizontal="left" vertical="center" wrapText="1"/>
    </xf>
    <xf numFmtId="0" fontId="5" fillId="0" borderId="5" xfId="0" applyFont="1" applyBorder="1" applyAlignment="1">
      <alignment vertical="center"/>
      <extLst>
        <ext xmlns:xfpb="http://schemas.microsoft.com/office/spreadsheetml/2022/featurepropertybag" uri="{C7286773-470A-42A8-94C5-96B5CB345126}">
          <xfpb:xfComplement i="0"/>
        </ext>
      </extLst>
    </xf>
    <xf numFmtId="0" fontId="31" fillId="0" borderId="0" xfId="0" applyFont="1"/>
    <xf numFmtId="0" fontId="30" fillId="31" borderId="5" xfId="0" applyFont="1" applyFill="1" applyBorder="1" applyAlignment="1">
      <alignment horizontal="left" vertical="center" wrapText="1"/>
    </xf>
    <xf numFmtId="0" fontId="30" fillId="32" borderId="5" xfId="0" applyFont="1" applyFill="1" applyBorder="1" applyAlignment="1">
      <alignment horizontal="left" vertical="center" wrapText="1"/>
    </xf>
    <xf numFmtId="0" fontId="29" fillId="0" borderId="0" xfId="0" applyFont="1"/>
    <xf numFmtId="0" fontId="32" fillId="32" borderId="5" xfId="0" applyFont="1" applyFill="1" applyBorder="1" applyAlignment="1">
      <alignment horizontal="left" vertical="center" wrapText="1"/>
    </xf>
    <xf numFmtId="0" fontId="30" fillId="33" borderId="5" xfId="0" applyFont="1" applyFill="1" applyBorder="1" applyAlignment="1">
      <alignment horizontal="left" vertical="center" wrapText="1"/>
    </xf>
    <xf numFmtId="0" fontId="1" fillId="0" borderId="0" xfId="0" applyFont="1"/>
    <xf numFmtId="0" fontId="33" fillId="31" borderId="5" xfId="0" applyFont="1" applyFill="1" applyBorder="1" applyAlignment="1">
      <alignment horizontal="left" vertical="center" wrapText="1"/>
    </xf>
    <xf numFmtId="0" fontId="33" fillId="32" borderId="5" xfId="0" applyFont="1" applyFill="1" applyBorder="1" applyAlignment="1">
      <alignment vertical="center" wrapText="1"/>
    </xf>
    <xf numFmtId="0" fontId="33" fillId="32" borderId="5" xfId="0" applyFont="1" applyFill="1" applyBorder="1" applyAlignment="1">
      <alignment horizontal="left" vertical="center" wrapText="1"/>
    </xf>
    <xf numFmtId="0" fontId="33" fillId="33" borderId="5" xfId="0" applyFont="1" applyFill="1" applyBorder="1" applyAlignment="1">
      <alignment horizontal="left" vertical="center" wrapText="1"/>
    </xf>
    <xf numFmtId="0" fontId="33" fillId="33" borderId="5" xfId="0" applyFont="1" applyFill="1" applyBorder="1" applyAlignment="1">
      <alignment horizontal="center" vertical="center"/>
    </xf>
    <xf numFmtId="0" fontId="33" fillId="31" borderId="5" xfId="0" applyFont="1" applyFill="1" applyBorder="1" applyAlignment="1">
      <alignment vertical="center" wrapText="1"/>
    </xf>
    <xf numFmtId="0" fontId="33" fillId="33" borderId="5" xfId="0" applyFont="1" applyFill="1" applyBorder="1" applyAlignment="1">
      <alignment vertical="center" wrapText="1"/>
    </xf>
    <xf numFmtId="0" fontId="34" fillId="0" borderId="5" xfId="0" applyFont="1" applyBorder="1" applyAlignment="1">
      <alignment horizontal="center"/>
    </xf>
    <xf numFmtId="0" fontId="35" fillId="0" borderId="5" xfId="1" applyBorder="1" applyAlignment="1">
      <alignment horizontal="right" vertical="center"/>
    </xf>
    <xf numFmtId="0" fontId="13" fillId="13" borderId="18" xfId="0" applyFont="1" applyFill="1" applyBorder="1" applyAlignment="1">
      <alignment horizontal="center" vertical="center"/>
    </xf>
    <xf numFmtId="0" fontId="4" fillId="0" borderId="19" xfId="0" applyFont="1" applyBorder="1"/>
    <xf numFmtId="0" fontId="13" fillId="16" borderId="18" xfId="0" applyFont="1" applyFill="1" applyBorder="1" applyAlignment="1">
      <alignment horizontal="center" vertical="center"/>
    </xf>
    <xf numFmtId="0" fontId="13" fillId="19" borderId="18" xfId="0" applyFont="1" applyFill="1" applyBorder="1" applyAlignment="1">
      <alignment horizontal="center" vertical="center"/>
    </xf>
    <xf numFmtId="0" fontId="13" fillId="22" borderId="18" xfId="0" applyFont="1" applyFill="1" applyBorder="1" applyAlignment="1">
      <alignment horizontal="center" vertical="center"/>
    </xf>
    <xf numFmtId="0" fontId="4" fillId="0" borderId="20" xfId="0" applyFont="1" applyBorder="1"/>
    <xf numFmtId="0" fontId="18" fillId="30" borderId="22" xfId="0" applyFont="1" applyFill="1" applyBorder="1" applyAlignment="1">
      <alignment horizontal="center" vertical="center" wrapText="1"/>
    </xf>
    <xf numFmtId="0" fontId="4" fillId="0" borderId="23" xfId="0" applyFont="1" applyBorder="1"/>
    <xf numFmtId="0" fontId="4" fillId="0" borderId="24" xfId="0" applyFont="1" applyBorder="1"/>
    <xf numFmtId="0" fontId="4" fillId="0" borderId="25" xfId="0" applyFont="1" applyBorder="1"/>
    <xf numFmtId="0" fontId="4" fillId="0" borderId="26" xfId="0" applyFont="1" applyBorder="1"/>
    <xf numFmtId="0" fontId="4" fillId="0" borderId="27" xfId="0" applyFont="1" applyBorder="1"/>
    <xf numFmtId="0" fontId="13" fillId="27" borderId="18" xfId="0" applyFont="1" applyFill="1" applyBorder="1" applyAlignment="1">
      <alignment horizontal="center" vertical="center"/>
    </xf>
    <xf numFmtId="0" fontId="12" fillId="16" borderId="18" xfId="0" applyFont="1" applyFill="1" applyBorder="1" applyAlignment="1">
      <alignment horizontal="center" vertical="center"/>
    </xf>
    <xf numFmtId="0" fontId="12" fillId="19" borderId="18" xfId="0" applyFont="1" applyFill="1" applyBorder="1" applyAlignment="1">
      <alignment horizontal="center" vertical="center"/>
    </xf>
    <xf numFmtId="0" fontId="12" fillId="22" borderId="18" xfId="0" applyFont="1" applyFill="1" applyBorder="1" applyAlignment="1">
      <alignment horizontal="center" vertical="center"/>
    </xf>
    <xf numFmtId="0" fontId="17" fillId="30" borderId="28" xfId="0" applyFont="1" applyFill="1" applyBorder="1" applyAlignment="1">
      <alignment horizontal="center" vertical="center"/>
    </xf>
    <xf numFmtId="0" fontId="4" fillId="0" borderId="29" xfId="0" applyFont="1" applyBorder="1"/>
    <xf numFmtId="0" fontId="5" fillId="31" borderId="4" xfId="0" applyFont="1" applyFill="1" applyBorder="1" applyAlignment="1">
      <alignment horizontal="center" vertical="center" wrapText="1"/>
    </xf>
    <xf numFmtId="0" fontId="4" fillId="0" borderId="13" xfId="0" applyFont="1" applyBorder="1"/>
    <xf numFmtId="0" fontId="4" fillId="0" borderId="8" xfId="0" applyFont="1" applyBorder="1"/>
    <xf numFmtId="0" fontId="5" fillId="32" borderId="4" xfId="0" applyFont="1" applyFill="1" applyBorder="1" applyAlignment="1">
      <alignment horizontal="center" vertical="center"/>
    </xf>
    <xf numFmtId="0" fontId="5" fillId="33" borderId="4" xfId="0" applyFont="1" applyFill="1" applyBorder="1" applyAlignment="1">
      <alignment horizontal="center" vertical="center" wrapText="1"/>
    </xf>
    <xf numFmtId="0" fontId="12" fillId="3" borderId="18" xfId="0" applyFont="1" applyFill="1" applyBorder="1" applyAlignment="1">
      <alignment horizontal="center" vertical="center"/>
    </xf>
    <xf numFmtId="0" fontId="12" fillId="7" borderId="18" xfId="0" applyFont="1" applyFill="1" applyBorder="1" applyAlignment="1">
      <alignment horizontal="center" vertical="center"/>
    </xf>
    <xf numFmtId="0" fontId="12" fillId="13" borderId="18" xfId="0" applyFont="1" applyFill="1" applyBorder="1" applyAlignment="1">
      <alignment horizontal="center" vertical="center"/>
    </xf>
    <xf numFmtId="0" fontId="4" fillId="0" borderId="30" xfId="0" applyFont="1" applyBorder="1"/>
    <xf numFmtId="0" fontId="17" fillId="30" borderId="28"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7" borderId="18" xfId="0" applyFont="1" applyFill="1" applyBorder="1" applyAlignment="1">
      <alignment horizontal="center" vertical="center"/>
    </xf>
    <xf numFmtId="0" fontId="5" fillId="5" borderId="6" xfId="0" applyFont="1" applyFill="1" applyBorder="1" applyAlignment="1">
      <alignment vertical="center" wrapText="1"/>
    </xf>
    <xf numFmtId="0" fontId="4" fillId="0" borderId="7" xfId="0" applyFont="1" applyBorder="1"/>
    <xf numFmtId="0" fontId="4" fillId="0" borderId="14" xfId="0" applyFont="1" applyBorder="1"/>
    <xf numFmtId="0" fontId="4" fillId="0" borderId="15" xfId="0" applyFont="1" applyBorder="1"/>
    <xf numFmtId="0" fontId="4" fillId="0" borderId="9" xfId="0" applyFont="1" applyBorder="1"/>
    <xf numFmtId="0" fontId="4" fillId="0" borderId="10" xfId="0" applyFont="1" applyBorder="1"/>
    <xf numFmtId="0" fontId="5" fillId="9" borderId="11" xfId="0" applyFont="1" applyFill="1" applyBorder="1" applyAlignment="1">
      <alignment vertical="center" wrapText="1"/>
    </xf>
    <xf numFmtId="0" fontId="4" fillId="0" borderId="12" xfId="0" applyFont="1" applyBorder="1"/>
    <xf numFmtId="0" fontId="4" fillId="0" borderId="16" xfId="0" applyFont="1" applyBorder="1"/>
    <xf numFmtId="0" fontId="0" fillId="0" borderId="0" xfId="0"/>
    <xf numFmtId="0" fontId="3" fillId="2" borderId="2" xfId="0" applyFont="1" applyFill="1" applyBorder="1" applyAlignment="1">
      <alignment horizontal="center" vertical="center"/>
    </xf>
    <xf numFmtId="0" fontId="4" fillId="0" borderId="3" xfId="0" applyFont="1" applyBorder="1"/>
    <xf numFmtId="0" fontId="2" fillId="3" borderId="4" xfId="0" applyFont="1" applyFill="1" applyBorder="1" applyAlignment="1">
      <alignment horizontal="center" vertical="center"/>
    </xf>
    <xf numFmtId="0" fontId="5" fillId="3" borderId="4" xfId="0" applyFont="1" applyFill="1" applyBorder="1" applyAlignment="1">
      <alignment vertical="center" wrapText="1"/>
    </xf>
    <xf numFmtId="0" fontId="6" fillId="0" borderId="4" xfId="0" applyFont="1" applyBorder="1" applyAlignment="1">
      <alignment horizontal="center" vertical="center"/>
    </xf>
    <xf numFmtId="0" fontId="2" fillId="7" borderId="4" xfId="0" applyFont="1" applyFill="1" applyBorder="1" applyAlignment="1">
      <alignment horizontal="center" vertical="center"/>
    </xf>
    <xf numFmtId="0" fontId="5" fillId="7" borderId="4" xfId="0" applyFont="1" applyFill="1" applyBorder="1" applyAlignment="1">
      <alignment vertical="center" wrapText="1"/>
    </xf>
    <xf numFmtId="0" fontId="10" fillId="5" borderId="11" xfId="0" applyFont="1" applyFill="1" applyBorder="1" applyAlignment="1">
      <alignment vertical="center" wrapText="1"/>
    </xf>
    <xf numFmtId="0" fontId="2" fillId="13" borderId="4" xfId="0" applyFont="1" applyFill="1" applyBorder="1" applyAlignment="1">
      <alignment horizontal="center" vertical="center"/>
    </xf>
    <xf numFmtId="0" fontId="5" fillId="13" borderId="4" xfId="0" applyFont="1" applyFill="1" applyBorder="1" applyAlignment="1">
      <alignment vertical="center" wrapText="1"/>
    </xf>
    <xf numFmtId="0" fontId="9" fillId="5" borderId="6" xfId="0" applyFont="1" applyFill="1" applyBorder="1" applyAlignment="1">
      <alignment vertical="center" wrapText="1"/>
    </xf>
    <xf numFmtId="0" fontId="2" fillId="16" borderId="4" xfId="0" applyFont="1" applyFill="1" applyBorder="1" applyAlignment="1">
      <alignment horizontal="center" vertical="center"/>
    </xf>
    <xf numFmtId="0" fontId="5" fillId="16" borderId="4" xfId="0" applyFont="1" applyFill="1" applyBorder="1" applyAlignment="1">
      <alignment vertical="center" wrapText="1"/>
    </xf>
    <xf numFmtId="0" fontId="2" fillId="22" borderId="4" xfId="0" applyFont="1" applyFill="1" applyBorder="1" applyAlignment="1">
      <alignment horizontal="center" vertical="center"/>
    </xf>
    <xf numFmtId="0" fontId="2" fillId="27" borderId="4" xfId="0" applyFont="1" applyFill="1" applyBorder="1" applyAlignment="1">
      <alignment horizontal="center" vertical="center"/>
    </xf>
    <xf numFmtId="0" fontId="8" fillId="27" borderId="4" xfId="0" applyFont="1" applyFill="1" applyBorder="1" applyAlignment="1">
      <alignment vertical="center" wrapText="1"/>
    </xf>
    <xf numFmtId="0" fontId="11" fillId="22" borderId="4" xfId="0" applyFont="1" applyFill="1" applyBorder="1" applyAlignment="1">
      <alignment vertical="center" wrapText="1"/>
    </xf>
    <xf numFmtId="0" fontId="2" fillId="19" borderId="4" xfId="0" applyFont="1" applyFill="1" applyBorder="1" applyAlignment="1">
      <alignment horizontal="center" vertical="center"/>
    </xf>
    <xf numFmtId="0" fontId="5" fillId="19" borderId="4" xfId="0" applyFont="1" applyFill="1" applyBorder="1" applyAlignment="1">
      <alignment vertical="center" wrapText="1"/>
    </xf>
    <xf numFmtId="0" fontId="5" fillId="5" borderId="11" xfId="0" applyFont="1" applyFill="1" applyBorder="1" applyAlignment="1">
      <alignment vertical="center" wrapText="1"/>
    </xf>
    <xf numFmtId="0" fontId="12" fillId="5" borderId="18" xfId="0" applyFont="1" applyFill="1" applyBorder="1" applyAlignment="1">
      <alignment horizontal="left" vertical="center"/>
    </xf>
    <xf numFmtId="0" fontId="12" fillId="5" borderId="0" xfId="0" applyFont="1" applyFill="1" applyAlignment="1">
      <alignment horizontal="center" vertical="center"/>
    </xf>
    <xf numFmtId="0" fontId="12" fillId="5" borderId="4" xfId="0" applyFont="1" applyFill="1" applyBorder="1" applyAlignment="1">
      <alignment horizontal="center" vertical="center"/>
    </xf>
  </cellXfs>
  <cellStyles count="2">
    <cellStyle name="Hyperlink" xfId="1" builtinId="8"/>
    <cellStyle name="Normal" xfId="0" builtinId="0"/>
  </cellStyles>
  <dxfs count="594">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
      <fill>
        <patternFill patternType="solid">
          <fgColor rgb="FF8496B0"/>
          <bgColor rgb="FF8496B0"/>
        </patternFill>
      </fill>
    </dxf>
    <dxf>
      <fill>
        <patternFill patternType="solid">
          <fgColor rgb="FFD6DCE4"/>
          <bgColor rgb="FFD6DCE4"/>
        </patternFill>
      </fill>
    </dxf>
    <dxf>
      <fill>
        <patternFill patternType="solid">
          <fgColor rgb="FF2F5496"/>
          <bgColor rgb="FF2F5496"/>
        </patternFill>
      </fill>
    </dxf>
    <dxf>
      <fill>
        <patternFill patternType="solid">
          <fgColor rgb="FF8EAADB"/>
          <bgColor rgb="FF8EAADB"/>
        </patternFill>
      </fill>
    </dxf>
    <dxf>
      <fill>
        <patternFill patternType="solid">
          <fgColor rgb="FFB4C6E7"/>
          <bgColor rgb="FFB4C6E7"/>
        </patternFill>
      </fill>
    </dxf>
    <dxf>
      <fill>
        <patternFill patternType="solid">
          <fgColor rgb="FFD9E2F3"/>
          <bgColor rgb="FFD9E2F3"/>
        </patternFill>
      </fill>
    </dxf>
    <dxf>
      <fill>
        <patternFill patternType="solid">
          <fgColor rgb="FFF4B083"/>
          <bgColor rgb="FFF4B083"/>
        </patternFill>
      </fill>
    </dxf>
    <dxf>
      <fill>
        <patternFill patternType="solid">
          <fgColor rgb="FFFBE4D5"/>
          <bgColor rgb="FFFBE4D5"/>
        </patternFill>
      </fill>
    </dxf>
    <dxf>
      <fill>
        <patternFill patternType="solid">
          <fgColor rgb="FFC8C8C8"/>
          <bgColor rgb="FFC8C8C8"/>
        </patternFill>
      </fill>
    </dxf>
    <dxf>
      <fill>
        <patternFill patternType="solid">
          <fgColor rgb="FFECECEC"/>
          <bgColor rgb="FFECECEC"/>
        </patternFill>
      </fill>
    </dxf>
    <dxf>
      <fill>
        <patternFill patternType="solid">
          <fgColor rgb="FFFFD965"/>
          <bgColor rgb="FFFFD965"/>
        </patternFill>
      </fill>
    </dxf>
    <dxf>
      <fill>
        <patternFill patternType="solid">
          <fgColor rgb="FFFEF2CB"/>
          <bgColor rgb="FFFEF2CB"/>
        </patternFill>
      </fill>
    </dxf>
    <dxf>
      <fill>
        <patternFill patternType="solid">
          <fgColor rgb="FF2E75B5"/>
          <bgColor rgb="FF2E75B5"/>
        </patternFill>
      </fill>
    </dxf>
    <dxf>
      <fill>
        <patternFill patternType="solid">
          <fgColor rgb="FF9CC2E5"/>
          <bgColor rgb="FF9CC2E5"/>
        </patternFill>
      </fill>
    </dxf>
    <dxf>
      <fill>
        <patternFill patternType="solid">
          <fgColor rgb="FFBDD6EE"/>
          <bgColor rgb="FFBDD6EE"/>
        </patternFill>
      </fill>
    </dxf>
    <dxf>
      <fill>
        <patternFill patternType="solid">
          <fgColor rgb="FFDEEAF6"/>
          <bgColor rgb="FFDEEAF6"/>
        </patternFill>
      </fill>
    </dxf>
    <dxf>
      <fill>
        <patternFill patternType="solid">
          <fgColor rgb="FFA8D08D"/>
          <bgColor rgb="FFA8D08D"/>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customschemas.google.com/relationships/workbookmetadata" Target="metadata"/><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cs.google.com/document/d/1k_hUbQKAdBmBzneIJJv2r9X42wwp_vWU/edit" TargetMode="External"/><Relationship Id="rId3" Type="http://schemas.openxmlformats.org/officeDocument/2006/relationships/hyperlink" Target="https://docs.google.com/document/d/1UhW8IxmPlZVBD1BJrYWsn0TFS5jAfyTg/edit" TargetMode="External"/><Relationship Id="rId7" Type="http://schemas.openxmlformats.org/officeDocument/2006/relationships/hyperlink" Target="https://www.abet.org/wp-content/uploads/2018/10/FAQs-for-EAC-C3-C5-10-11-2018.pdf" TargetMode="External"/><Relationship Id="rId12" Type="http://schemas.openxmlformats.org/officeDocument/2006/relationships/hyperlink" Target="https://docs.google.com/document/d/1np6PxeOkc-HfmnfFI4SRmOXwNr1JXZls/edit" TargetMode="External"/><Relationship Id="rId2" Type="http://schemas.openxmlformats.org/officeDocument/2006/relationships/hyperlink" Target="https://docs.google.com/document/d/1v7l2h6d5THpUOaT0zZj9gddhcltmfMTe/edit" TargetMode="External"/><Relationship Id="rId1" Type="http://schemas.openxmlformats.org/officeDocument/2006/relationships/hyperlink" Target="https://docs.google.com/document/d/1vIViad-uJ0fW0CrYAofuccL8O4zQv8pA/edit" TargetMode="External"/><Relationship Id="rId6" Type="http://schemas.openxmlformats.org/officeDocument/2006/relationships/hyperlink" Target="https://docs.google.com/document/d/12KC6dIXel85OBeQT0k_I0siNlgFTFeNV/edit" TargetMode="External"/><Relationship Id="rId11" Type="http://schemas.openxmlformats.org/officeDocument/2006/relationships/hyperlink" Target="https://docs.google.com/document/d/1iDAeA66ZajG4zMoBDuvoho5kf_qFV5Hm/edit" TargetMode="External"/><Relationship Id="rId5" Type="http://schemas.openxmlformats.org/officeDocument/2006/relationships/hyperlink" Target="https://docs.google.com/document/d/1v7l2h6d5THpUOaT0zZj9gddhcltmfMTe/edit" TargetMode="External"/><Relationship Id="rId10" Type="http://schemas.openxmlformats.org/officeDocument/2006/relationships/hyperlink" Target="https://docs.google.com/document/d/1e5gfee1EF-BxihsJgp_6_8mEOljJI2IT/edit" TargetMode="External"/><Relationship Id="rId4" Type="http://schemas.openxmlformats.org/officeDocument/2006/relationships/hyperlink" Target="https://docs.google.com/document/d/1v7l2h6d5THpUOaT0zZj9gddhcltmfMTe/edit" TargetMode="External"/><Relationship Id="rId9" Type="http://schemas.openxmlformats.org/officeDocument/2006/relationships/hyperlink" Target="https://www.abet.org/wp-content/uploads/2018/10/FAQs-for-EAC-C3-C5-10-11-2018.pdf"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AA1" sqref="AA1"/>
    </sheetView>
  </sheetViews>
  <sheetFormatPr defaultColWidth="14.42578125" defaultRowHeight="15" customHeight="1" x14ac:dyDescent="0.25"/>
  <cols>
    <col min="1" max="1" width="8.28515625" customWidth="1"/>
    <col min="2" max="2" width="40" customWidth="1"/>
    <col min="3" max="3" width="9.85546875" customWidth="1"/>
    <col min="4" max="4" width="56.7109375" customWidth="1"/>
    <col min="5" max="5" width="38.140625" customWidth="1"/>
    <col min="8" max="8" width="77.140625" customWidth="1"/>
    <col min="10" max="10" width="74.5703125" customWidth="1"/>
  </cols>
  <sheetData>
    <row r="1" spans="1:26" ht="21" x14ac:dyDescent="0.25">
      <c r="A1" s="1" t="s">
        <v>0</v>
      </c>
      <c r="B1" s="2" t="s">
        <v>1</v>
      </c>
      <c r="C1" s="3" t="s">
        <v>2</v>
      </c>
      <c r="D1" s="4" t="s">
        <v>3</v>
      </c>
      <c r="E1" s="5" t="s">
        <v>4</v>
      </c>
      <c r="F1" s="3" t="s">
        <v>5</v>
      </c>
      <c r="G1" s="164" t="s">
        <v>6</v>
      </c>
      <c r="H1" s="165"/>
      <c r="I1" s="6"/>
      <c r="J1" s="6"/>
      <c r="K1" s="6"/>
      <c r="L1" s="6"/>
      <c r="M1" s="6"/>
      <c r="N1" s="6"/>
      <c r="O1" s="6"/>
      <c r="P1" s="6"/>
      <c r="Q1" s="6"/>
      <c r="R1" s="6"/>
      <c r="S1" s="6"/>
      <c r="T1" s="6"/>
      <c r="U1" s="6"/>
      <c r="V1" s="6"/>
      <c r="W1" s="6"/>
      <c r="X1" s="6"/>
      <c r="Y1" s="6"/>
      <c r="Z1" s="6"/>
    </row>
    <row r="2" spans="1:26" ht="45" customHeight="1" x14ac:dyDescent="0.25">
      <c r="A2" s="166" t="s">
        <v>7</v>
      </c>
      <c r="B2" s="167" t="s">
        <v>8</v>
      </c>
      <c r="C2" s="7" t="s">
        <v>9</v>
      </c>
      <c r="D2" s="8" t="s">
        <v>10</v>
      </c>
      <c r="E2" s="9" t="s">
        <v>11</v>
      </c>
      <c r="F2" s="168" t="s">
        <v>5</v>
      </c>
      <c r="G2" s="154" t="s">
        <v>12</v>
      </c>
      <c r="H2" s="155"/>
      <c r="I2" s="6"/>
      <c r="J2" s="6"/>
      <c r="K2" s="6"/>
      <c r="L2" s="6"/>
      <c r="M2" s="6"/>
      <c r="N2" s="6"/>
      <c r="O2" s="6"/>
      <c r="P2" s="6"/>
      <c r="Q2" s="6"/>
      <c r="R2" s="6"/>
      <c r="S2" s="6"/>
      <c r="T2" s="6"/>
      <c r="U2" s="6"/>
      <c r="V2" s="6"/>
      <c r="W2" s="6"/>
      <c r="X2" s="6"/>
      <c r="Y2" s="6"/>
      <c r="Z2" s="6"/>
    </row>
    <row r="3" spans="1:26" ht="45" customHeight="1" x14ac:dyDescent="0.25">
      <c r="A3" s="144"/>
      <c r="B3" s="144"/>
      <c r="C3" s="11" t="s">
        <v>13</v>
      </c>
      <c r="D3" s="12" t="s">
        <v>14</v>
      </c>
      <c r="E3" s="13" t="s">
        <v>15</v>
      </c>
      <c r="F3" s="144"/>
      <c r="G3" s="158"/>
      <c r="H3" s="159"/>
      <c r="I3" s="6"/>
      <c r="J3" s="6"/>
      <c r="K3" s="6"/>
      <c r="L3" s="6"/>
      <c r="M3" s="6"/>
      <c r="N3" s="6"/>
      <c r="O3" s="6"/>
      <c r="P3" s="6"/>
      <c r="Q3" s="6"/>
      <c r="R3" s="6"/>
      <c r="S3" s="6"/>
      <c r="T3" s="6"/>
      <c r="U3" s="6"/>
      <c r="V3" s="6"/>
      <c r="W3" s="6"/>
      <c r="X3" s="6"/>
      <c r="Y3" s="6"/>
      <c r="Z3" s="6"/>
    </row>
    <row r="4" spans="1:26" ht="45" customHeight="1" x14ac:dyDescent="0.25">
      <c r="A4" s="169" t="s">
        <v>16</v>
      </c>
      <c r="B4" s="170" t="s">
        <v>17</v>
      </c>
      <c r="C4" s="14" t="s">
        <v>18</v>
      </c>
      <c r="D4" s="15" t="s">
        <v>19</v>
      </c>
      <c r="E4" s="16"/>
      <c r="F4" s="10" t="s">
        <v>5</v>
      </c>
      <c r="G4" s="154" t="s">
        <v>20</v>
      </c>
      <c r="H4" s="155"/>
      <c r="I4" s="160" t="s">
        <v>21</v>
      </c>
      <c r="J4" s="161"/>
      <c r="K4" s="6"/>
      <c r="L4" s="6"/>
      <c r="M4" s="6"/>
      <c r="N4" s="6"/>
      <c r="O4" s="6"/>
      <c r="P4" s="6"/>
      <c r="Q4" s="6"/>
      <c r="R4" s="6"/>
      <c r="S4" s="6"/>
      <c r="T4" s="6"/>
      <c r="U4" s="6"/>
      <c r="V4" s="6"/>
      <c r="W4" s="6"/>
      <c r="X4" s="6"/>
      <c r="Y4" s="6"/>
      <c r="Z4" s="6"/>
    </row>
    <row r="5" spans="1:26" ht="45" customHeight="1" x14ac:dyDescent="0.25">
      <c r="A5" s="143"/>
      <c r="B5" s="143"/>
      <c r="C5" s="17" t="s">
        <v>22</v>
      </c>
      <c r="D5" s="18" t="s">
        <v>23</v>
      </c>
      <c r="E5" s="19"/>
      <c r="F5" s="20" t="s">
        <v>5</v>
      </c>
      <c r="G5" s="156"/>
      <c r="H5" s="157"/>
      <c r="I5" s="162"/>
      <c r="J5" s="163"/>
      <c r="K5" s="6"/>
      <c r="L5" s="6"/>
      <c r="M5" s="6"/>
      <c r="N5" s="6"/>
      <c r="O5" s="6"/>
      <c r="P5" s="6"/>
      <c r="Q5" s="6"/>
      <c r="R5" s="6"/>
      <c r="S5" s="6"/>
      <c r="T5" s="6"/>
      <c r="U5" s="6"/>
      <c r="V5" s="6"/>
      <c r="W5" s="6"/>
      <c r="X5" s="6"/>
      <c r="Y5" s="6"/>
      <c r="Z5" s="6"/>
    </row>
    <row r="6" spans="1:26" ht="45" customHeight="1" x14ac:dyDescent="0.25">
      <c r="A6" s="143"/>
      <c r="B6" s="143"/>
      <c r="C6" s="21" t="s">
        <v>24</v>
      </c>
      <c r="D6" s="22" t="s">
        <v>25</v>
      </c>
      <c r="E6" s="23"/>
      <c r="F6" s="20" t="s">
        <v>5</v>
      </c>
      <c r="G6" s="156"/>
      <c r="H6" s="157"/>
      <c r="I6" s="162"/>
      <c r="J6" s="163"/>
      <c r="K6" s="6"/>
      <c r="L6" s="6"/>
      <c r="M6" s="6"/>
      <c r="N6" s="6"/>
      <c r="O6" s="6"/>
      <c r="P6" s="6"/>
      <c r="Q6" s="6"/>
      <c r="R6" s="6"/>
      <c r="S6" s="6"/>
      <c r="T6" s="6"/>
      <c r="U6" s="6"/>
      <c r="V6" s="6"/>
      <c r="W6" s="6"/>
      <c r="X6" s="6"/>
      <c r="Y6" s="6"/>
      <c r="Z6" s="6"/>
    </row>
    <row r="7" spans="1:26" ht="45" customHeight="1" x14ac:dyDescent="0.25">
      <c r="A7" s="144"/>
      <c r="B7" s="144"/>
      <c r="C7" s="24" t="s">
        <v>26</v>
      </c>
      <c r="D7" s="25" t="s">
        <v>27</v>
      </c>
      <c r="E7" s="26"/>
      <c r="F7" s="20" t="s">
        <v>5</v>
      </c>
      <c r="G7" s="158"/>
      <c r="H7" s="159"/>
      <c r="I7" s="162"/>
      <c r="J7" s="163"/>
      <c r="K7" s="6"/>
      <c r="L7" s="6"/>
      <c r="M7" s="6"/>
      <c r="N7" s="6"/>
      <c r="O7" s="6"/>
      <c r="P7" s="6"/>
      <c r="Q7" s="6"/>
      <c r="R7" s="6"/>
      <c r="S7" s="6"/>
      <c r="T7" s="6"/>
      <c r="U7" s="6"/>
      <c r="V7" s="6"/>
      <c r="W7" s="6"/>
      <c r="X7" s="6"/>
      <c r="Y7" s="6"/>
      <c r="Z7" s="6"/>
    </row>
    <row r="8" spans="1:26" ht="45" customHeight="1" x14ac:dyDescent="0.25">
      <c r="A8" s="172" t="s">
        <v>28</v>
      </c>
      <c r="B8" s="173" t="s">
        <v>29</v>
      </c>
      <c r="C8" s="27" t="s">
        <v>30</v>
      </c>
      <c r="D8" s="28" t="s">
        <v>31</v>
      </c>
      <c r="E8" s="29"/>
      <c r="F8" s="168" t="s">
        <v>5</v>
      </c>
      <c r="G8" s="174" t="s">
        <v>32</v>
      </c>
      <c r="H8" s="155"/>
      <c r="I8" s="6"/>
      <c r="J8" s="6"/>
      <c r="K8" s="6"/>
      <c r="L8" s="6"/>
      <c r="M8" s="6"/>
      <c r="N8" s="6"/>
      <c r="O8" s="6"/>
      <c r="P8" s="6"/>
      <c r="Q8" s="6"/>
      <c r="R8" s="6"/>
      <c r="S8" s="6"/>
      <c r="T8" s="6"/>
      <c r="U8" s="6"/>
      <c r="V8" s="6"/>
      <c r="W8" s="6"/>
      <c r="X8" s="6"/>
      <c r="Y8" s="6"/>
      <c r="Z8" s="6"/>
    </row>
    <row r="9" spans="1:26" ht="45" customHeight="1" x14ac:dyDescent="0.25">
      <c r="A9" s="144"/>
      <c r="B9" s="144"/>
      <c r="C9" s="30" t="s">
        <v>33</v>
      </c>
      <c r="D9" s="31" t="s">
        <v>34</v>
      </c>
      <c r="E9" s="32"/>
      <c r="F9" s="144"/>
      <c r="G9" s="158"/>
      <c r="H9" s="159"/>
      <c r="I9" s="6"/>
      <c r="J9" s="6"/>
      <c r="K9" s="6"/>
      <c r="L9" s="6"/>
      <c r="M9" s="6"/>
      <c r="N9" s="6"/>
      <c r="O9" s="6"/>
      <c r="P9" s="6"/>
      <c r="Q9" s="6"/>
      <c r="R9" s="6"/>
      <c r="S9" s="6"/>
      <c r="T9" s="6"/>
      <c r="U9" s="6"/>
      <c r="V9" s="6"/>
      <c r="W9" s="6"/>
      <c r="X9" s="6"/>
      <c r="Y9" s="6"/>
      <c r="Z9" s="6"/>
    </row>
    <row r="10" spans="1:26" ht="45" customHeight="1" x14ac:dyDescent="0.25">
      <c r="A10" s="175" t="s">
        <v>35</v>
      </c>
      <c r="B10" s="176" t="s">
        <v>36</v>
      </c>
      <c r="C10" s="33" t="s">
        <v>37</v>
      </c>
      <c r="D10" s="34" t="s">
        <v>38</v>
      </c>
      <c r="E10" s="35"/>
      <c r="F10" s="168" t="s">
        <v>5</v>
      </c>
      <c r="G10" s="171" t="s">
        <v>39</v>
      </c>
      <c r="H10" s="161"/>
      <c r="I10" s="160" t="s">
        <v>40</v>
      </c>
      <c r="J10" s="161"/>
      <c r="K10" s="6"/>
      <c r="L10" s="6"/>
      <c r="M10" s="6"/>
      <c r="N10" s="6"/>
      <c r="O10" s="6"/>
      <c r="P10" s="6"/>
      <c r="Q10" s="6"/>
      <c r="R10" s="6"/>
      <c r="S10" s="6"/>
      <c r="T10" s="6"/>
      <c r="U10" s="6"/>
      <c r="V10" s="6"/>
      <c r="W10" s="6"/>
      <c r="X10" s="6"/>
      <c r="Y10" s="6"/>
      <c r="Z10" s="6"/>
    </row>
    <row r="11" spans="1:26" ht="45" customHeight="1" x14ac:dyDescent="0.25">
      <c r="A11" s="144"/>
      <c r="B11" s="144"/>
      <c r="C11" s="36" t="s">
        <v>41</v>
      </c>
      <c r="D11" s="37" t="s">
        <v>42</v>
      </c>
      <c r="E11" s="38"/>
      <c r="F11" s="144"/>
      <c r="G11" s="162"/>
      <c r="H11" s="163"/>
      <c r="I11" s="162"/>
      <c r="J11" s="163"/>
      <c r="K11" s="6"/>
      <c r="L11" s="6"/>
      <c r="M11" s="6"/>
      <c r="N11" s="6"/>
      <c r="O11" s="6"/>
      <c r="P11" s="6"/>
      <c r="Q11" s="6"/>
      <c r="R11" s="6"/>
      <c r="S11" s="6"/>
      <c r="T11" s="6"/>
      <c r="U11" s="6"/>
      <c r="V11" s="6"/>
      <c r="W11" s="6"/>
      <c r="X11" s="6"/>
      <c r="Y11" s="6"/>
      <c r="Z11" s="6"/>
    </row>
    <row r="12" spans="1:26" ht="45" customHeight="1" x14ac:dyDescent="0.25">
      <c r="A12" s="181" t="s">
        <v>43</v>
      </c>
      <c r="B12" s="182" t="s">
        <v>44</v>
      </c>
      <c r="C12" s="39" t="s">
        <v>45</v>
      </c>
      <c r="D12" s="40" t="s">
        <v>46</v>
      </c>
      <c r="E12" s="41" t="s">
        <v>47</v>
      </c>
      <c r="F12" s="168" t="s">
        <v>5</v>
      </c>
      <c r="G12" s="183" t="s">
        <v>48</v>
      </c>
      <c r="H12" s="161"/>
      <c r="I12" s="160" t="s">
        <v>49</v>
      </c>
      <c r="J12" s="161"/>
      <c r="K12" s="6"/>
      <c r="L12" s="6"/>
      <c r="M12" s="6"/>
      <c r="N12" s="6"/>
      <c r="O12" s="6"/>
      <c r="P12" s="6"/>
      <c r="Q12" s="6"/>
      <c r="R12" s="6"/>
      <c r="S12" s="6"/>
      <c r="T12" s="6"/>
      <c r="U12" s="6"/>
      <c r="V12" s="6"/>
      <c r="W12" s="6"/>
      <c r="X12" s="6"/>
      <c r="Y12" s="6"/>
      <c r="Z12" s="6"/>
    </row>
    <row r="13" spans="1:26" ht="45" customHeight="1" x14ac:dyDescent="0.25">
      <c r="A13" s="144"/>
      <c r="B13" s="144"/>
      <c r="C13" s="42" t="s">
        <v>50</v>
      </c>
      <c r="D13" s="43" t="s">
        <v>51</v>
      </c>
      <c r="E13" s="44" t="s">
        <v>52</v>
      </c>
      <c r="F13" s="144"/>
      <c r="G13" s="162"/>
      <c r="H13" s="163"/>
      <c r="I13" s="162"/>
      <c r="J13" s="163"/>
      <c r="K13" s="6"/>
      <c r="L13" s="6"/>
      <c r="M13" s="6"/>
      <c r="N13" s="6"/>
      <c r="O13" s="6"/>
      <c r="P13" s="6"/>
      <c r="Q13" s="6"/>
      <c r="R13" s="6"/>
      <c r="S13" s="6"/>
      <c r="T13" s="6"/>
      <c r="U13" s="6"/>
      <c r="V13" s="6"/>
      <c r="W13" s="6"/>
      <c r="X13" s="6"/>
      <c r="Y13" s="6"/>
      <c r="Z13" s="6"/>
    </row>
    <row r="14" spans="1:26" ht="45" customHeight="1" x14ac:dyDescent="0.25">
      <c r="A14" s="177" t="s">
        <v>53</v>
      </c>
      <c r="B14" s="180" t="s">
        <v>54</v>
      </c>
      <c r="C14" s="45" t="s">
        <v>55</v>
      </c>
      <c r="D14" s="46" t="s">
        <v>56</v>
      </c>
      <c r="E14" s="47" t="s">
        <v>57</v>
      </c>
      <c r="F14" s="168" t="s">
        <v>5</v>
      </c>
      <c r="G14" s="154" t="s">
        <v>58</v>
      </c>
      <c r="H14" s="155"/>
      <c r="I14" s="160" t="s">
        <v>59</v>
      </c>
      <c r="J14" s="161"/>
      <c r="K14" s="6"/>
      <c r="L14" s="6"/>
      <c r="M14" s="6"/>
      <c r="N14" s="6"/>
      <c r="O14" s="6"/>
      <c r="P14" s="6"/>
      <c r="Q14" s="6"/>
      <c r="R14" s="6"/>
      <c r="S14" s="6"/>
      <c r="T14" s="6"/>
      <c r="U14" s="6"/>
      <c r="V14" s="6"/>
      <c r="W14" s="6"/>
      <c r="X14" s="6"/>
      <c r="Y14" s="6"/>
      <c r="Z14" s="6"/>
    </row>
    <row r="15" spans="1:26" ht="45" customHeight="1" x14ac:dyDescent="0.25">
      <c r="A15" s="143"/>
      <c r="B15" s="143"/>
      <c r="C15" s="48" t="s">
        <v>60</v>
      </c>
      <c r="D15" s="49" t="s">
        <v>61</v>
      </c>
      <c r="E15" s="50"/>
      <c r="F15" s="143"/>
      <c r="G15" s="156"/>
      <c r="H15" s="157"/>
      <c r="I15" s="162"/>
      <c r="J15" s="163"/>
      <c r="K15" s="6"/>
      <c r="L15" s="6"/>
      <c r="M15" s="6"/>
      <c r="N15" s="6"/>
      <c r="O15" s="6"/>
      <c r="P15" s="6"/>
      <c r="Q15" s="6"/>
      <c r="R15" s="6"/>
      <c r="S15" s="6"/>
      <c r="T15" s="6"/>
      <c r="U15" s="6"/>
      <c r="V15" s="6"/>
      <c r="W15" s="6"/>
      <c r="X15" s="6"/>
      <c r="Y15" s="6"/>
      <c r="Z15" s="6"/>
    </row>
    <row r="16" spans="1:26" ht="45" customHeight="1" x14ac:dyDescent="0.25">
      <c r="A16" s="143"/>
      <c r="B16" s="143"/>
      <c r="C16" s="51" t="s">
        <v>62</v>
      </c>
      <c r="D16" s="52" t="s">
        <v>63</v>
      </c>
      <c r="E16" s="53"/>
      <c r="F16" s="143"/>
      <c r="G16" s="156"/>
      <c r="H16" s="157"/>
      <c r="I16" s="162"/>
      <c r="J16" s="163"/>
      <c r="K16" s="6"/>
      <c r="L16" s="6"/>
      <c r="M16" s="6"/>
      <c r="N16" s="6"/>
      <c r="O16" s="6"/>
      <c r="P16" s="6"/>
      <c r="Q16" s="6"/>
      <c r="R16" s="6"/>
      <c r="S16" s="6"/>
      <c r="T16" s="6"/>
      <c r="U16" s="6"/>
      <c r="V16" s="6"/>
      <c r="W16" s="6"/>
      <c r="X16" s="6"/>
      <c r="Y16" s="6"/>
      <c r="Z16" s="6"/>
    </row>
    <row r="17" spans="1:26" ht="45" customHeight="1" x14ac:dyDescent="0.25">
      <c r="A17" s="144"/>
      <c r="B17" s="144"/>
      <c r="C17" s="54" t="s">
        <v>64</v>
      </c>
      <c r="D17" s="55" t="s">
        <v>65</v>
      </c>
      <c r="E17" s="56" t="s">
        <v>66</v>
      </c>
      <c r="F17" s="144"/>
      <c r="G17" s="158"/>
      <c r="H17" s="159"/>
      <c r="I17" s="162"/>
      <c r="J17" s="163"/>
      <c r="K17" s="6"/>
      <c r="L17" s="6"/>
      <c r="M17" s="6"/>
      <c r="N17" s="6"/>
      <c r="O17" s="6"/>
      <c r="P17" s="6"/>
      <c r="Q17" s="6"/>
      <c r="R17" s="6"/>
      <c r="S17" s="6"/>
      <c r="T17" s="6"/>
      <c r="U17" s="6"/>
      <c r="V17" s="6"/>
      <c r="W17" s="6"/>
      <c r="X17" s="6"/>
      <c r="Y17" s="6"/>
      <c r="Z17" s="6"/>
    </row>
    <row r="18" spans="1:26" ht="45" customHeight="1" x14ac:dyDescent="0.25">
      <c r="A18" s="178" t="s">
        <v>67</v>
      </c>
      <c r="B18" s="179" t="s">
        <v>68</v>
      </c>
      <c r="C18" s="57" t="s">
        <v>69</v>
      </c>
      <c r="D18" s="58" t="s">
        <v>70</v>
      </c>
      <c r="E18" s="59"/>
      <c r="F18" s="168" t="s">
        <v>5</v>
      </c>
      <c r="G18" s="60"/>
      <c r="H18" s="60"/>
      <c r="I18" s="6"/>
      <c r="J18" s="6"/>
      <c r="K18" s="6"/>
      <c r="L18" s="6"/>
      <c r="M18" s="6"/>
      <c r="N18" s="6"/>
      <c r="O18" s="6"/>
      <c r="P18" s="6"/>
      <c r="Q18" s="6"/>
      <c r="R18" s="6"/>
      <c r="S18" s="6"/>
      <c r="T18" s="6"/>
      <c r="U18" s="6"/>
      <c r="V18" s="6"/>
      <c r="W18" s="6"/>
      <c r="X18" s="6"/>
      <c r="Y18" s="6"/>
      <c r="Z18" s="6"/>
    </row>
    <row r="19" spans="1:26" ht="45" customHeight="1" x14ac:dyDescent="0.25">
      <c r="A19" s="144"/>
      <c r="B19" s="144"/>
      <c r="C19" s="61" t="s">
        <v>71</v>
      </c>
      <c r="D19" s="62" t="s">
        <v>72</v>
      </c>
      <c r="E19" s="63"/>
      <c r="F19" s="144"/>
      <c r="G19" s="60"/>
      <c r="H19" s="60"/>
      <c r="I19" s="6"/>
      <c r="J19" s="6"/>
      <c r="K19" s="6"/>
      <c r="L19" s="6"/>
      <c r="M19" s="6"/>
      <c r="N19" s="6"/>
      <c r="O19" s="6"/>
      <c r="P19" s="6"/>
      <c r="Q19" s="6"/>
      <c r="R19" s="6"/>
      <c r="S19" s="6"/>
      <c r="T19" s="6"/>
      <c r="U19" s="6"/>
      <c r="V19" s="6"/>
      <c r="W19" s="6"/>
      <c r="X19" s="6"/>
      <c r="Y19" s="6"/>
      <c r="Z19" s="6"/>
    </row>
    <row r="20" spans="1:26" ht="21" x14ac:dyDescent="0.25">
      <c r="A20" s="64"/>
      <c r="B20" s="6"/>
      <c r="C20" s="6"/>
      <c r="D20" s="65"/>
      <c r="E20" s="6"/>
      <c r="F20" s="6"/>
      <c r="G20" s="6"/>
      <c r="H20" s="6"/>
      <c r="I20" s="6"/>
      <c r="J20" s="6"/>
      <c r="K20" s="6"/>
      <c r="L20" s="6"/>
      <c r="M20" s="6"/>
      <c r="N20" s="6"/>
      <c r="O20" s="6"/>
      <c r="P20" s="6"/>
      <c r="Q20" s="6"/>
      <c r="R20" s="6"/>
      <c r="S20" s="6"/>
      <c r="T20" s="6"/>
      <c r="U20" s="6"/>
      <c r="V20" s="6"/>
      <c r="W20" s="6"/>
      <c r="X20" s="6"/>
      <c r="Y20" s="6"/>
      <c r="Z20" s="6"/>
    </row>
    <row r="21" spans="1:26" ht="15.75" customHeight="1" x14ac:dyDescent="0.25">
      <c r="A21" s="64"/>
      <c r="B21" s="6"/>
      <c r="C21" s="6"/>
      <c r="D21" s="65"/>
      <c r="E21" s="6"/>
      <c r="F21" s="6"/>
      <c r="G21" s="6"/>
      <c r="H21" s="6"/>
      <c r="I21" s="6"/>
      <c r="J21" s="6"/>
      <c r="K21" s="6"/>
      <c r="L21" s="6"/>
      <c r="M21" s="6"/>
      <c r="N21" s="6"/>
      <c r="O21" s="6"/>
      <c r="P21" s="6"/>
      <c r="Q21" s="6"/>
      <c r="R21" s="6"/>
      <c r="S21" s="6"/>
      <c r="T21" s="6"/>
      <c r="U21" s="6"/>
      <c r="V21" s="6"/>
      <c r="W21" s="6"/>
      <c r="X21" s="6"/>
      <c r="Y21" s="6"/>
      <c r="Z21" s="6"/>
    </row>
    <row r="22" spans="1:26" ht="15.75" customHeight="1" x14ac:dyDescent="0.25">
      <c r="A22" s="64"/>
      <c r="B22" s="6"/>
      <c r="C22" s="6"/>
      <c r="D22" s="65"/>
      <c r="E22" s="6"/>
      <c r="F22" s="6"/>
      <c r="G22" s="6"/>
      <c r="H22" s="6"/>
      <c r="I22" s="6"/>
      <c r="J22" s="6"/>
      <c r="K22" s="6"/>
      <c r="L22" s="6"/>
      <c r="M22" s="6"/>
      <c r="N22" s="6"/>
      <c r="O22" s="6"/>
      <c r="P22" s="6"/>
      <c r="Q22" s="6"/>
      <c r="R22" s="6"/>
      <c r="S22" s="6"/>
      <c r="T22" s="6"/>
      <c r="U22" s="6"/>
      <c r="V22" s="6"/>
      <c r="W22" s="6"/>
      <c r="X22" s="6"/>
      <c r="Y22" s="6"/>
      <c r="Z22" s="6"/>
    </row>
    <row r="23" spans="1:26" ht="15.75" customHeight="1" x14ac:dyDescent="0.25">
      <c r="A23" s="64"/>
      <c r="B23" s="6"/>
      <c r="C23" s="6"/>
      <c r="D23" s="65"/>
      <c r="E23" s="6"/>
      <c r="F23" s="6"/>
      <c r="G23" s="6"/>
      <c r="H23" s="6"/>
      <c r="I23" s="6"/>
      <c r="J23" s="6"/>
      <c r="K23" s="6"/>
      <c r="L23" s="6"/>
      <c r="M23" s="6"/>
      <c r="N23" s="6"/>
      <c r="O23" s="6"/>
      <c r="P23" s="6"/>
      <c r="Q23" s="6"/>
      <c r="R23" s="6"/>
      <c r="S23" s="6"/>
      <c r="T23" s="6"/>
      <c r="U23" s="6"/>
      <c r="V23" s="6"/>
      <c r="W23" s="6"/>
      <c r="X23" s="6"/>
      <c r="Y23" s="6"/>
      <c r="Z23" s="6"/>
    </row>
    <row r="24" spans="1:26" ht="15.75" customHeight="1" x14ac:dyDescent="0.25">
      <c r="A24" s="64"/>
      <c r="B24" s="6"/>
      <c r="C24" s="6"/>
      <c r="D24" s="65"/>
      <c r="E24" s="6"/>
      <c r="F24" s="6"/>
      <c r="G24" s="6"/>
      <c r="H24" s="6"/>
      <c r="I24" s="6"/>
      <c r="J24" s="6"/>
      <c r="K24" s="6"/>
      <c r="L24" s="6"/>
      <c r="M24" s="6"/>
      <c r="N24" s="6"/>
      <c r="O24" s="6"/>
      <c r="P24" s="6"/>
      <c r="Q24" s="6"/>
      <c r="R24" s="6"/>
      <c r="S24" s="6"/>
      <c r="T24" s="6"/>
      <c r="U24" s="6"/>
      <c r="V24" s="6"/>
      <c r="W24" s="6"/>
      <c r="X24" s="6"/>
      <c r="Y24" s="6"/>
      <c r="Z24" s="6"/>
    </row>
    <row r="25" spans="1:26" ht="15.75" customHeight="1" x14ac:dyDescent="0.25">
      <c r="A25" s="64"/>
      <c r="B25" s="6"/>
      <c r="C25" s="6"/>
      <c r="D25" s="65"/>
      <c r="E25" s="6"/>
      <c r="F25" s="6"/>
      <c r="G25" s="6"/>
      <c r="H25" s="6"/>
      <c r="I25" s="6"/>
      <c r="J25" s="6"/>
      <c r="K25" s="6"/>
      <c r="L25" s="6"/>
      <c r="M25" s="6"/>
      <c r="N25" s="6"/>
      <c r="O25" s="6"/>
      <c r="P25" s="6"/>
      <c r="Q25" s="6"/>
      <c r="R25" s="6"/>
      <c r="S25" s="6"/>
      <c r="T25" s="6"/>
      <c r="U25" s="6"/>
      <c r="V25" s="6"/>
      <c r="W25" s="6"/>
      <c r="X25" s="6"/>
      <c r="Y25" s="6"/>
      <c r="Z25" s="6"/>
    </row>
    <row r="26" spans="1:26" ht="15.75" customHeight="1" x14ac:dyDescent="0.25">
      <c r="A26" s="64"/>
      <c r="B26" s="6"/>
      <c r="C26" s="6"/>
      <c r="D26" s="65"/>
      <c r="E26" s="6"/>
      <c r="F26" s="6"/>
      <c r="G26" s="6"/>
      <c r="H26" s="6"/>
      <c r="I26" s="6"/>
      <c r="J26" s="6"/>
      <c r="K26" s="6"/>
      <c r="L26" s="6"/>
      <c r="M26" s="6"/>
      <c r="N26" s="6"/>
      <c r="O26" s="6"/>
      <c r="P26" s="6"/>
      <c r="Q26" s="6"/>
      <c r="R26" s="6"/>
      <c r="S26" s="6"/>
      <c r="T26" s="6"/>
      <c r="U26" s="6"/>
      <c r="V26" s="6"/>
      <c r="W26" s="6"/>
      <c r="X26" s="6"/>
      <c r="Y26" s="6"/>
      <c r="Z26" s="6"/>
    </row>
    <row r="27" spans="1:26" ht="15.75" customHeight="1" x14ac:dyDescent="0.25">
      <c r="A27" s="64"/>
      <c r="B27" s="6"/>
      <c r="C27" s="6"/>
      <c r="D27" s="65"/>
      <c r="E27" s="6"/>
      <c r="F27" s="6"/>
      <c r="G27" s="6"/>
      <c r="H27" s="6"/>
      <c r="I27" s="6"/>
      <c r="J27" s="6"/>
      <c r="K27" s="6"/>
      <c r="L27" s="6"/>
      <c r="M27" s="6"/>
      <c r="N27" s="6"/>
      <c r="O27" s="6"/>
      <c r="P27" s="6"/>
      <c r="Q27" s="6"/>
      <c r="R27" s="6"/>
      <c r="S27" s="6"/>
      <c r="T27" s="6"/>
      <c r="U27" s="6"/>
      <c r="V27" s="6"/>
      <c r="W27" s="6"/>
      <c r="X27" s="6"/>
      <c r="Y27" s="6"/>
      <c r="Z27" s="6"/>
    </row>
    <row r="28" spans="1:26" ht="15.75" customHeight="1" x14ac:dyDescent="0.25">
      <c r="A28" s="64"/>
      <c r="B28" s="6"/>
      <c r="C28" s="6"/>
      <c r="D28" s="65"/>
      <c r="E28" s="6"/>
      <c r="F28" s="6"/>
      <c r="G28" s="6"/>
      <c r="H28" s="6"/>
      <c r="I28" s="6"/>
      <c r="J28" s="6"/>
      <c r="K28" s="6"/>
      <c r="L28" s="6"/>
      <c r="M28" s="6"/>
      <c r="N28" s="6"/>
      <c r="O28" s="6"/>
      <c r="P28" s="6"/>
      <c r="Q28" s="6"/>
      <c r="R28" s="6"/>
      <c r="S28" s="6"/>
      <c r="T28" s="6"/>
      <c r="U28" s="6"/>
      <c r="V28" s="6"/>
      <c r="W28" s="6"/>
      <c r="X28" s="6"/>
      <c r="Y28" s="6"/>
      <c r="Z28" s="6"/>
    </row>
    <row r="29" spans="1:26" ht="15.75" customHeight="1" x14ac:dyDescent="0.25">
      <c r="A29" s="64"/>
      <c r="B29" s="6"/>
      <c r="C29" s="6"/>
      <c r="D29" s="65"/>
      <c r="E29" s="6"/>
      <c r="F29" s="6"/>
      <c r="G29" s="6"/>
      <c r="H29" s="6"/>
      <c r="I29" s="6"/>
      <c r="J29" s="6"/>
      <c r="K29" s="6"/>
      <c r="L29" s="6"/>
      <c r="M29" s="6"/>
      <c r="N29" s="6"/>
      <c r="O29" s="6"/>
      <c r="P29" s="6"/>
      <c r="Q29" s="6"/>
      <c r="R29" s="6"/>
      <c r="S29" s="6"/>
      <c r="T29" s="6"/>
      <c r="U29" s="6"/>
      <c r="V29" s="6"/>
      <c r="W29" s="6"/>
      <c r="X29" s="6"/>
      <c r="Y29" s="6"/>
      <c r="Z29" s="6"/>
    </row>
    <row r="30" spans="1:26" ht="15.75" customHeight="1" x14ac:dyDescent="0.25">
      <c r="A30" s="64"/>
      <c r="B30" s="6"/>
      <c r="C30" s="6"/>
      <c r="D30" s="65"/>
      <c r="E30" s="6"/>
      <c r="F30" s="6"/>
      <c r="G30" s="6"/>
      <c r="H30" s="6"/>
      <c r="I30" s="6"/>
      <c r="J30" s="6"/>
      <c r="K30" s="6"/>
      <c r="L30" s="6"/>
      <c r="M30" s="6"/>
      <c r="N30" s="6"/>
      <c r="O30" s="6"/>
      <c r="P30" s="6"/>
      <c r="Q30" s="6"/>
      <c r="R30" s="6"/>
      <c r="S30" s="6"/>
      <c r="T30" s="6"/>
      <c r="U30" s="6"/>
      <c r="V30" s="6"/>
      <c r="W30" s="6"/>
      <c r="X30" s="6"/>
      <c r="Y30" s="6"/>
      <c r="Z30" s="6"/>
    </row>
    <row r="31" spans="1:26" ht="15.75" customHeight="1" x14ac:dyDescent="0.25">
      <c r="A31" s="64"/>
      <c r="B31" s="6"/>
      <c r="C31" s="6"/>
      <c r="D31" s="65"/>
      <c r="E31" s="6"/>
      <c r="F31" s="6"/>
      <c r="G31" s="6"/>
      <c r="H31" s="6"/>
      <c r="I31" s="6"/>
      <c r="J31" s="6"/>
      <c r="K31" s="6"/>
      <c r="L31" s="6"/>
      <c r="M31" s="6"/>
      <c r="N31" s="6"/>
      <c r="O31" s="6"/>
      <c r="P31" s="6"/>
      <c r="Q31" s="6"/>
      <c r="R31" s="6"/>
      <c r="S31" s="6"/>
      <c r="T31" s="6"/>
      <c r="U31" s="6"/>
      <c r="V31" s="6"/>
      <c r="W31" s="6"/>
      <c r="X31" s="6"/>
      <c r="Y31" s="6"/>
      <c r="Z31" s="6"/>
    </row>
    <row r="32" spans="1:26" ht="15.75" customHeight="1" x14ac:dyDescent="0.25">
      <c r="A32" s="64"/>
      <c r="B32" s="6"/>
      <c r="C32" s="6"/>
      <c r="D32" s="65"/>
      <c r="E32" s="6"/>
      <c r="F32" s="6"/>
      <c r="G32" s="6"/>
      <c r="H32" s="6"/>
      <c r="I32" s="6"/>
      <c r="J32" s="6"/>
      <c r="K32" s="6"/>
      <c r="L32" s="6"/>
      <c r="M32" s="6"/>
      <c r="N32" s="6"/>
      <c r="O32" s="6"/>
      <c r="P32" s="6"/>
      <c r="Q32" s="6"/>
      <c r="R32" s="6"/>
      <c r="S32" s="6"/>
      <c r="T32" s="6"/>
      <c r="U32" s="6"/>
      <c r="V32" s="6"/>
      <c r="W32" s="6"/>
      <c r="X32" s="6"/>
      <c r="Y32" s="6"/>
      <c r="Z32" s="6"/>
    </row>
    <row r="33" spans="1:26" ht="15.75" customHeight="1" x14ac:dyDescent="0.25">
      <c r="A33" s="64"/>
      <c r="B33" s="6"/>
      <c r="C33" s="6"/>
      <c r="D33" s="65"/>
      <c r="E33" s="6"/>
      <c r="F33" s="6"/>
      <c r="G33" s="6"/>
      <c r="H33" s="6"/>
      <c r="I33" s="6"/>
      <c r="J33" s="6"/>
      <c r="K33" s="6"/>
      <c r="L33" s="6"/>
      <c r="M33" s="6"/>
      <c r="N33" s="6"/>
      <c r="O33" s="6"/>
      <c r="P33" s="6"/>
      <c r="Q33" s="6"/>
      <c r="R33" s="6"/>
      <c r="S33" s="6"/>
      <c r="T33" s="6"/>
      <c r="U33" s="6"/>
      <c r="V33" s="6"/>
      <c r="W33" s="6"/>
      <c r="X33" s="6"/>
      <c r="Y33" s="6"/>
      <c r="Z33" s="6"/>
    </row>
    <row r="34" spans="1:26" ht="15.75" customHeight="1" x14ac:dyDescent="0.25">
      <c r="A34" s="64"/>
      <c r="B34" s="6"/>
      <c r="C34" s="6"/>
      <c r="D34" s="65"/>
      <c r="E34" s="6"/>
      <c r="F34" s="6"/>
      <c r="G34" s="6"/>
      <c r="H34" s="6"/>
      <c r="I34" s="6"/>
      <c r="J34" s="6"/>
      <c r="K34" s="6"/>
      <c r="L34" s="6"/>
      <c r="M34" s="6"/>
      <c r="N34" s="6"/>
      <c r="O34" s="6"/>
      <c r="P34" s="6"/>
      <c r="Q34" s="6"/>
      <c r="R34" s="6"/>
      <c r="S34" s="6"/>
      <c r="T34" s="6"/>
      <c r="U34" s="6"/>
      <c r="V34" s="6"/>
      <c r="W34" s="6"/>
      <c r="X34" s="6"/>
      <c r="Y34" s="6"/>
      <c r="Z34" s="6"/>
    </row>
    <row r="35" spans="1:26" ht="15.75" customHeight="1" x14ac:dyDescent="0.25">
      <c r="A35" s="64"/>
      <c r="B35" s="6"/>
      <c r="C35" s="6"/>
      <c r="D35" s="65"/>
      <c r="E35" s="6"/>
      <c r="F35" s="6"/>
      <c r="G35" s="6"/>
      <c r="H35" s="6"/>
      <c r="I35" s="6"/>
      <c r="J35" s="6"/>
      <c r="K35" s="6"/>
      <c r="L35" s="6"/>
      <c r="M35" s="6"/>
      <c r="N35" s="6"/>
      <c r="O35" s="6"/>
      <c r="P35" s="6"/>
      <c r="Q35" s="6"/>
      <c r="R35" s="6"/>
      <c r="S35" s="6"/>
      <c r="T35" s="6"/>
      <c r="U35" s="6"/>
      <c r="V35" s="6"/>
      <c r="W35" s="6"/>
      <c r="X35" s="6"/>
      <c r="Y35" s="6"/>
      <c r="Z35" s="6"/>
    </row>
    <row r="36" spans="1:26" ht="15.75" customHeight="1" x14ac:dyDescent="0.25">
      <c r="A36" s="64"/>
      <c r="B36" s="6"/>
      <c r="C36" s="6"/>
      <c r="D36" s="65"/>
      <c r="E36" s="6"/>
      <c r="F36" s="6"/>
      <c r="G36" s="6"/>
      <c r="H36" s="6"/>
      <c r="I36" s="6"/>
      <c r="J36" s="6"/>
      <c r="K36" s="6"/>
      <c r="L36" s="6"/>
      <c r="M36" s="6"/>
      <c r="N36" s="6"/>
      <c r="O36" s="6"/>
      <c r="P36" s="6"/>
      <c r="Q36" s="6"/>
      <c r="R36" s="6"/>
      <c r="S36" s="6"/>
      <c r="T36" s="6"/>
      <c r="U36" s="6"/>
      <c r="V36" s="6"/>
      <c r="W36" s="6"/>
      <c r="X36" s="6"/>
      <c r="Y36" s="6"/>
      <c r="Z36" s="6"/>
    </row>
    <row r="37" spans="1:26" ht="15.75" customHeight="1" x14ac:dyDescent="0.25">
      <c r="A37" s="64"/>
      <c r="B37" s="6"/>
      <c r="C37" s="6"/>
      <c r="D37" s="65"/>
      <c r="E37" s="6"/>
      <c r="F37" s="6"/>
      <c r="G37" s="6"/>
      <c r="H37" s="6"/>
      <c r="I37" s="6"/>
      <c r="J37" s="6"/>
      <c r="K37" s="6"/>
      <c r="L37" s="6"/>
      <c r="M37" s="6"/>
      <c r="N37" s="6"/>
      <c r="O37" s="6"/>
      <c r="P37" s="6"/>
      <c r="Q37" s="6"/>
      <c r="R37" s="6"/>
      <c r="S37" s="6"/>
      <c r="T37" s="6"/>
      <c r="U37" s="6"/>
      <c r="V37" s="6"/>
      <c r="W37" s="6"/>
      <c r="X37" s="6"/>
      <c r="Y37" s="6"/>
      <c r="Z37" s="6"/>
    </row>
    <row r="38" spans="1:26" ht="15.75" customHeight="1" x14ac:dyDescent="0.25">
      <c r="A38" s="64"/>
      <c r="B38" s="6"/>
      <c r="C38" s="6"/>
      <c r="D38" s="65"/>
      <c r="E38" s="6"/>
      <c r="F38" s="6"/>
      <c r="G38" s="6"/>
      <c r="H38" s="6"/>
      <c r="I38" s="6"/>
      <c r="J38" s="6"/>
      <c r="K38" s="6"/>
      <c r="L38" s="6"/>
      <c r="M38" s="6"/>
      <c r="N38" s="6"/>
      <c r="O38" s="6"/>
      <c r="P38" s="6"/>
      <c r="Q38" s="6"/>
      <c r="R38" s="6"/>
      <c r="S38" s="6"/>
      <c r="T38" s="6"/>
      <c r="U38" s="6"/>
      <c r="V38" s="6"/>
      <c r="W38" s="6"/>
      <c r="X38" s="6"/>
      <c r="Y38" s="6"/>
      <c r="Z38" s="6"/>
    </row>
    <row r="39" spans="1:26" ht="15.75" customHeight="1" x14ac:dyDescent="0.25">
      <c r="A39" s="64"/>
      <c r="B39" s="6"/>
      <c r="C39" s="6"/>
      <c r="D39" s="65"/>
      <c r="E39" s="6"/>
      <c r="F39" s="6"/>
      <c r="G39" s="6"/>
      <c r="H39" s="6"/>
      <c r="I39" s="6"/>
      <c r="J39" s="6"/>
      <c r="K39" s="6"/>
      <c r="L39" s="6"/>
      <c r="M39" s="6"/>
      <c r="N39" s="6"/>
      <c r="O39" s="6"/>
      <c r="P39" s="6"/>
      <c r="Q39" s="6"/>
      <c r="R39" s="6"/>
      <c r="S39" s="6"/>
      <c r="T39" s="6"/>
      <c r="U39" s="6"/>
      <c r="V39" s="6"/>
      <c r="W39" s="6"/>
      <c r="X39" s="6"/>
      <c r="Y39" s="6"/>
      <c r="Z39" s="6"/>
    </row>
    <row r="40" spans="1:26" ht="15.75" customHeight="1" x14ac:dyDescent="0.25">
      <c r="A40" s="64"/>
      <c r="B40" s="6"/>
      <c r="C40" s="6"/>
      <c r="D40" s="65"/>
      <c r="E40" s="6"/>
      <c r="F40" s="6"/>
      <c r="G40" s="6"/>
      <c r="H40" s="6"/>
      <c r="I40" s="6"/>
      <c r="J40" s="6"/>
      <c r="K40" s="6"/>
      <c r="L40" s="6"/>
      <c r="M40" s="6"/>
      <c r="N40" s="6"/>
      <c r="O40" s="6"/>
      <c r="P40" s="6"/>
      <c r="Q40" s="6"/>
      <c r="R40" s="6"/>
      <c r="S40" s="6"/>
      <c r="T40" s="6"/>
      <c r="U40" s="6"/>
      <c r="V40" s="6"/>
      <c r="W40" s="6"/>
      <c r="X40" s="6"/>
      <c r="Y40" s="6"/>
      <c r="Z40" s="6"/>
    </row>
    <row r="41" spans="1:26" ht="15.75" customHeight="1" x14ac:dyDescent="0.25">
      <c r="A41" s="64"/>
      <c r="B41" s="6"/>
      <c r="C41" s="6"/>
      <c r="D41" s="65"/>
      <c r="E41" s="6"/>
      <c r="F41" s="6"/>
      <c r="G41" s="6"/>
      <c r="H41" s="6"/>
      <c r="I41" s="6"/>
      <c r="J41" s="6"/>
      <c r="K41" s="6"/>
      <c r="L41" s="6"/>
      <c r="M41" s="6"/>
      <c r="N41" s="6"/>
      <c r="O41" s="6"/>
      <c r="P41" s="6"/>
      <c r="Q41" s="6"/>
      <c r="R41" s="6"/>
      <c r="S41" s="6"/>
      <c r="T41" s="6"/>
      <c r="U41" s="6"/>
      <c r="V41" s="6"/>
      <c r="W41" s="6"/>
      <c r="X41" s="6"/>
      <c r="Y41" s="6"/>
      <c r="Z41" s="6"/>
    </row>
    <row r="42" spans="1:26" ht="15.75" customHeight="1" x14ac:dyDescent="0.25">
      <c r="A42" s="64"/>
      <c r="B42" s="6"/>
      <c r="C42" s="6"/>
      <c r="D42" s="65"/>
      <c r="E42" s="6"/>
      <c r="F42" s="6"/>
      <c r="G42" s="6"/>
      <c r="H42" s="6"/>
      <c r="I42" s="6"/>
      <c r="J42" s="6"/>
      <c r="K42" s="6"/>
      <c r="L42" s="6"/>
      <c r="M42" s="6"/>
      <c r="N42" s="6"/>
      <c r="O42" s="6"/>
      <c r="P42" s="6"/>
      <c r="Q42" s="6"/>
      <c r="R42" s="6"/>
      <c r="S42" s="6"/>
      <c r="T42" s="6"/>
      <c r="U42" s="6"/>
      <c r="V42" s="6"/>
      <c r="W42" s="6"/>
      <c r="X42" s="6"/>
      <c r="Y42" s="6"/>
      <c r="Z42" s="6"/>
    </row>
    <row r="43" spans="1:26" ht="15.75" customHeight="1" x14ac:dyDescent="0.25">
      <c r="A43" s="64"/>
      <c r="B43" s="6"/>
      <c r="C43" s="6"/>
      <c r="D43" s="65"/>
      <c r="E43" s="6"/>
      <c r="F43" s="6"/>
      <c r="G43" s="6"/>
      <c r="H43" s="6"/>
      <c r="I43" s="6"/>
      <c r="J43" s="6"/>
      <c r="K43" s="6"/>
      <c r="L43" s="6"/>
      <c r="M43" s="6"/>
      <c r="N43" s="6"/>
      <c r="O43" s="6"/>
      <c r="P43" s="6"/>
      <c r="Q43" s="6"/>
      <c r="R43" s="6"/>
      <c r="S43" s="6"/>
      <c r="T43" s="6"/>
      <c r="U43" s="6"/>
      <c r="V43" s="6"/>
      <c r="W43" s="6"/>
      <c r="X43" s="6"/>
      <c r="Y43" s="6"/>
      <c r="Z43" s="6"/>
    </row>
    <row r="44" spans="1:26" ht="15.75" customHeight="1" x14ac:dyDescent="0.25">
      <c r="A44" s="64"/>
      <c r="B44" s="6"/>
      <c r="C44" s="6"/>
      <c r="D44" s="65"/>
      <c r="E44" s="6"/>
      <c r="F44" s="6"/>
      <c r="G44" s="6"/>
      <c r="H44" s="6"/>
      <c r="I44" s="6"/>
      <c r="J44" s="6"/>
      <c r="K44" s="6"/>
      <c r="L44" s="6"/>
      <c r="M44" s="6"/>
      <c r="N44" s="6"/>
      <c r="O44" s="6"/>
      <c r="P44" s="6"/>
      <c r="Q44" s="6"/>
      <c r="R44" s="6"/>
      <c r="S44" s="6"/>
      <c r="T44" s="6"/>
      <c r="U44" s="6"/>
      <c r="V44" s="6"/>
      <c r="W44" s="6"/>
      <c r="X44" s="6"/>
      <c r="Y44" s="6"/>
      <c r="Z44" s="6"/>
    </row>
    <row r="45" spans="1:26" ht="15.75" customHeight="1" x14ac:dyDescent="0.25">
      <c r="A45" s="64"/>
      <c r="B45" s="6"/>
      <c r="C45" s="6"/>
      <c r="D45" s="65"/>
      <c r="E45" s="6"/>
      <c r="F45" s="6"/>
      <c r="G45" s="6"/>
      <c r="H45" s="6"/>
      <c r="I45" s="6"/>
      <c r="J45" s="6"/>
      <c r="K45" s="6"/>
      <c r="L45" s="6"/>
      <c r="M45" s="6"/>
      <c r="N45" s="6"/>
      <c r="O45" s="6"/>
      <c r="P45" s="6"/>
      <c r="Q45" s="6"/>
      <c r="R45" s="6"/>
      <c r="S45" s="6"/>
      <c r="T45" s="6"/>
      <c r="U45" s="6"/>
      <c r="V45" s="6"/>
      <c r="W45" s="6"/>
      <c r="X45" s="6"/>
      <c r="Y45" s="6"/>
      <c r="Z45" s="6"/>
    </row>
    <row r="46" spans="1:26" ht="15.75" customHeight="1" x14ac:dyDescent="0.25">
      <c r="A46" s="64"/>
      <c r="B46" s="6"/>
      <c r="C46" s="6"/>
      <c r="D46" s="65"/>
      <c r="E46" s="6"/>
      <c r="F46" s="6"/>
      <c r="G46" s="6"/>
      <c r="H46" s="6"/>
      <c r="I46" s="6"/>
      <c r="J46" s="6"/>
      <c r="K46" s="6"/>
      <c r="L46" s="6"/>
      <c r="M46" s="6"/>
      <c r="N46" s="6"/>
      <c r="O46" s="6"/>
      <c r="P46" s="6"/>
      <c r="Q46" s="6"/>
      <c r="R46" s="6"/>
      <c r="S46" s="6"/>
      <c r="T46" s="6"/>
      <c r="U46" s="6"/>
      <c r="V46" s="6"/>
      <c r="W46" s="6"/>
      <c r="X46" s="6"/>
      <c r="Y46" s="6"/>
      <c r="Z46" s="6"/>
    </row>
    <row r="47" spans="1:26" ht="15.75" customHeight="1" x14ac:dyDescent="0.25">
      <c r="A47" s="64"/>
      <c r="B47" s="6"/>
      <c r="C47" s="6"/>
      <c r="D47" s="65"/>
      <c r="E47" s="6"/>
      <c r="F47" s="6"/>
      <c r="G47" s="6"/>
      <c r="H47" s="6"/>
      <c r="I47" s="6"/>
      <c r="J47" s="6"/>
      <c r="K47" s="6"/>
      <c r="L47" s="6"/>
      <c r="M47" s="6"/>
      <c r="N47" s="6"/>
      <c r="O47" s="6"/>
      <c r="P47" s="6"/>
      <c r="Q47" s="6"/>
      <c r="R47" s="6"/>
      <c r="S47" s="6"/>
      <c r="T47" s="6"/>
      <c r="U47" s="6"/>
      <c r="V47" s="6"/>
      <c r="W47" s="6"/>
      <c r="X47" s="6"/>
      <c r="Y47" s="6"/>
      <c r="Z47" s="6"/>
    </row>
    <row r="48" spans="1:26" ht="15.75" customHeight="1" x14ac:dyDescent="0.25">
      <c r="A48" s="64"/>
      <c r="B48" s="6"/>
      <c r="C48" s="6"/>
      <c r="D48" s="65"/>
      <c r="E48" s="6"/>
      <c r="F48" s="6"/>
      <c r="G48" s="6"/>
      <c r="H48" s="6"/>
      <c r="I48" s="6"/>
      <c r="J48" s="6"/>
      <c r="K48" s="6"/>
      <c r="L48" s="6"/>
      <c r="M48" s="6"/>
      <c r="N48" s="6"/>
      <c r="O48" s="6"/>
      <c r="P48" s="6"/>
      <c r="Q48" s="6"/>
      <c r="R48" s="6"/>
      <c r="S48" s="6"/>
      <c r="T48" s="6"/>
      <c r="U48" s="6"/>
      <c r="V48" s="6"/>
      <c r="W48" s="6"/>
      <c r="X48" s="6"/>
      <c r="Y48" s="6"/>
      <c r="Z48" s="6"/>
    </row>
    <row r="49" spans="1:26" ht="15.75" customHeight="1" x14ac:dyDescent="0.25">
      <c r="A49" s="64"/>
      <c r="B49" s="6"/>
      <c r="C49" s="6"/>
      <c r="D49" s="65"/>
      <c r="E49" s="6"/>
      <c r="F49" s="6"/>
      <c r="G49" s="6"/>
      <c r="H49" s="6"/>
      <c r="I49" s="6"/>
      <c r="J49" s="6"/>
      <c r="K49" s="6"/>
      <c r="L49" s="6"/>
      <c r="M49" s="6"/>
      <c r="N49" s="6"/>
      <c r="O49" s="6"/>
      <c r="P49" s="6"/>
      <c r="Q49" s="6"/>
      <c r="R49" s="6"/>
      <c r="S49" s="6"/>
      <c r="T49" s="6"/>
      <c r="U49" s="6"/>
      <c r="V49" s="6"/>
      <c r="W49" s="6"/>
      <c r="X49" s="6"/>
      <c r="Y49" s="6"/>
      <c r="Z49" s="6"/>
    </row>
    <row r="50" spans="1:26" ht="15.75" customHeight="1" x14ac:dyDescent="0.25">
      <c r="A50" s="64"/>
      <c r="B50" s="6"/>
      <c r="C50" s="6"/>
      <c r="D50" s="65"/>
      <c r="E50" s="6"/>
      <c r="F50" s="6"/>
      <c r="G50" s="6"/>
      <c r="H50" s="6"/>
      <c r="I50" s="6"/>
      <c r="J50" s="6"/>
      <c r="K50" s="6"/>
      <c r="L50" s="6"/>
      <c r="M50" s="6"/>
      <c r="N50" s="6"/>
      <c r="O50" s="6"/>
      <c r="P50" s="6"/>
      <c r="Q50" s="6"/>
      <c r="R50" s="6"/>
      <c r="S50" s="6"/>
      <c r="T50" s="6"/>
      <c r="U50" s="6"/>
      <c r="V50" s="6"/>
      <c r="W50" s="6"/>
      <c r="X50" s="6"/>
      <c r="Y50" s="6"/>
      <c r="Z50" s="6"/>
    </row>
    <row r="51" spans="1:26" ht="15.75" customHeight="1" x14ac:dyDescent="0.25">
      <c r="A51" s="64"/>
      <c r="B51" s="6"/>
      <c r="C51" s="6"/>
      <c r="D51" s="65"/>
      <c r="E51" s="6"/>
      <c r="F51" s="6"/>
      <c r="G51" s="6"/>
      <c r="H51" s="6"/>
      <c r="I51" s="6"/>
      <c r="J51" s="6"/>
      <c r="K51" s="6"/>
      <c r="L51" s="6"/>
      <c r="M51" s="6"/>
      <c r="N51" s="6"/>
      <c r="O51" s="6"/>
      <c r="P51" s="6"/>
      <c r="Q51" s="6"/>
      <c r="R51" s="6"/>
      <c r="S51" s="6"/>
      <c r="T51" s="6"/>
      <c r="U51" s="6"/>
      <c r="V51" s="6"/>
      <c r="W51" s="6"/>
      <c r="X51" s="6"/>
      <c r="Y51" s="6"/>
      <c r="Z51" s="6"/>
    </row>
    <row r="52" spans="1:26" ht="15.75" customHeight="1" x14ac:dyDescent="0.25">
      <c r="A52" s="64"/>
      <c r="B52" s="6"/>
      <c r="C52" s="6"/>
      <c r="D52" s="65"/>
      <c r="E52" s="6"/>
      <c r="F52" s="6"/>
      <c r="G52" s="6"/>
      <c r="H52" s="6"/>
      <c r="I52" s="6"/>
      <c r="J52" s="6"/>
      <c r="K52" s="6"/>
      <c r="L52" s="6"/>
      <c r="M52" s="6"/>
      <c r="N52" s="6"/>
      <c r="O52" s="6"/>
      <c r="P52" s="6"/>
      <c r="Q52" s="6"/>
      <c r="R52" s="6"/>
      <c r="S52" s="6"/>
      <c r="T52" s="6"/>
      <c r="U52" s="6"/>
      <c r="V52" s="6"/>
      <c r="W52" s="6"/>
      <c r="X52" s="6"/>
      <c r="Y52" s="6"/>
      <c r="Z52" s="6"/>
    </row>
    <row r="53" spans="1:26" ht="15.75" customHeight="1" x14ac:dyDescent="0.25">
      <c r="A53" s="64"/>
      <c r="B53" s="6"/>
      <c r="C53" s="6"/>
      <c r="D53" s="65"/>
      <c r="E53" s="6"/>
      <c r="F53" s="6"/>
      <c r="G53" s="6"/>
      <c r="H53" s="6"/>
      <c r="I53" s="6"/>
      <c r="J53" s="6"/>
      <c r="K53" s="6"/>
      <c r="L53" s="6"/>
      <c r="M53" s="6"/>
      <c r="N53" s="6"/>
      <c r="O53" s="6"/>
      <c r="P53" s="6"/>
      <c r="Q53" s="6"/>
      <c r="R53" s="6"/>
      <c r="S53" s="6"/>
      <c r="T53" s="6"/>
      <c r="U53" s="6"/>
      <c r="V53" s="6"/>
      <c r="W53" s="6"/>
      <c r="X53" s="6"/>
      <c r="Y53" s="6"/>
      <c r="Z53" s="6"/>
    </row>
    <row r="54" spans="1:26" ht="15.75" customHeight="1" x14ac:dyDescent="0.25">
      <c r="A54" s="64"/>
      <c r="B54" s="6"/>
      <c r="C54" s="6"/>
      <c r="D54" s="65"/>
      <c r="E54" s="6"/>
      <c r="F54" s="6"/>
      <c r="G54" s="6"/>
      <c r="H54" s="6"/>
      <c r="I54" s="6"/>
      <c r="J54" s="6"/>
      <c r="K54" s="6"/>
      <c r="L54" s="6"/>
      <c r="M54" s="6"/>
      <c r="N54" s="6"/>
      <c r="O54" s="6"/>
      <c r="P54" s="6"/>
      <c r="Q54" s="6"/>
      <c r="R54" s="6"/>
      <c r="S54" s="6"/>
      <c r="T54" s="6"/>
      <c r="U54" s="6"/>
      <c r="V54" s="6"/>
      <c r="W54" s="6"/>
      <c r="X54" s="6"/>
      <c r="Y54" s="6"/>
      <c r="Z54" s="6"/>
    </row>
    <row r="55" spans="1:26" ht="15.75" customHeight="1" x14ac:dyDescent="0.25">
      <c r="A55" s="64"/>
      <c r="B55" s="6"/>
      <c r="C55" s="6"/>
      <c r="D55" s="65"/>
      <c r="E55" s="6"/>
      <c r="F55" s="6"/>
      <c r="G55" s="6"/>
      <c r="H55" s="6"/>
      <c r="I55" s="6"/>
      <c r="J55" s="6"/>
      <c r="K55" s="6"/>
      <c r="L55" s="6"/>
      <c r="M55" s="6"/>
      <c r="N55" s="6"/>
      <c r="O55" s="6"/>
      <c r="P55" s="6"/>
      <c r="Q55" s="6"/>
      <c r="R55" s="6"/>
      <c r="S55" s="6"/>
      <c r="T55" s="6"/>
      <c r="U55" s="6"/>
      <c r="V55" s="6"/>
      <c r="W55" s="6"/>
      <c r="X55" s="6"/>
      <c r="Y55" s="6"/>
      <c r="Z55" s="6"/>
    </row>
    <row r="56" spans="1:26" ht="15.75" customHeight="1" x14ac:dyDescent="0.25">
      <c r="A56" s="64"/>
      <c r="B56" s="6"/>
      <c r="C56" s="6"/>
      <c r="D56" s="65"/>
      <c r="E56" s="6"/>
      <c r="F56" s="6"/>
      <c r="G56" s="6"/>
      <c r="H56" s="6"/>
      <c r="I56" s="6"/>
      <c r="J56" s="6"/>
      <c r="K56" s="6"/>
      <c r="L56" s="6"/>
      <c r="M56" s="6"/>
      <c r="N56" s="6"/>
      <c r="O56" s="6"/>
      <c r="P56" s="6"/>
      <c r="Q56" s="6"/>
      <c r="R56" s="6"/>
      <c r="S56" s="6"/>
      <c r="T56" s="6"/>
      <c r="U56" s="6"/>
      <c r="V56" s="6"/>
      <c r="W56" s="6"/>
      <c r="X56" s="6"/>
      <c r="Y56" s="6"/>
      <c r="Z56" s="6"/>
    </row>
    <row r="57" spans="1:26" ht="15.75" customHeight="1" x14ac:dyDescent="0.25">
      <c r="A57" s="64"/>
      <c r="B57" s="6"/>
      <c r="C57" s="6"/>
      <c r="D57" s="65"/>
      <c r="E57" s="6"/>
      <c r="F57" s="6"/>
      <c r="G57" s="6"/>
      <c r="H57" s="6"/>
      <c r="I57" s="6"/>
      <c r="J57" s="6"/>
      <c r="K57" s="6"/>
      <c r="L57" s="6"/>
      <c r="M57" s="6"/>
      <c r="N57" s="6"/>
      <c r="O57" s="6"/>
      <c r="P57" s="6"/>
      <c r="Q57" s="6"/>
      <c r="R57" s="6"/>
      <c r="S57" s="6"/>
      <c r="T57" s="6"/>
      <c r="U57" s="6"/>
      <c r="V57" s="6"/>
      <c r="W57" s="6"/>
      <c r="X57" s="6"/>
      <c r="Y57" s="6"/>
      <c r="Z57" s="6"/>
    </row>
    <row r="58" spans="1:26" ht="15.75" customHeight="1" x14ac:dyDescent="0.25">
      <c r="A58" s="64"/>
      <c r="B58" s="6"/>
      <c r="C58" s="6"/>
      <c r="D58" s="65"/>
      <c r="E58" s="6"/>
      <c r="F58" s="6"/>
      <c r="G58" s="6"/>
      <c r="H58" s="6"/>
      <c r="I58" s="6"/>
      <c r="J58" s="6"/>
      <c r="K58" s="6"/>
      <c r="L58" s="6"/>
      <c r="M58" s="6"/>
      <c r="N58" s="6"/>
      <c r="O58" s="6"/>
      <c r="P58" s="6"/>
      <c r="Q58" s="6"/>
      <c r="R58" s="6"/>
      <c r="S58" s="6"/>
      <c r="T58" s="6"/>
      <c r="U58" s="6"/>
      <c r="V58" s="6"/>
      <c r="W58" s="6"/>
      <c r="X58" s="6"/>
      <c r="Y58" s="6"/>
      <c r="Z58" s="6"/>
    </row>
    <row r="59" spans="1:26" ht="15.75" customHeight="1" x14ac:dyDescent="0.25">
      <c r="A59" s="64"/>
      <c r="B59" s="6"/>
      <c r="C59" s="6"/>
      <c r="D59" s="65"/>
      <c r="E59" s="6"/>
      <c r="F59" s="6"/>
      <c r="G59" s="6"/>
      <c r="H59" s="6"/>
      <c r="I59" s="6"/>
      <c r="J59" s="6"/>
      <c r="K59" s="6"/>
      <c r="L59" s="6"/>
      <c r="M59" s="6"/>
      <c r="N59" s="6"/>
      <c r="O59" s="6"/>
      <c r="P59" s="6"/>
      <c r="Q59" s="6"/>
      <c r="R59" s="6"/>
      <c r="S59" s="6"/>
      <c r="T59" s="6"/>
      <c r="U59" s="6"/>
      <c r="V59" s="6"/>
      <c r="W59" s="6"/>
      <c r="X59" s="6"/>
      <c r="Y59" s="6"/>
      <c r="Z59" s="6"/>
    </row>
    <row r="60" spans="1:26" ht="15.75" customHeight="1" x14ac:dyDescent="0.25">
      <c r="A60" s="64"/>
      <c r="B60" s="6"/>
      <c r="C60" s="6"/>
      <c r="D60" s="65"/>
      <c r="E60" s="6"/>
      <c r="F60" s="6"/>
      <c r="G60" s="6"/>
      <c r="H60" s="6"/>
      <c r="I60" s="6"/>
      <c r="J60" s="6"/>
      <c r="K60" s="6"/>
      <c r="L60" s="6"/>
      <c r="M60" s="6"/>
      <c r="N60" s="6"/>
      <c r="O60" s="6"/>
      <c r="P60" s="6"/>
      <c r="Q60" s="6"/>
      <c r="R60" s="6"/>
      <c r="S60" s="6"/>
      <c r="T60" s="6"/>
      <c r="U60" s="6"/>
      <c r="V60" s="6"/>
      <c r="W60" s="6"/>
      <c r="X60" s="6"/>
      <c r="Y60" s="6"/>
      <c r="Z60" s="6"/>
    </row>
    <row r="61" spans="1:26" ht="15.75" customHeight="1" x14ac:dyDescent="0.25">
      <c r="A61" s="64"/>
      <c r="B61" s="6"/>
      <c r="C61" s="6"/>
      <c r="D61" s="65"/>
      <c r="E61" s="6"/>
      <c r="F61" s="6"/>
      <c r="G61" s="6"/>
      <c r="H61" s="6"/>
      <c r="I61" s="6"/>
      <c r="J61" s="6"/>
      <c r="K61" s="6"/>
      <c r="L61" s="6"/>
      <c r="M61" s="6"/>
      <c r="N61" s="6"/>
      <c r="O61" s="6"/>
      <c r="P61" s="6"/>
      <c r="Q61" s="6"/>
      <c r="R61" s="6"/>
      <c r="S61" s="6"/>
      <c r="T61" s="6"/>
      <c r="U61" s="6"/>
      <c r="V61" s="6"/>
      <c r="W61" s="6"/>
      <c r="X61" s="6"/>
      <c r="Y61" s="6"/>
      <c r="Z61" s="6"/>
    </row>
    <row r="62" spans="1:26" ht="15.75" customHeight="1" x14ac:dyDescent="0.25">
      <c r="A62" s="64"/>
      <c r="B62" s="6"/>
      <c r="C62" s="6"/>
      <c r="D62" s="65"/>
      <c r="E62" s="6"/>
      <c r="F62" s="6"/>
      <c r="G62" s="6"/>
      <c r="H62" s="6"/>
      <c r="I62" s="6"/>
      <c r="J62" s="6"/>
      <c r="K62" s="6"/>
      <c r="L62" s="6"/>
      <c r="M62" s="6"/>
      <c r="N62" s="6"/>
      <c r="O62" s="6"/>
      <c r="P62" s="6"/>
      <c r="Q62" s="6"/>
      <c r="R62" s="6"/>
      <c r="S62" s="6"/>
      <c r="T62" s="6"/>
      <c r="U62" s="6"/>
      <c r="V62" s="6"/>
      <c r="W62" s="6"/>
      <c r="X62" s="6"/>
      <c r="Y62" s="6"/>
      <c r="Z62" s="6"/>
    </row>
    <row r="63" spans="1:26" ht="15.75" customHeight="1" x14ac:dyDescent="0.25">
      <c r="A63" s="64"/>
      <c r="B63" s="6"/>
      <c r="C63" s="6"/>
      <c r="D63" s="65"/>
      <c r="E63" s="6"/>
      <c r="F63" s="6"/>
      <c r="G63" s="6"/>
      <c r="H63" s="6"/>
      <c r="I63" s="6"/>
      <c r="J63" s="6"/>
      <c r="K63" s="6"/>
      <c r="L63" s="6"/>
      <c r="M63" s="6"/>
      <c r="N63" s="6"/>
      <c r="O63" s="6"/>
      <c r="P63" s="6"/>
      <c r="Q63" s="6"/>
      <c r="R63" s="6"/>
      <c r="S63" s="6"/>
      <c r="T63" s="6"/>
      <c r="U63" s="6"/>
      <c r="V63" s="6"/>
      <c r="W63" s="6"/>
      <c r="X63" s="6"/>
      <c r="Y63" s="6"/>
      <c r="Z63" s="6"/>
    </row>
    <row r="64" spans="1:26" ht="15.75" customHeight="1" x14ac:dyDescent="0.25">
      <c r="A64" s="64"/>
      <c r="B64" s="6"/>
      <c r="C64" s="6"/>
      <c r="D64" s="65"/>
      <c r="E64" s="6"/>
      <c r="F64" s="6"/>
      <c r="G64" s="6"/>
      <c r="H64" s="6"/>
      <c r="I64" s="6"/>
      <c r="J64" s="6"/>
      <c r="K64" s="6"/>
      <c r="L64" s="6"/>
      <c r="M64" s="6"/>
      <c r="N64" s="6"/>
      <c r="O64" s="6"/>
      <c r="P64" s="6"/>
      <c r="Q64" s="6"/>
      <c r="R64" s="6"/>
      <c r="S64" s="6"/>
      <c r="T64" s="6"/>
      <c r="U64" s="6"/>
      <c r="V64" s="6"/>
      <c r="W64" s="6"/>
      <c r="X64" s="6"/>
      <c r="Y64" s="6"/>
      <c r="Z64" s="6"/>
    </row>
    <row r="65" spans="1:26" ht="15.75" customHeight="1" x14ac:dyDescent="0.25">
      <c r="A65" s="64"/>
      <c r="B65" s="6"/>
      <c r="C65" s="6"/>
      <c r="D65" s="65"/>
      <c r="E65" s="6"/>
      <c r="F65" s="6"/>
      <c r="G65" s="6"/>
      <c r="H65" s="6"/>
      <c r="I65" s="6"/>
      <c r="J65" s="6"/>
      <c r="K65" s="6"/>
      <c r="L65" s="6"/>
      <c r="M65" s="6"/>
      <c r="N65" s="6"/>
      <c r="O65" s="6"/>
      <c r="P65" s="6"/>
      <c r="Q65" s="6"/>
      <c r="R65" s="6"/>
      <c r="S65" s="6"/>
      <c r="T65" s="6"/>
      <c r="U65" s="6"/>
      <c r="V65" s="6"/>
      <c r="W65" s="6"/>
      <c r="X65" s="6"/>
      <c r="Y65" s="6"/>
      <c r="Z65" s="6"/>
    </row>
    <row r="66" spans="1:26" ht="15.75" customHeight="1" x14ac:dyDescent="0.25">
      <c r="A66" s="64"/>
      <c r="B66" s="6"/>
      <c r="C66" s="6"/>
      <c r="D66" s="65"/>
      <c r="E66" s="6"/>
      <c r="F66" s="6"/>
      <c r="G66" s="6"/>
      <c r="H66" s="6"/>
      <c r="I66" s="6"/>
      <c r="J66" s="6"/>
      <c r="K66" s="6"/>
      <c r="L66" s="6"/>
      <c r="M66" s="6"/>
      <c r="N66" s="6"/>
      <c r="O66" s="6"/>
      <c r="P66" s="6"/>
      <c r="Q66" s="6"/>
      <c r="R66" s="6"/>
      <c r="S66" s="6"/>
      <c r="T66" s="6"/>
      <c r="U66" s="6"/>
      <c r="V66" s="6"/>
      <c r="W66" s="6"/>
      <c r="X66" s="6"/>
      <c r="Y66" s="6"/>
      <c r="Z66" s="6"/>
    </row>
    <row r="67" spans="1:26" ht="15.75" customHeight="1" x14ac:dyDescent="0.25">
      <c r="A67" s="64"/>
      <c r="B67" s="6"/>
      <c r="C67" s="6"/>
      <c r="D67" s="65"/>
      <c r="E67" s="6"/>
      <c r="F67" s="6"/>
      <c r="G67" s="6"/>
      <c r="H67" s="6"/>
      <c r="I67" s="6"/>
      <c r="J67" s="6"/>
      <c r="K67" s="6"/>
      <c r="L67" s="6"/>
      <c r="M67" s="6"/>
      <c r="N67" s="6"/>
      <c r="O67" s="6"/>
      <c r="P67" s="6"/>
      <c r="Q67" s="6"/>
      <c r="R67" s="6"/>
      <c r="S67" s="6"/>
      <c r="T67" s="6"/>
      <c r="U67" s="6"/>
      <c r="V67" s="6"/>
      <c r="W67" s="6"/>
      <c r="X67" s="6"/>
      <c r="Y67" s="6"/>
      <c r="Z67" s="6"/>
    </row>
    <row r="68" spans="1:26" ht="15.75" customHeight="1" x14ac:dyDescent="0.25">
      <c r="A68" s="64"/>
      <c r="B68" s="6"/>
      <c r="C68" s="6"/>
      <c r="D68" s="65"/>
      <c r="E68" s="6"/>
      <c r="F68" s="6"/>
      <c r="G68" s="6"/>
      <c r="H68" s="6"/>
      <c r="I68" s="6"/>
      <c r="J68" s="6"/>
      <c r="K68" s="6"/>
      <c r="L68" s="6"/>
      <c r="M68" s="6"/>
      <c r="N68" s="6"/>
      <c r="O68" s="6"/>
      <c r="P68" s="6"/>
      <c r="Q68" s="6"/>
      <c r="R68" s="6"/>
      <c r="S68" s="6"/>
      <c r="T68" s="6"/>
      <c r="U68" s="6"/>
      <c r="V68" s="6"/>
      <c r="W68" s="6"/>
      <c r="X68" s="6"/>
      <c r="Y68" s="6"/>
      <c r="Z68" s="6"/>
    </row>
    <row r="69" spans="1:26" ht="15.75" customHeight="1" x14ac:dyDescent="0.25">
      <c r="A69" s="64"/>
      <c r="B69" s="6"/>
      <c r="C69" s="6"/>
      <c r="D69" s="65"/>
      <c r="E69" s="6"/>
      <c r="F69" s="6"/>
      <c r="G69" s="6"/>
      <c r="H69" s="6"/>
      <c r="I69" s="6"/>
      <c r="J69" s="6"/>
      <c r="K69" s="6"/>
      <c r="L69" s="6"/>
      <c r="M69" s="6"/>
      <c r="N69" s="6"/>
      <c r="O69" s="6"/>
      <c r="P69" s="6"/>
      <c r="Q69" s="6"/>
      <c r="R69" s="6"/>
      <c r="S69" s="6"/>
      <c r="T69" s="6"/>
      <c r="U69" s="6"/>
      <c r="V69" s="6"/>
      <c r="W69" s="6"/>
      <c r="X69" s="6"/>
      <c r="Y69" s="6"/>
      <c r="Z69" s="6"/>
    </row>
    <row r="70" spans="1:26" ht="15.75" customHeight="1" x14ac:dyDescent="0.25">
      <c r="A70" s="64"/>
      <c r="B70" s="6"/>
      <c r="C70" s="6"/>
      <c r="D70" s="65"/>
      <c r="E70" s="6"/>
      <c r="F70" s="6"/>
      <c r="G70" s="6"/>
      <c r="H70" s="6"/>
      <c r="I70" s="6"/>
      <c r="J70" s="6"/>
      <c r="K70" s="6"/>
      <c r="L70" s="6"/>
      <c r="M70" s="6"/>
      <c r="N70" s="6"/>
      <c r="O70" s="6"/>
      <c r="P70" s="6"/>
      <c r="Q70" s="6"/>
      <c r="R70" s="6"/>
      <c r="S70" s="6"/>
      <c r="T70" s="6"/>
      <c r="U70" s="6"/>
      <c r="V70" s="6"/>
      <c r="W70" s="6"/>
      <c r="X70" s="6"/>
      <c r="Y70" s="6"/>
      <c r="Z70" s="6"/>
    </row>
    <row r="71" spans="1:26" ht="15.75" customHeight="1" x14ac:dyDescent="0.25">
      <c r="A71" s="64"/>
      <c r="B71" s="6"/>
      <c r="C71" s="6"/>
      <c r="D71" s="65"/>
      <c r="E71" s="6"/>
      <c r="F71" s="6"/>
      <c r="G71" s="6"/>
      <c r="H71" s="6"/>
      <c r="I71" s="6"/>
      <c r="J71" s="6"/>
      <c r="K71" s="6"/>
      <c r="L71" s="6"/>
      <c r="M71" s="6"/>
      <c r="N71" s="6"/>
      <c r="O71" s="6"/>
      <c r="P71" s="6"/>
      <c r="Q71" s="6"/>
      <c r="R71" s="6"/>
      <c r="S71" s="6"/>
      <c r="T71" s="6"/>
      <c r="U71" s="6"/>
      <c r="V71" s="6"/>
      <c r="W71" s="6"/>
      <c r="X71" s="6"/>
      <c r="Y71" s="6"/>
      <c r="Z71" s="6"/>
    </row>
    <row r="72" spans="1:26" ht="15.75" customHeight="1" x14ac:dyDescent="0.25">
      <c r="A72" s="64"/>
      <c r="B72" s="6"/>
      <c r="C72" s="6"/>
      <c r="D72" s="65"/>
      <c r="E72" s="6"/>
      <c r="F72" s="6"/>
      <c r="G72" s="6"/>
      <c r="H72" s="6"/>
      <c r="I72" s="6"/>
      <c r="J72" s="6"/>
      <c r="K72" s="6"/>
      <c r="L72" s="6"/>
      <c r="M72" s="6"/>
      <c r="N72" s="6"/>
      <c r="O72" s="6"/>
      <c r="P72" s="6"/>
      <c r="Q72" s="6"/>
      <c r="R72" s="6"/>
      <c r="S72" s="6"/>
      <c r="T72" s="6"/>
      <c r="U72" s="6"/>
      <c r="V72" s="6"/>
      <c r="W72" s="6"/>
      <c r="X72" s="6"/>
      <c r="Y72" s="6"/>
      <c r="Z72" s="6"/>
    </row>
    <row r="73" spans="1:26" ht="15.75" customHeight="1" x14ac:dyDescent="0.25">
      <c r="A73" s="64"/>
      <c r="B73" s="6"/>
      <c r="C73" s="6"/>
      <c r="D73" s="65"/>
      <c r="E73" s="6"/>
      <c r="F73" s="6"/>
      <c r="G73" s="6"/>
      <c r="H73" s="6"/>
      <c r="I73" s="6"/>
      <c r="J73" s="6"/>
      <c r="K73" s="6"/>
      <c r="L73" s="6"/>
      <c r="M73" s="6"/>
      <c r="N73" s="6"/>
      <c r="O73" s="6"/>
      <c r="P73" s="6"/>
      <c r="Q73" s="6"/>
      <c r="R73" s="6"/>
      <c r="S73" s="6"/>
      <c r="T73" s="6"/>
      <c r="U73" s="6"/>
      <c r="V73" s="6"/>
      <c r="W73" s="6"/>
      <c r="X73" s="6"/>
      <c r="Y73" s="6"/>
      <c r="Z73" s="6"/>
    </row>
    <row r="74" spans="1:26" ht="15.75" customHeight="1" x14ac:dyDescent="0.25">
      <c r="A74" s="64"/>
      <c r="B74" s="6"/>
      <c r="C74" s="6"/>
      <c r="D74" s="65"/>
      <c r="E74" s="6"/>
      <c r="F74" s="6"/>
      <c r="G74" s="6"/>
      <c r="H74" s="6"/>
      <c r="I74" s="6"/>
      <c r="J74" s="6"/>
      <c r="K74" s="6"/>
      <c r="L74" s="6"/>
      <c r="M74" s="6"/>
      <c r="N74" s="6"/>
      <c r="O74" s="6"/>
      <c r="P74" s="6"/>
      <c r="Q74" s="6"/>
      <c r="R74" s="6"/>
      <c r="S74" s="6"/>
      <c r="T74" s="6"/>
      <c r="U74" s="6"/>
      <c r="V74" s="6"/>
      <c r="W74" s="6"/>
      <c r="X74" s="6"/>
      <c r="Y74" s="6"/>
      <c r="Z74" s="6"/>
    </row>
    <row r="75" spans="1:26" ht="15.75" customHeight="1" x14ac:dyDescent="0.25">
      <c r="A75" s="64"/>
      <c r="B75" s="6"/>
      <c r="C75" s="6"/>
      <c r="D75" s="65"/>
      <c r="E75" s="6"/>
      <c r="F75" s="6"/>
      <c r="G75" s="6"/>
      <c r="H75" s="6"/>
      <c r="I75" s="6"/>
      <c r="J75" s="6"/>
      <c r="K75" s="6"/>
      <c r="L75" s="6"/>
      <c r="M75" s="6"/>
      <c r="N75" s="6"/>
      <c r="O75" s="6"/>
      <c r="P75" s="6"/>
      <c r="Q75" s="6"/>
      <c r="R75" s="6"/>
      <c r="S75" s="6"/>
      <c r="T75" s="6"/>
      <c r="U75" s="6"/>
      <c r="V75" s="6"/>
      <c r="W75" s="6"/>
      <c r="X75" s="6"/>
      <c r="Y75" s="6"/>
      <c r="Z75" s="6"/>
    </row>
    <row r="76" spans="1:26" ht="15.75" customHeight="1" x14ac:dyDescent="0.25">
      <c r="A76" s="64"/>
      <c r="B76" s="6"/>
      <c r="C76" s="6"/>
      <c r="D76" s="65"/>
      <c r="E76" s="6"/>
      <c r="F76" s="6"/>
      <c r="G76" s="6"/>
      <c r="H76" s="6"/>
      <c r="I76" s="6"/>
      <c r="J76" s="6"/>
      <c r="K76" s="6"/>
      <c r="L76" s="6"/>
      <c r="M76" s="6"/>
      <c r="N76" s="6"/>
      <c r="O76" s="6"/>
      <c r="P76" s="6"/>
      <c r="Q76" s="6"/>
      <c r="R76" s="6"/>
      <c r="S76" s="6"/>
      <c r="T76" s="6"/>
      <c r="U76" s="6"/>
      <c r="V76" s="6"/>
      <c r="W76" s="6"/>
      <c r="X76" s="6"/>
      <c r="Y76" s="6"/>
      <c r="Z76" s="6"/>
    </row>
    <row r="77" spans="1:26" ht="15.75" customHeight="1" x14ac:dyDescent="0.25">
      <c r="A77" s="64"/>
      <c r="B77" s="6"/>
      <c r="C77" s="6"/>
      <c r="D77" s="65"/>
      <c r="E77" s="6"/>
      <c r="F77" s="6"/>
      <c r="G77" s="6"/>
      <c r="H77" s="6"/>
      <c r="I77" s="6"/>
      <c r="J77" s="6"/>
      <c r="K77" s="6"/>
      <c r="L77" s="6"/>
      <c r="M77" s="6"/>
      <c r="N77" s="6"/>
      <c r="O77" s="6"/>
      <c r="P77" s="6"/>
      <c r="Q77" s="6"/>
      <c r="R77" s="6"/>
      <c r="S77" s="6"/>
      <c r="T77" s="6"/>
      <c r="U77" s="6"/>
      <c r="V77" s="6"/>
      <c r="W77" s="6"/>
      <c r="X77" s="6"/>
      <c r="Y77" s="6"/>
      <c r="Z77" s="6"/>
    </row>
    <row r="78" spans="1:26" ht="15.75" customHeight="1" x14ac:dyDescent="0.25">
      <c r="A78" s="64"/>
      <c r="B78" s="6"/>
      <c r="C78" s="6"/>
      <c r="D78" s="65"/>
      <c r="E78" s="6"/>
      <c r="F78" s="6"/>
      <c r="G78" s="6"/>
      <c r="H78" s="6"/>
      <c r="I78" s="6"/>
      <c r="J78" s="6"/>
      <c r="K78" s="6"/>
      <c r="L78" s="6"/>
      <c r="M78" s="6"/>
      <c r="N78" s="6"/>
      <c r="O78" s="6"/>
      <c r="P78" s="6"/>
      <c r="Q78" s="6"/>
      <c r="R78" s="6"/>
      <c r="S78" s="6"/>
      <c r="T78" s="6"/>
      <c r="U78" s="6"/>
      <c r="V78" s="6"/>
      <c r="W78" s="6"/>
      <c r="X78" s="6"/>
      <c r="Y78" s="6"/>
      <c r="Z78" s="6"/>
    </row>
    <row r="79" spans="1:26" ht="15.75" customHeight="1" x14ac:dyDescent="0.25">
      <c r="A79" s="64"/>
      <c r="B79" s="6"/>
      <c r="C79" s="6"/>
      <c r="D79" s="65"/>
      <c r="E79" s="6"/>
      <c r="F79" s="6"/>
      <c r="G79" s="6"/>
      <c r="H79" s="6"/>
      <c r="I79" s="6"/>
      <c r="J79" s="6"/>
      <c r="K79" s="6"/>
      <c r="L79" s="6"/>
      <c r="M79" s="6"/>
      <c r="N79" s="6"/>
      <c r="O79" s="6"/>
      <c r="P79" s="6"/>
      <c r="Q79" s="6"/>
      <c r="R79" s="6"/>
      <c r="S79" s="6"/>
      <c r="T79" s="6"/>
      <c r="U79" s="6"/>
      <c r="V79" s="6"/>
      <c r="W79" s="6"/>
      <c r="X79" s="6"/>
      <c r="Y79" s="6"/>
      <c r="Z79" s="6"/>
    </row>
    <row r="80" spans="1:26" ht="15.75" customHeight="1" x14ac:dyDescent="0.25">
      <c r="A80" s="64"/>
      <c r="B80" s="6"/>
      <c r="C80" s="6"/>
      <c r="D80" s="65"/>
      <c r="E80" s="6"/>
      <c r="F80" s="6"/>
      <c r="G80" s="6"/>
      <c r="H80" s="6"/>
      <c r="I80" s="6"/>
      <c r="J80" s="6"/>
      <c r="K80" s="6"/>
      <c r="L80" s="6"/>
      <c r="M80" s="6"/>
      <c r="N80" s="6"/>
      <c r="O80" s="6"/>
      <c r="P80" s="6"/>
      <c r="Q80" s="6"/>
      <c r="R80" s="6"/>
      <c r="S80" s="6"/>
      <c r="T80" s="6"/>
      <c r="U80" s="6"/>
      <c r="V80" s="6"/>
      <c r="W80" s="6"/>
      <c r="X80" s="6"/>
      <c r="Y80" s="6"/>
      <c r="Z80" s="6"/>
    </row>
    <row r="81" spans="1:26" ht="15.75" customHeight="1" x14ac:dyDescent="0.25">
      <c r="A81" s="64"/>
      <c r="B81" s="6"/>
      <c r="C81" s="6"/>
      <c r="D81" s="65"/>
      <c r="E81" s="6"/>
      <c r="F81" s="6"/>
      <c r="G81" s="6"/>
      <c r="H81" s="6"/>
      <c r="I81" s="6"/>
      <c r="J81" s="6"/>
      <c r="K81" s="6"/>
      <c r="L81" s="6"/>
      <c r="M81" s="6"/>
      <c r="N81" s="6"/>
      <c r="O81" s="6"/>
      <c r="P81" s="6"/>
      <c r="Q81" s="6"/>
      <c r="R81" s="6"/>
      <c r="S81" s="6"/>
      <c r="T81" s="6"/>
      <c r="U81" s="6"/>
      <c r="V81" s="6"/>
      <c r="W81" s="6"/>
      <c r="X81" s="6"/>
      <c r="Y81" s="6"/>
      <c r="Z81" s="6"/>
    </row>
    <row r="82" spans="1:26" ht="15.75" customHeight="1" x14ac:dyDescent="0.25">
      <c r="A82" s="64"/>
      <c r="B82" s="6"/>
      <c r="C82" s="6"/>
      <c r="D82" s="65"/>
      <c r="E82" s="6"/>
      <c r="F82" s="6"/>
      <c r="G82" s="6"/>
      <c r="H82" s="6"/>
      <c r="I82" s="6"/>
      <c r="J82" s="6"/>
      <c r="K82" s="6"/>
      <c r="L82" s="6"/>
      <c r="M82" s="6"/>
      <c r="N82" s="6"/>
      <c r="O82" s="6"/>
      <c r="P82" s="6"/>
      <c r="Q82" s="6"/>
      <c r="R82" s="6"/>
      <c r="S82" s="6"/>
      <c r="T82" s="6"/>
      <c r="U82" s="6"/>
      <c r="V82" s="6"/>
      <c r="W82" s="6"/>
      <c r="X82" s="6"/>
      <c r="Y82" s="6"/>
      <c r="Z82" s="6"/>
    </row>
    <row r="83" spans="1:26" ht="15.75" customHeight="1" x14ac:dyDescent="0.25">
      <c r="A83" s="64"/>
      <c r="B83" s="6"/>
      <c r="C83" s="6"/>
      <c r="D83" s="65"/>
      <c r="E83" s="6"/>
      <c r="F83" s="6"/>
      <c r="G83" s="6"/>
      <c r="H83" s="6"/>
      <c r="I83" s="6"/>
      <c r="J83" s="6"/>
      <c r="K83" s="6"/>
      <c r="L83" s="6"/>
      <c r="M83" s="6"/>
      <c r="N83" s="6"/>
      <c r="O83" s="6"/>
      <c r="P83" s="6"/>
      <c r="Q83" s="6"/>
      <c r="R83" s="6"/>
      <c r="S83" s="6"/>
      <c r="T83" s="6"/>
      <c r="U83" s="6"/>
      <c r="V83" s="6"/>
      <c r="W83" s="6"/>
      <c r="X83" s="6"/>
      <c r="Y83" s="6"/>
      <c r="Z83" s="6"/>
    </row>
    <row r="84" spans="1:26" ht="15.75" customHeight="1" x14ac:dyDescent="0.25">
      <c r="A84" s="64"/>
      <c r="B84" s="6"/>
      <c r="C84" s="6"/>
      <c r="D84" s="65"/>
      <c r="E84" s="6"/>
      <c r="F84" s="6"/>
      <c r="G84" s="6"/>
      <c r="H84" s="6"/>
      <c r="I84" s="6"/>
      <c r="J84" s="6"/>
      <c r="K84" s="6"/>
      <c r="L84" s="6"/>
      <c r="M84" s="6"/>
      <c r="N84" s="6"/>
      <c r="O84" s="6"/>
      <c r="P84" s="6"/>
      <c r="Q84" s="6"/>
      <c r="R84" s="6"/>
      <c r="S84" s="6"/>
      <c r="T84" s="6"/>
      <c r="U84" s="6"/>
      <c r="V84" s="6"/>
      <c r="W84" s="6"/>
      <c r="X84" s="6"/>
      <c r="Y84" s="6"/>
      <c r="Z84" s="6"/>
    </row>
    <row r="85" spans="1:26" ht="15.75" customHeight="1" x14ac:dyDescent="0.25">
      <c r="A85" s="64"/>
      <c r="B85" s="6"/>
      <c r="C85" s="6"/>
      <c r="D85" s="65"/>
      <c r="E85" s="6"/>
      <c r="F85" s="6"/>
      <c r="G85" s="6"/>
      <c r="H85" s="6"/>
      <c r="I85" s="6"/>
      <c r="J85" s="6"/>
      <c r="K85" s="6"/>
      <c r="L85" s="6"/>
      <c r="M85" s="6"/>
      <c r="N85" s="6"/>
      <c r="O85" s="6"/>
      <c r="P85" s="6"/>
      <c r="Q85" s="6"/>
      <c r="R85" s="6"/>
      <c r="S85" s="6"/>
      <c r="T85" s="6"/>
      <c r="U85" s="6"/>
      <c r="V85" s="6"/>
      <c r="W85" s="6"/>
      <c r="X85" s="6"/>
      <c r="Y85" s="6"/>
      <c r="Z85" s="6"/>
    </row>
    <row r="86" spans="1:26" ht="15.75" customHeight="1" x14ac:dyDescent="0.25">
      <c r="A86" s="64"/>
      <c r="B86" s="6"/>
      <c r="C86" s="6"/>
      <c r="D86" s="65"/>
      <c r="E86" s="6"/>
      <c r="F86" s="6"/>
      <c r="G86" s="6"/>
      <c r="H86" s="6"/>
      <c r="I86" s="6"/>
      <c r="J86" s="6"/>
      <c r="K86" s="6"/>
      <c r="L86" s="6"/>
      <c r="M86" s="6"/>
      <c r="N86" s="6"/>
      <c r="O86" s="6"/>
      <c r="P86" s="6"/>
      <c r="Q86" s="6"/>
      <c r="R86" s="6"/>
      <c r="S86" s="6"/>
      <c r="T86" s="6"/>
      <c r="U86" s="6"/>
      <c r="V86" s="6"/>
      <c r="W86" s="6"/>
      <c r="X86" s="6"/>
      <c r="Y86" s="6"/>
      <c r="Z86" s="6"/>
    </row>
    <row r="87" spans="1:26" ht="15.75" customHeight="1" x14ac:dyDescent="0.25">
      <c r="A87" s="64"/>
      <c r="B87" s="6"/>
      <c r="C87" s="6"/>
      <c r="D87" s="65"/>
      <c r="E87" s="6"/>
      <c r="F87" s="6"/>
      <c r="G87" s="6"/>
      <c r="H87" s="6"/>
      <c r="I87" s="6"/>
      <c r="J87" s="6"/>
      <c r="K87" s="6"/>
      <c r="L87" s="6"/>
      <c r="M87" s="6"/>
      <c r="N87" s="6"/>
      <c r="O87" s="6"/>
      <c r="P87" s="6"/>
      <c r="Q87" s="6"/>
      <c r="R87" s="6"/>
      <c r="S87" s="6"/>
      <c r="T87" s="6"/>
      <c r="U87" s="6"/>
      <c r="V87" s="6"/>
      <c r="W87" s="6"/>
      <c r="X87" s="6"/>
      <c r="Y87" s="6"/>
      <c r="Z87" s="6"/>
    </row>
    <row r="88" spans="1:26" ht="15.75" customHeight="1" x14ac:dyDescent="0.25">
      <c r="A88" s="64"/>
      <c r="B88" s="6"/>
      <c r="C88" s="6"/>
      <c r="D88" s="65"/>
      <c r="E88" s="6"/>
      <c r="F88" s="6"/>
      <c r="G88" s="6"/>
      <c r="H88" s="6"/>
      <c r="I88" s="6"/>
      <c r="J88" s="6"/>
      <c r="K88" s="6"/>
      <c r="L88" s="6"/>
      <c r="M88" s="6"/>
      <c r="N88" s="6"/>
      <c r="O88" s="6"/>
      <c r="P88" s="6"/>
      <c r="Q88" s="6"/>
      <c r="R88" s="6"/>
      <c r="S88" s="6"/>
      <c r="T88" s="6"/>
      <c r="U88" s="6"/>
      <c r="V88" s="6"/>
      <c r="W88" s="6"/>
      <c r="X88" s="6"/>
      <c r="Y88" s="6"/>
      <c r="Z88" s="6"/>
    </row>
    <row r="89" spans="1:26" ht="15.75" customHeight="1" x14ac:dyDescent="0.25">
      <c r="A89" s="64"/>
      <c r="B89" s="6"/>
      <c r="C89" s="6"/>
      <c r="D89" s="65"/>
      <c r="E89" s="6"/>
      <c r="F89" s="6"/>
      <c r="G89" s="6"/>
      <c r="H89" s="6"/>
      <c r="I89" s="6"/>
      <c r="J89" s="6"/>
      <c r="K89" s="6"/>
      <c r="L89" s="6"/>
      <c r="M89" s="6"/>
      <c r="N89" s="6"/>
      <c r="O89" s="6"/>
      <c r="P89" s="6"/>
      <c r="Q89" s="6"/>
      <c r="R89" s="6"/>
      <c r="S89" s="6"/>
      <c r="T89" s="6"/>
      <c r="U89" s="6"/>
      <c r="V89" s="6"/>
      <c r="W89" s="6"/>
      <c r="X89" s="6"/>
      <c r="Y89" s="6"/>
      <c r="Z89" s="6"/>
    </row>
    <row r="90" spans="1:26" ht="15.75" customHeight="1" x14ac:dyDescent="0.25">
      <c r="A90" s="64"/>
      <c r="B90" s="6"/>
      <c r="C90" s="6"/>
      <c r="D90" s="65"/>
      <c r="E90" s="6"/>
      <c r="F90" s="6"/>
      <c r="G90" s="6"/>
      <c r="H90" s="6"/>
      <c r="I90" s="6"/>
      <c r="J90" s="6"/>
      <c r="K90" s="6"/>
      <c r="L90" s="6"/>
      <c r="M90" s="6"/>
      <c r="N90" s="6"/>
      <c r="O90" s="6"/>
      <c r="P90" s="6"/>
      <c r="Q90" s="6"/>
      <c r="R90" s="6"/>
      <c r="S90" s="6"/>
      <c r="T90" s="6"/>
      <c r="U90" s="6"/>
      <c r="V90" s="6"/>
      <c r="W90" s="6"/>
      <c r="X90" s="6"/>
      <c r="Y90" s="6"/>
      <c r="Z90" s="6"/>
    </row>
    <row r="91" spans="1:26" ht="15.75" customHeight="1" x14ac:dyDescent="0.25">
      <c r="A91" s="64"/>
      <c r="B91" s="6"/>
      <c r="C91" s="6"/>
      <c r="D91" s="65"/>
      <c r="E91" s="6"/>
      <c r="F91" s="6"/>
      <c r="G91" s="6"/>
      <c r="H91" s="6"/>
      <c r="I91" s="6"/>
      <c r="J91" s="6"/>
      <c r="K91" s="6"/>
      <c r="L91" s="6"/>
      <c r="M91" s="6"/>
      <c r="N91" s="6"/>
      <c r="O91" s="6"/>
      <c r="P91" s="6"/>
      <c r="Q91" s="6"/>
      <c r="R91" s="6"/>
      <c r="S91" s="6"/>
      <c r="T91" s="6"/>
      <c r="U91" s="6"/>
      <c r="V91" s="6"/>
      <c r="W91" s="6"/>
      <c r="X91" s="6"/>
      <c r="Y91" s="6"/>
      <c r="Z91" s="6"/>
    </row>
    <row r="92" spans="1:26" ht="15.75" customHeight="1" x14ac:dyDescent="0.25">
      <c r="A92" s="64"/>
      <c r="B92" s="6"/>
      <c r="C92" s="6"/>
      <c r="D92" s="65"/>
      <c r="E92" s="6"/>
      <c r="F92" s="6"/>
      <c r="G92" s="6"/>
      <c r="H92" s="6"/>
      <c r="I92" s="6"/>
      <c r="J92" s="6"/>
      <c r="K92" s="6"/>
      <c r="L92" s="6"/>
      <c r="M92" s="6"/>
      <c r="N92" s="6"/>
      <c r="O92" s="6"/>
      <c r="P92" s="6"/>
      <c r="Q92" s="6"/>
      <c r="R92" s="6"/>
      <c r="S92" s="6"/>
      <c r="T92" s="6"/>
      <c r="U92" s="6"/>
      <c r="V92" s="6"/>
      <c r="W92" s="6"/>
      <c r="X92" s="6"/>
      <c r="Y92" s="6"/>
      <c r="Z92" s="6"/>
    </row>
    <row r="93" spans="1:26" ht="15.75" customHeight="1" x14ac:dyDescent="0.25">
      <c r="A93" s="64"/>
      <c r="B93" s="6"/>
      <c r="C93" s="6"/>
      <c r="D93" s="65"/>
      <c r="E93" s="6"/>
      <c r="F93" s="6"/>
      <c r="G93" s="6"/>
      <c r="H93" s="6"/>
      <c r="I93" s="6"/>
      <c r="J93" s="6"/>
      <c r="K93" s="6"/>
      <c r="L93" s="6"/>
      <c r="M93" s="6"/>
      <c r="N93" s="6"/>
      <c r="O93" s="6"/>
      <c r="P93" s="6"/>
      <c r="Q93" s="6"/>
      <c r="R93" s="6"/>
      <c r="S93" s="6"/>
      <c r="T93" s="6"/>
      <c r="U93" s="6"/>
      <c r="V93" s="6"/>
      <c r="W93" s="6"/>
      <c r="X93" s="6"/>
      <c r="Y93" s="6"/>
      <c r="Z93" s="6"/>
    </row>
    <row r="94" spans="1:26" ht="15.75" customHeight="1" x14ac:dyDescent="0.25">
      <c r="A94" s="64"/>
      <c r="B94" s="6"/>
      <c r="C94" s="6"/>
      <c r="D94" s="65"/>
      <c r="E94" s="6"/>
      <c r="F94" s="6"/>
      <c r="G94" s="6"/>
      <c r="H94" s="6"/>
      <c r="I94" s="6"/>
      <c r="J94" s="6"/>
      <c r="K94" s="6"/>
      <c r="L94" s="6"/>
      <c r="M94" s="6"/>
      <c r="N94" s="6"/>
      <c r="O94" s="6"/>
      <c r="P94" s="6"/>
      <c r="Q94" s="6"/>
      <c r="R94" s="6"/>
      <c r="S94" s="6"/>
      <c r="T94" s="6"/>
      <c r="U94" s="6"/>
      <c r="V94" s="6"/>
      <c r="W94" s="6"/>
      <c r="X94" s="6"/>
      <c r="Y94" s="6"/>
      <c r="Z94" s="6"/>
    </row>
    <row r="95" spans="1:26" ht="15.75" customHeight="1" x14ac:dyDescent="0.25">
      <c r="A95" s="64"/>
      <c r="B95" s="6"/>
      <c r="C95" s="6"/>
      <c r="D95" s="65"/>
      <c r="E95" s="6"/>
      <c r="F95" s="6"/>
      <c r="G95" s="6"/>
      <c r="H95" s="6"/>
      <c r="I95" s="6"/>
      <c r="J95" s="6"/>
      <c r="K95" s="6"/>
      <c r="L95" s="6"/>
      <c r="M95" s="6"/>
      <c r="N95" s="6"/>
      <c r="O95" s="6"/>
      <c r="P95" s="6"/>
      <c r="Q95" s="6"/>
      <c r="R95" s="6"/>
      <c r="S95" s="6"/>
      <c r="T95" s="6"/>
      <c r="U95" s="6"/>
      <c r="V95" s="6"/>
      <c r="W95" s="6"/>
      <c r="X95" s="6"/>
      <c r="Y95" s="6"/>
      <c r="Z95" s="6"/>
    </row>
    <row r="96" spans="1:26" ht="15.75" customHeight="1" x14ac:dyDescent="0.25">
      <c r="A96" s="64"/>
      <c r="B96" s="6"/>
      <c r="C96" s="6"/>
      <c r="D96" s="65"/>
      <c r="E96" s="6"/>
      <c r="F96" s="6"/>
      <c r="G96" s="6"/>
      <c r="H96" s="6"/>
      <c r="I96" s="6"/>
      <c r="J96" s="6"/>
      <c r="K96" s="6"/>
      <c r="L96" s="6"/>
      <c r="M96" s="6"/>
      <c r="N96" s="6"/>
      <c r="O96" s="6"/>
      <c r="P96" s="6"/>
      <c r="Q96" s="6"/>
      <c r="R96" s="6"/>
      <c r="S96" s="6"/>
      <c r="T96" s="6"/>
      <c r="U96" s="6"/>
      <c r="V96" s="6"/>
      <c r="W96" s="6"/>
      <c r="X96" s="6"/>
      <c r="Y96" s="6"/>
      <c r="Z96" s="6"/>
    </row>
    <row r="97" spans="1:26" ht="15.75" customHeight="1" x14ac:dyDescent="0.25">
      <c r="A97" s="64"/>
      <c r="B97" s="6"/>
      <c r="C97" s="6"/>
      <c r="D97" s="65"/>
      <c r="E97" s="6"/>
      <c r="F97" s="6"/>
      <c r="G97" s="6"/>
      <c r="H97" s="6"/>
      <c r="I97" s="6"/>
      <c r="J97" s="6"/>
      <c r="K97" s="6"/>
      <c r="L97" s="6"/>
      <c r="M97" s="6"/>
      <c r="N97" s="6"/>
      <c r="O97" s="6"/>
      <c r="P97" s="6"/>
      <c r="Q97" s="6"/>
      <c r="R97" s="6"/>
      <c r="S97" s="6"/>
      <c r="T97" s="6"/>
      <c r="U97" s="6"/>
      <c r="V97" s="6"/>
      <c r="W97" s="6"/>
      <c r="X97" s="6"/>
      <c r="Y97" s="6"/>
      <c r="Z97" s="6"/>
    </row>
    <row r="98" spans="1:26" ht="15.75" customHeight="1" x14ac:dyDescent="0.25">
      <c r="A98" s="64"/>
      <c r="B98" s="6"/>
      <c r="C98" s="6"/>
      <c r="D98" s="65"/>
      <c r="E98" s="6"/>
      <c r="F98" s="6"/>
      <c r="G98" s="6"/>
      <c r="H98" s="6"/>
      <c r="I98" s="6"/>
      <c r="J98" s="6"/>
      <c r="K98" s="6"/>
      <c r="L98" s="6"/>
      <c r="M98" s="6"/>
      <c r="N98" s="6"/>
      <c r="O98" s="6"/>
      <c r="P98" s="6"/>
      <c r="Q98" s="6"/>
      <c r="R98" s="6"/>
      <c r="S98" s="6"/>
      <c r="T98" s="6"/>
      <c r="U98" s="6"/>
      <c r="V98" s="6"/>
      <c r="W98" s="6"/>
      <c r="X98" s="6"/>
      <c r="Y98" s="6"/>
      <c r="Z98" s="6"/>
    </row>
    <row r="99" spans="1:26" ht="15.75" customHeight="1" x14ac:dyDescent="0.25">
      <c r="A99" s="64"/>
      <c r="B99" s="6"/>
      <c r="C99" s="6"/>
      <c r="D99" s="65"/>
      <c r="E99" s="6"/>
      <c r="F99" s="6"/>
      <c r="G99" s="6"/>
      <c r="H99" s="6"/>
      <c r="I99" s="6"/>
      <c r="J99" s="6"/>
      <c r="K99" s="6"/>
      <c r="L99" s="6"/>
      <c r="M99" s="6"/>
      <c r="N99" s="6"/>
      <c r="O99" s="6"/>
      <c r="P99" s="6"/>
      <c r="Q99" s="6"/>
      <c r="R99" s="6"/>
      <c r="S99" s="6"/>
      <c r="T99" s="6"/>
      <c r="U99" s="6"/>
      <c r="V99" s="6"/>
      <c r="W99" s="6"/>
      <c r="X99" s="6"/>
      <c r="Y99" s="6"/>
      <c r="Z99" s="6"/>
    </row>
    <row r="100" spans="1:26" ht="15.75" customHeight="1" x14ac:dyDescent="0.25">
      <c r="A100" s="64"/>
      <c r="B100" s="6"/>
      <c r="C100" s="6"/>
      <c r="D100" s="65"/>
      <c r="E100" s="6"/>
      <c r="F100" s="6"/>
      <c r="G100" s="6"/>
      <c r="H100" s="6"/>
      <c r="I100" s="6"/>
      <c r="J100" s="6"/>
      <c r="K100" s="6"/>
      <c r="L100" s="6"/>
      <c r="M100" s="6"/>
      <c r="N100" s="6"/>
      <c r="O100" s="6"/>
      <c r="P100" s="6"/>
      <c r="Q100" s="6"/>
      <c r="R100" s="6"/>
      <c r="S100" s="6"/>
      <c r="T100" s="6"/>
      <c r="U100" s="6"/>
      <c r="V100" s="6"/>
      <c r="W100" s="6"/>
      <c r="X100" s="6"/>
      <c r="Y100" s="6"/>
      <c r="Z100" s="6"/>
    </row>
    <row r="101" spans="1:26" ht="15.75" customHeight="1" x14ac:dyDescent="0.25">
      <c r="A101" s="64"/>
      <c r="B101" s="6"/>
      <c r="C101" s="6"/>
      <c r="D101" s="65"/>
      <c r="E101" s="6"/>
      <c r="F101" s="6"/>
      <c r="G101" s="6"/>
      <c r="H101" s="6"/>
      <c r="I101" s="6"/>
      <c r="J101" s="6"/>
      <c r="K101" s="6"/>
      <c r="L101" s="6"/>
      <c r="M101" s="6"/>
      <c r="N101" s="6"/>
      <c r="O101" s="6"/>
      <c r="P101" s="6"/>
      <c r="Q101" s="6"/>
      <c r="R101" s="6"/>
      <c r="S101" s="6"/>
      <c r="T101" s="6"/>
      <c r="U101" s="6"/>
      <c r="V101" s="6"/>
      <c r="W101" s="6"/>
      <c r="X101" s="6"/>
      <c r="Y101" s="6"/>
      <c r="Z101" s="6"/>
    </row>
    <row r="102" spans="1:26" ht="15.75" customHeight="1" x14ac:dyDescent="0.25">
      <c r="A102" s="64"/>
      <c r="B102" s="6"/>
      <c r="C102" s="6"/>
      <c r="D102" s="65"/>
      <c r="E102" s="6"/>
      <c r="F102" s="6"/>
      <c r="G102" s="6"/>
      <c r="H102" s="6"/>
      <c r="I102" s="6"/>
      <c r="J102" s="6"/>
      <c r="K102" s="6"/>
      <c r="L102" s="6"/>
      <c r="M102" s="6"/>
      <c r="N102" s="6"/>
      <c r="O102" s="6"/>
      <c r="P102" s="6"/>
      <c r="Q102" s="6"/>
      <c r="R102" s="6"/>
      <c r="S102" s="6"/>
      <c r="T102" s="6"/>
      <c r="U102" s="6"/>
      <c r="V102" s="6"/>
      <c r="W102" s="6"/>
      <c r="X102" s="6"/>
      <c r="Y102" s="6"/>
      <c r="Z102" s="6"/>
    </row>
    <row r="103" spans="1:26" ht="15.75" customHeight="1" x14ac:dyDescent="0.25">
      <c r="A103" s="64"/>
      <c r="B103" s="6"/>
      <c r="C103" s="6"/>
      <c r="D103" s="65"/>
      <c r="E103" s="6"/>
      <c r="F103" s="6"/>
      <c r="G103" s="6"/>
      <c r="H103" s="6"/>
      <c r="I103" s="6"/>
      <c r="J103" s="6"/>
      <c r="K103" s="6"/>
      <c r="L103" s="6"/>
      <c r="M103" s="6"/>
      <c r="N103" s="6"/>
      <c r="O103" s="6"/>
      <c r="P103" s="6"/>
      <c r="Q103" s="6"/>
      <c r="R103" s="6"/>
      <c r="S103" s="6"/>
      <c r="T103" s="6"/>
      <c r="U103" s="6"/>
      <c r="V103" s="6"/>
      <c r="W103" s="6"/>
      <c r="X103" s="6"/>
      <c r="Y103" s="6"/>
      <c r="Z103" s="6"/>
    </row>
    <row r="104" spans="1:26" ht="15.75" customHeight="1" x14ac:dyDescent="0.25">
      <c r="A104" s="64"/>
      <c r="B104" s="6"/>
      <c r="C104" s="6"/>
      <c r="D104" s="65"/>
      <c r="E104" s="6"/>
      <c r="F104" s="6"/>
      <c r="G104" s="6"/>
      <c r="H104" s="6"/>
      <c r="I104" s="6"/>
      <c r="J104" s="6"/>
      <c r="K104" s="6"/>
      <c r="L104" s="6"/>
      <c r="M104" s="6"/>
      <c r="N104" s="6"/>
      <c r="O104" s="6"/>
      <c r="P104" s="6"/>
      <c r="Q104" s="6"/>
      <c r="R104" s="6"/>
      <c r="S104" s="6"/>
      <c r="T104" s="6"/>
      <c r="U104" s="6"/>
      <c r="V104" s="6"/>
      <c r="W104" s="6"/>
      <c r="X104" s="6"/>
      <c r="Y104" s="6"/>
      <c r="Z104" s="6"/>
    </row>
    <row r="105" spans="1:26" ht="15.75" customHeight="1" x14ac:dyDescent="0.25">
      <c r="A105" s="64"/>
      <c r="B105" s="6"/>
      <c r="C105" s="6"/>
      <c r="D105" s="65"/>
      <c r="E105" s="6"/>
      <c r="F105" s="6"/>
      <c r="G105" s="6"/>
      <c r="H105" s="6"/>
      <c r="I105" s="6"/>
      <c r="J105" s="6"/>
      <c r="K105" s="6"/>
      <c r="L105" s="6"/>
      <c r="M105" s="6"/>
      <c r="N105" s="6"/>
      <c r="O105" s="6"/>
      <c r="P105" s="6"/>
      <c r="Q105" s="6"/>
      <c r="R105" s="6"/>
      <c r="S105" s="6"/>
      <c r="T105" s="6"/>
      <c r="U105" s="6"/>
      <c r="V105" s="6"/>
      <c r="W105" s="6"/>
      <c r="X105" s="6"/>
      <c r="Y105" s="6"/>
      <c r="Z105" s="6"/>
    </row>
    <row r="106" spans="1:26" ht="15.75" customHeight="1" x14ac:dyDescent="0.25">
      <c r="A106" s="64"/>
      <c r="B106" s="6"/>
      <c r="C106" s="6"/>
      <c r="D106" s="65"/>
      <c r="E106" s="6"/>
      <c r="F106" s="6"/>
      <c r="G106" s="6"/>
      <c r="H106" s="6"/>
      <c r="I106" s="6"/>
      <c r="J106" s="6"/>
      <c r="K106" s="6"/>
      <c r="L106" s="6"/>
      <c r="M106" s="6"/>
      <c r="N106" s="6"/>
      <c r="O106" s="6"/>
      <c r="P106" s="6"/>
      <c r="Q106" s="6"/>
      <c r="R106" s="6"/>
      <c r="S106" s="6"/>
      <c r="T106" s="6"/>
      <c r="U106" s="6"/>
      <c r="V106" s="6"/>
      <c r="W106" s="6"/>
      <c r="X106" s="6"/>
      <c r="Y106" s="6"/>
      <c r="Z106" s="6"/>
    </row>
    <row r="107" spans="1:26" ht="15.75" customHeight="1" x14ac:dyDescent="0.25">
      <c r="A107" s="64"/>
      <c r="B107" s="6"/>
      <c r="C107" s="6"/>
      <c r="D107" s="65"/>
      <c r="E107" s="6"/>
      <c r="F107" s="6"/>
      <c r="G107" s="6"/>
      <c r="H107" s="6"/>
      <c r="I107" s="6"/>
      <c r="J107" s="6"/>
      <c r="K107" s="6"/>
      <c r="L107" s="6"/>
      <c r="M107" s="6"/>
      <c r="N107" s="6"/>
      <c r="O107" s="6"/>
      <c r="P107" s="6"/>
      <c r="Q107" s="6"/>
      <c r="R107" s="6"/>
      <c r="S107" s="6"/>
      <c r="T107" s="6"/>
      <c r="U107" s="6"/>
      <c r="V107" s="6"/>
      <c r="W107" s="6"/>
      <c r="X107" s="6"/>
      <c r="Y107" s="6"/>
      <c r="Z107" s="6"/>
    </row>
    <row r="108" spans="1:26" ht="15.75" customHeight="1" x14ac:dyDescent="0.25">
      <c r="A108" s="64"/>
      <c r="B108" s="6"/>
      <c r="C108" s="6"/>
      <c r="D108" s="65"/>
      <c r="E108" s="6"/>
      <c r="F108" s="6"/>
      <c r="G108" s="6"/>
      <c r="H108" s="6"/>
      <c r="I108" s="6"/>
      <c r="J108" s="6"/>
      <c r="K108" s="6"/>
      <c r="L108" s="6"/>
      <c r="M108" s="6"/>
      <c r="N108" s="6"/>
      <c r="O108" s="6"/>
      <c r="P108" s="6"/>
      <c r="Q108" s="6"/>
      <c r="R108" s="6"/>
      <c r="S108" s="6"/>
      <c r="T108" s="6"/>
      <c r="U108" s="6"/>
      <c r="V108" s="6"/>
      <c r="W108" s="6"/>
      <c r="X108" s="6"/>
      <c r="Y108" s="6"/>
      <c r="Z108" s="6"/>
    </row>
    <row r="109" spans="1:26" ht="15.75" customHeight="1" x14ac:dyDescent="0.25">
      <c r="A109" s="64"/>
      <c r="B109" s="6"/>
      <c r="C109" s="6"/>
      <c r="D109" s="65"/>
      <c r="E109" s="6"/>
      <c r="F109" s="6"/>
      <c r="G109" s="6"/>
      <c r="H109" s="6"/>
      <c r="I109" s="6"/>
      <c r="J109" s="6"/>
      <c r="K109" s="6"/>
      <c r="L109" s="6"/>
      <c r="M109" s="6"/>
      <c r="N109" s="6"/>
      <c r="O109" s="6"/>
      <c r="P109" s="6"/>
      <c r="Q109" s="6"/>
      <c r="R109" s="6"/>
      <c r="S109" s="6"/>
      <c r="T109" s="6"/>
      <c r="U109" s="6"/>
      <c r="V109" s="6"/>
      <c r="W109" s="6"/>
      <c r="X109" s="6"/>
      <c r="Y109" s="6"/>
      <c r="Z109" s="6"/>
    </row>
    <row r="110" spans="1:26" ht="15.75" customHeight="1" x14ac:dyDescent="0.25">
      <c r="A110" s="64"/>
      <c r="B110" s="6"/>
      <c r="C110" s="6"/>
      <c r="D110" s="65"/>
      <c r="E110" s="6"/>
      <c r="F110" s="6"/>
      <c r="G110" s="6"/>
      <c r="H110" s="6"/>
      <c r="I110" s="6"/>
      <c r="J110" s="6"/>
      <c r="K110" s="6"/>
      <c r="L110" s="6"/>
      <c r="M110" s="6"/>
      <c r="N110" s="6"/>
      <c r="O110" s="6"/>
      <c r="P110" s="6"/>
      <c r="Q110" s="6"/>
      <c r="R110" s="6"/>
      <c r="S110" s="6"/>
      <c r="T110" s="6"/>
      <c r="U110" s="6"/>
      <c r="V110" s="6"/>
      <c r="W110" s="6"/>
      <c r="X110" s="6"/>
      <c r="Y110" s="6"/>
      <c r="Z110" s="6"/>
    </row>
    <row r="111" spans="1:26" ht="15.75" customHeight="1" x14ac:dyDescent="0.25">
      <c r="A111" s="64"/>
      <c r="B111" s="6"/>
      <c r="C111" s="6"/>
      <c r="D111" s="65"/>
      <c r="E111" s="6"/>
      <c r="F111" s="6"/>
      <c r="G111" s="6"/>
      <c r="H111" s="6"/>
      <c r="I111" s="6"/>
      <c r="J111" s="6"/>
      <c r="K111" s="6"/>
      <c r="L111" s="6"/>
      <c r="M111" s="6"/>
      <c r="N111" s="6"/>
      <c r="O111" s="6"/>
      <c r="P111" s="6"/>
      <c r="Q111" s="6"/>
      <c r="R111" s="6"/>
      <c r="S111" s="6"/>
      <c r="T111" s="6"/>
      <c r="U111" s="6"/>
      <c r="V111" s="6"/>
      <c r="W111" s="6"/>
      <c r="X111" s="6"/>
      <c r="Y111" s="6"/>
      <c r="Z111" s="6"/>
    </row>
    <row r="112" spans="1:26" ht="15.75" customHeight="1" x14ac:dyDescent="0.25">
      <c r="A112" s="64"/>
      <c r="B112" s="6"/>
      <c r="C112" s="6"/>
      <c r="D112" s="65"/>
      <c r="E112" s="6"/>
      <c r="F112" s="6"/>
      <c r="G112" s="6"/>
      <c r="H112" s="6"/>
      <c r="I112" s="6"/>
      <c r="J112" s="6"/>
      <c r="K112" s="6"/>
      <c r="L112" s="6"/>
      <c r="M112" s="6"/>
      <c r="N112" s="6"/>
      <c r="O112" s="6"/>
      <c r="P112" s="6"/>
      <c r="Q112" s="6"/>
      <c r="R112" s="6"/>
      <c r="S112" s="6"/>
      <c r="T112" s="6"/>
      <c r="U112" s="6"/>
      <c r="V112" s="6"/>
      <c r="W112" s="6"/>
      <c r="X112" s="6"/>
      <c r="Y112" s="6"/>
      <c r="Z112" s="6"/>
    </row>
    <row r="113" spans="1:26" ht="15.75" customHeight="1" x14ac:dyDescent="0.25">
      <c r="A113" s="64"/>
      <c r="B113" s="6"/>
      <c r="C113" s="6"/>
      <c r="D113" s="65"/>
      <c r="E113" s="6"/>
      <c r="F113" s="6"/>
      <c r="G113" s="6"/>
      <c r="H113" s="6"/>
      <c r="I113" s="6"/>
      <c r="J113" s="6"/>
      <c r="K113" s="6"/>
      <c r="L113" s="6"/>
      <c r="M113" s="6"/>
      <c r="N113" s="6"/>
      <c r="O113" s="6"/>
      <c r="P113" s="6"/>
      <c r="Q113" s="6"/>
      <c r="R113" s="6"/>
      <c r="S113" s="6"/>
      <c r="T113" s="6"/>
      <c r="U113" s="6"/>
      <c r="V113" s="6"/>
      <c r="W113" s="6"/>
      <c r="X113" s="6"/>
      <c r="Y113" s="6"/>
      <c r="Z113" s="6"/>
    </row>
    <row r="114" spans="1:26" ht="15.75" customHeight="1" x14ac:dyDescent="0.25">
      <c r="A114" s="64"/>
      <c r="B114" s="6"/>
      <c r="C114" s="6"/>
      <c r="D114" s="65"/>
      <c r="E114" s="6"/>
      <c r="F114" s="6"/>
      <c r="G114" s="6"/>
      <c r="H114" s="6"/>
      <c r="I114" s="6"/>
      <c r="J114" s="6"/>
      <c r="K114" s="6"/>
      <c r="L114" s="6"/>
      <c r="M114" s="6"/>
      <c r="N114" s="6"/>
      <c r="O114" s="6"/>
      <c r="P114" s="6"/>
      <c r="Q114" s="6"/>
      <c r="R114" s="6"/>
      <c r="S114" s="6"/>
      <c r="T114" s="6"/>
      <c r="U114" s="6"/>
      <c r="V114" s="6"/>
      <c r="W114" s="6"/>
      <c r="X114" s="6"/>
      <c r="Y114" s="6"/>
      <c r="Z114" s="6"/>
    </row>
    <row r="115" spans="1:26" ht="15.75" customHeight="1" x14ac:dyDescent="0.25">
      <c r="A115" s="64"/>
      <c r="B115" s="6"/>
      <c r="C115" s="6"/>
      <c r="D115" s="65"/>
      <c r="E115" s="6"/>
      <c r="F115" s="6"/>
      <c r="G115" s="6"/>
      <c r="H115" s="6"/>
      <c r="I115" s="6"/>
      <c r="J115" s="6"/>
      <c r="K115" s="6"/>
      <c r="L115" s="6"/>
      <c r="M115" s="6"/>
      <c r="N115" s="6"/>
      <c r="O115" s="6"/>
      <c r="P115" s="6"/>
      <c r="Q115" s="6"/>
      <c r="R115" s="6"/>
      <c r="S115" s="6"/>
      <c r="T115" s="6"/>
      <c r="U115" s="6"/>
      <c r="V115" s="6"/>
      <c r="W115" s="6"/>
      <c r="X115" s="6"/>
      <c r="Y115" s="6"/>
      <c r="Z115" s="6"/>
    </row>
    <row r="116" spans="1:26" ht="15.75" customHeight="1" x14ac:dyDescent="0.25">
      <c r="A116" s="64"/>
      <c r="B116" s="6"/>
      <c r="C116" s="6"/>
      <c r="D116" s="65"/>
      <c r="E116" s="6"/>
      <c r="F116" s="6"/>
      <c r="G116" s="6"/>
      <c r="H116" s="6"/>
      <c r="I116" s="6"/>
      <c r="J116" s="6"/>
      <c r="K116" s="6"/>
      <c r="L116" s="6"/>
      <c r="M116" s="6"/>
      <c r="N116" s="6"/>
      <c r="O116" s="6"/>
      <c r="P116" s="6"/>
      <c r="Q116" s="6"/>
      <c r="R116" s="6"/>
      <c r="S116" s="6"/>
      <c r="T116" s="6"/>
      <c r="U116" s="6"/>
      <c r="V116" s="6"/>
      <c r="W116" s="6"/>
      <c r="X116" s="6"/>
      <c r="Y116" s="6"/>
      <c r="Z116" s="6"/>
    </row>
    <row r="117" spans="1:26" ht="15.75" customHeight="1" x14ac:dyDescent="0.25">
      <c r="A117" s="64"/>
      <c r="B117" s="6"/>
      <c r="C117" s="6"/>
      <c r="D117" s="65"/>
      <c r="E117" s="6"/>
      <c r="F117" s="6"/>
      <c r="G117" s="6"/>
      <c r="H117" s="6"/>
      <c r="I117" s="6"/>
      <c r="J117" s="6"/>
      <c r="K117" s="6"/>
      <c r="L117" s="6"/>
      <c r="M117" s="6"/>
      <c r="N117" s="6"/>
      <c r="O117" s="6"/>
      <c r="P117" s="6"/>
      <c r="Q117" s="6"/>
      <c r="R117" s="6"/>
      <c r="S117" s="6"/>
      <c r="T117" s="6"/>
      <c r="U117" s="6"/>
      <c r="V117" s="6"/>
      <c r="W117" s="6"/>
      <c r="X117" s="6"/>
      <c r="Y117" s="6"/>
      <c r="Z117" s="6"/>
    </row>
    <row r="118" spans="1:26" ht="15.75" customHeight="1" x14ac:dyDescent="0.25">
      <c r="A118" s="64"/>
      <c r="B118" s="6"/>
      <c r="C118" s="6"/>
      <c r="D118" s="65"/>
      <c r="E118" s="6"/>
      <c r="F118" s="6"/>
      <c r="G118" s="6"/>
      <c r="H118" s="6"/>
      <c r="I118" s="6"/>
      <c r="J118" s="6"/>
      <c r="K118" s="6"/>
      <c r="L118" s="6"/>
      <c r="M118" s="6"/>
      <c r="N118" s="6"/>
      <c r="O118" s="6"/>
      <c r="P118" s="6"/>
      <c r="Q118" s="6"/>
      <c r="R118" s="6"/>
      <c r="S118" s="6"/>
      <c r="T118" s="6"/>
      <c r="U118" s="6"/>
      <c r="V118" s="6"/>
      <c r="W118" s="6"/>
      <c r="X118" s="6"/>
      <c r="Y118" s="6"/>
      <c r="Z118" s="6"/>
    </row>
    <row r="119" spans="1:26" ht="15.75" customHeight="1" x14ac:dyDescent="0.25">
      <c r="A119" s="64"/>
      <c r="B119" s="6"/>
      <c r="C119" s="6"/>
      <c r="D119" s="65"/>
      <c r="E119" s="6"/>
      <c r="F119" s="6"/>
      <c r="G119" s="6"/>
      <c r="H119" s="6"/>
      <c r="I119" s="6"/>
      <c r="J119" s="6"/>
      <c r="K119" s="6"/>
      <c r="L119" s="6"/>
      <c r="M119" s="6"/>
      <c r="N119" s="6"/>
      <c r="O119" s="6"/>
      <c r="P119" s="6"/>
      <c r="Q119" s="6"/>
      <c r="R119" s="6"/>
      <c r="S119" s="6"/>
      <c r="T119" s="6"/>
      <c r="U119" s="6"/>
      <c r="V119" s="6"/>
      <c r="W119" s="6"/>
      <c r="X119" s="6"/>
      <c r="Y119" s="6"/>
      <c r="Z119" s="6"/>
    </row>
    <row r="120" spans="1:26" ht="15.75" customHeight="1" x14ac:dyDescent="0.25">
      <c r="A120" s="64"/>
      <c r="B120" s="6"/>
      <c r="C120" s="6"/>
      <c r="D120" s="65"/>
      <c r="E120" s="6"/>
      <c r="F120" s="6"/>
      <c r="G120" s="6"/>
      <c r="H120" s="6"/>
      <c r="I120" s="6"/>
      <c r="J120" s="6"/>
      <c r="K120" s="6"/>
      <c r="L120" s="6"/>
      <c r="M120" s="6"/>
      <c r="N120" s="6"/>
      <c r="O120" s="6"/>
      <c r="P120" s="6"/>
      <c r="Q120" s="6"/>
      <c r="R120" s="6"/>
      <c r="S120" s="6"/>
      <c r="T120" s="6"/>
      <c r="U120" s="6"/>
      <c r="V120" s="6"/>
      <c r="W120" s="6"/>
      <c r="X120" s="6"/>
      <c r="Y120" s="6"/>
      <c r="Z120" s="6"/>
    </row>
    <row r="121" spans="1:26" ht="15.75" customHeight="1" x14ac:dyDescent="0.25">
      <c r="A121" s="64"/>
      <c r="B121" s="6"/>
      <c r="C121" s="6"/>
      <c r="D121" s="65"/>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x14ac:dyDescent="0.25">
      <c r="A122" s="64"/>
      <c r="B122" s="6"/>
      <c r="C122" s="6"/>
      <c r="D122" s="65"/>
      <c r="E122" s="6"/>
      <c r="F122" s="6"/>
      <c r="G122" s="6"/>
      <c r="H122" s="6"/>
      <c r="I122" s="6"/>
      <c r="J122" s="6"/>
      <c r="K122" s="6"/>
      <c r="L122" s="6"/>
      <c r="M122" s="6"/>
      <c r="N122" s="6"/>
      <c r="O122" s="6"/>
      <c r="P122" s="6"/>
      <c r="Q122" s="6"/>
      <c r="R122" s="6"/>
      <c r="S122" s="6"/>
      <c r="T122" s="6"/>
      <c r="U122" s="6"/>
      <c r="V122" s="6"/>
      <c r="W122" s="6"/>
      <c r="X122" s="6"/>
      <c r="Y122" s="6"/>
      <c r="Z122" s="6"/>
    </row>
    <row r="123" spans="1:26" ht="15.75" customHeight="1" x14ac:dyDescent="0.25">
      <c r="A123" s="64"/>
      <c r="B123" s="6"/>
      <c r="C123" s="6"/>
      <c r="D123" s="65"/>
      <c r="E123" s="6"/>
      <c r="F123" s="6"/>
      <c r="G123" s="6"/>
      <c r="H123" s="6"/>
      <c r="I123" s="6"/>
      <c r="J123" s="6"/>
      <c r="K123" s="6"/>
      <c r="L123" s="6"/>
      <c r="M123" s="6"/>
      <c r="N123" s="6"/>
      <c r="O123" s="6"/>
      <c r="P123" s="6"/>
      <c r="Q123" s="6"/>
      <c r="R123" s="6"/>
      <c r="S123" s="6"/>
      <c r="T123" s="6"/>
      <c r="U123" s="6"/>
      <c r="V123" s="6"/>
      <c r="W123" s="6"/>
      <c r="X123" s="6"/>
      <c r="Y123" s="6"/>
      <c r="Z123" s="6"/>
    </row>
    <row r="124" spans="1:26" ht="15.75" customHeight="1" x14ac:dyDescent="0.25">
      <c r="A124" s="64"/>
      <c r="B124" s="6"/>
      <c r="C124" s="6"/>
      <c r="D124" s="65"/>
      <c r="E124" s="6"/>
      <c r="F124" s="6"/>
      <c r="G124" s="6"/>
      <c r="H124" s="6"/>
      <c r="I124" s="6"/>
      <c r="J124" s="6"/>
      <c r="K124" s="6"/>
      <c r="L124" s="6"/>
      <c r="M124" s="6"/>
      <c r="N124" s="6"/>
      <c r="O124" s="6"/>
      <c r="P124" s="6"/>
      <c r="Q124" s="6"/>
      <c r="R124" s="6"/>
      <c r="S124" s="6"/>
      <c r="T124" s="6"/>
      <c r="U124" s="6"/>
      <c r="V124" s="6"/>
      <c r="W124" s="6"/>
      <c r="X124" s="6"/>
      <c r="Y124" s="6"/>
      <c r="Z124" s="6"/>
    </row>
    <row r="125" spans="1:26" ht="15.75" customHeight="1" x14ac:dyDescent="0.25">
      <c r="A125" s="64"/>
      <c r="B125" s="6"/>
      <c r="C125" s="6"/>
      <c r="D125" s="65"/>
      <c r="E125" s="6"/>
      <c r="F125" s="6"/>
      <c r="G125" s="6"/>
      <c r="H125" s="6"/>
      <c r="I125" s="6"/>
      <c r="J125" s="6"/>
      <c r="K125" s="6"/>
      <c r="L125" s="6"/>
      <c r="M125" s="6"/>
      <c r="N125" s="6"/>
      <c r="O125" s="6"/>
      <c r="P125" s="6"/>
      <c r="Q125" s="6"/>
      <c r="R125" s="6"/>
      <c r="S125" s="6"/>
      <c r="T125" s="6"/>
      <c r="U125" s="6"/>
      <c r="V125" s="6"/>
      <c r="W125" s="6"/>
      <c r="X125" s="6"/>
      <c r="Y125" s="6"/>
      <c r="Z125" s="6"/>
    </row>
    <row r="126" spans="1:26" ht="15.75" customHeight="1" x14ac:dyDescent="0.25">
      <c r="A126" s="64"/>
      <c r="B126" s="6"/>
      <c r="C126" s="6"/>
      <c r="D126" s="65"/>
      <c r="E126" s="6"/>
      <c r="F126" s="6"/>
      <c r="G126" s="6"/>
      <c r="H126" s="6"/>
      <c r="I126" s="6"/>
      <c r="J126" s="6"/>
      <c r="K126" s="6"/>
      <c r="L126" s="6"/>
      <c r="M126" s="6"/>
      <c r="N126" s="6"/>
      <c r="O126" s="6"/>
      <c r="P126" s="6"/>
      <c r="Q126" s="6"/>
      <c r="R126" s="6"/>
      <c r="S126" s="6"/>
      <c r="T126" s="6"/>
      <c r="U126" s="6"/>
      <c r="V126" s="6"/>
      <c r="W126" s="6"/>
      <c r="X126" s="6"/>
      <c r="Y126" s="6"/>
      <c r="Z126" s="6"/>
    </row>
    <row r="127" spans="1:26" ht="15.75" customHeight="1" x14ac:dyDescent="0.25">
      <c r="A127" s="64"/>
      <c r="B127" s="6"/>
      <c r="C127" s="6"/>
      <c r="D127" s="65"/>
      <c r="E127" s="6"/>
      <c r="F127" s="6"/>
      <c r="G127" s="6"/>
      <c r="H127" s="6"/>
      <c r="I127" s="6"/>
      <c r="J127" s="6"/>
      <c r="K127" s="6"/>
      <c r="L127" s="6"/>
      <c r="M127" s="6"/>
      <c r="N127" s="6"/>
      <c r="O127" s="6"/>
      <c r="P127" s="6"/>
      <c r="Q127" s="6"/>
      <c r="R127" s="6"/>
      <c r="S127" s="6"/>
      <c r="T127" s="6"/>
      <c r="U127" s="6"/>
      <c r="V127" s="6"/>
      <c r="W127" s="6"/>
      <c r="X127" s="6"/>
      <c r="Y127" s="6"/>
      <c r="Z127" s="6"/>
    </row>
    <row r="128" spans="1:26" ht="15.75" customHeight="1" x14ac:dyDescent="0.25">
      <c r="A128" s="64"/>
      <c r="B128" s="6"/>
      <c r="C128" s="6"/>
      <c r="D128" s="65"/>
      <c r="E128" s="6"/>
      <c r="F128" s="6"/>
      <c r="G128" s="6"/>
      <c r="H128" s="6"/>
      <c r="I128" s="6"/>
      <c r="J128" s="6"/>
      <c r="K128" s="6"/>
      <c r="L128" s="6"/>
      <c r="M128" s="6"/>
      <c r="N128" s="6"/>
      <c r="O128" s="6"/>
      <c r="P128" s="6"/>
      <c r="Q128" s="6"/>
      <c r="R128" s="6"/>
      <c r="S128" s="6"/>
      <c r="T128" s="6"/>
      <c r="U128" s="6"/>
      <c r="V128" s="6"/>
      <c r="W128" s="6"/>
      <c r="X128" s="6"/>
      <c r="Y128" s="6"/>
      <c r="Z128" s="6"/>
    </row>
    <row r="129" spans="1:26" ht="15.75" customHeight="1" x14ac:dyDescent="0.25">
      <c r="A129" s="64"/>
      <c r="B129" s="6"/>
      <c r="C129" s="6"/>
      <c r="D129" s="65"/>
      <c r="E129" s="6"/>
      <c r="F129" s="6"/>
      <c r="G129" s="6"/>
      <c r="H129" s="6"/>
      <c r="I129" s="6"/>
      <c r="J129" s="6"/>
      <c r="K129" s="6"/>
      <c r="L129" s="6"/>
      <c r="M129" s="6"/>
      <c r="N129" s="6"/>
      <c r="O129" s="6"/>
      <c r="P129" s="6"/>
      <c r="Q129" s="6"/>
      <c r="R129" s="6"/>
      <c r="S129" s="6"/>
      <c r="T129" s="6"/>
      <c r="U129" s="6"/>
      <c r="V129" s="6"/>
      <c r="W129" s="6"/>
      <c r="X129" s="6"/>
      <c r="Y129" s="6"/>
      <c r="Z129" s="6"/>
    </row>
    <row r="130" spans="1:26" ht="15.75" customHeight="1" x14ac:dyDescent="0.25">
      <c r="A130" s="64"/>
      <c r="B130" s="6"/>
      <c r="C130" s="6"/>
      <c r="D130" s="65"/>
      <c r="E130" s="6"/>
      <c r="F130" s="6"/>
      <c r="G130" s="6"/>
      <c r="H130" s="6"/>
      <c r="I130" s="6"/>
      <c r="J130" s="6"/>
      <c r="K130" s="6"/>
      <c r="L130" s="6"/>
      <c r="M130" s="6"/>
      <c r="N130" s="6"/>
      <c r="O130" s="6"/>
      <c r="P130" s="6"/>
      <c r="Q130" s="6"/>
      <c r="R130" s="6"/>
      <c r="S130" s="6"/>
      <c r="T130" s="6"/>
      <c r="U130" s="6"/>
      <c r="V130" s="6"/>
      <c r="W130" s="6"/>
      <c r="X130" s="6"/>
      <c r="Y130" s="6"/>
      <c r="Z130" s="6"/>
    </row>
    <row r="131" spans="1:26" ht="15.75" customHeight="1" x14ac:dyDescent="0.25">
      <c r="A131" s="64"/>
      <c r="B131" s="6"/>
      <c r="C131" s="6"/>
      <c r="D131" s="65"/>
      <c r="E131" s="6"/>
      <c r="F131" s="6"/>
      <c r="G131" s="6"/>
      <c r="H131" s="6"/>
      <c r="I131" s="6"/>
      <c r="J131" s="6"/>
      <c r="K131" s="6"/>
      <c r="L131" s="6"/>
      <c r="M131" s="6"/>
      <c r="N131" s="6"/>
      <c r="O131" s="6"/>
      <c r="P131" s="6"/>
      <c r="Q131" s="6"/>
      <c r="R131" s="6"/>
      <c r="S131" s="6"/>
      <c r="T131" s="6"/>
      <c r="U131" s="6"/>
      <c r="V131" s="6"/>
      <c r="W131" s="6"/>
      <c r="X131" s="6"/>
      <c r="Y131" s="6"/>
      <c r="Z131" s="6"/>
    </row>
    <row r="132" spans="1:26" ht="15.75" customHeight="1" x14ac:dyDescent="0.25">
      <c r="A132" s="64"/>
      <c r="B132" s="6"/>
      <c r="C132" s="6"/>
      <c r="D132" s="65"/>
      <c r="E132" s="6"/>
      <c r="F132" s="6"/>
      <c r="G132" s="6"/>
      <c r="H132" s="6"/>
      <c r="I132" s="6"/>
      <c r="J132" s="6"/>
      <c r="K132" s="6"/>
      <c r="L132" s="6"/>
      <c r="M132" s="6"/>
      <c r="N132" s="6"/>
      <c r="O132" s="6"/>
      <c r="P132" s="6"/>
      <c r="Q132" s="6"/>
      <c r="R132" s="6"/>
      <c r="S132" s="6"/>
      <c r="T132" s="6"/>
      <c r="U132" s="6"/>
      <c r="V132" s="6"/>
      <c r="W132" s="6"/>
      <c r="X132" s="6"/>
      <c r="Y132" s="6"/>
      <c r="Z132" s="6"/>
    </row>
    <row r="133" spans="1:26" ht="15.75" customHeight="1" x14ac:dyDescent="0.25">
      <c r="A133" s="64"/>
      <c r="B133" s="6"/>
      <c r="C133" s="6"/>
      <c r="D133" s="65"/>
      <c r="E133" s="6"/>
      <c r="F133" s="6"/>
      <c r="G133" s="6"/>
      <c r="H133" s="6"/>
      <c r="I133" s="6"/>
      <c r="J133" s="6"/>
      <c r="K133" s="6"/>
      <c r="L133" s="6"/>
      <c r="M133" s="6"/>
      <c r="N133" s="6"/>
      <c r="O133" s="6"/>
      <c r="P133" s="6"/>
      <c r="Q133" s="6"/>
      <c r="R133" s="6"/>
      <c r="S133" s="6"/>
      <c r="T133" s="6"/>
      <c r="U133" s="6"/>
      <c r="V133" s="6"/>
      <c r="W133" s="6"/>
      <c r="X133" s="6"/>
      <c r="Y133" s="6"/>
      <c r="Z133" s="6"/>
    </row>
    <row r="134" spans="1:26" ht="15.75" customHeight="1" x14ac:dyDescent="0.25">
      <c r="A134" s="64"/>
      <c r="B134" s="6"/>
      <c r="C134" s="6"/>
      <c r="D134" s="65"/>
      <c r="E134" s="6"/>
      <c r="F134" s="6"/>
      <c r="G134" s="6"/>
      <c r="H134" s="6"/>
      <c r="I134" s="6"/>
      <c r="J134" s="6"/>
      <c r="K134" s="6"/>
      <c r="L134" s="6"/>
      <c r="M134" s="6"/>
      <c r="N134" s="6"/>
      <c r="O134" s="6"/>
      <c r="P134" s="6"/>
      <c r="Q134" s="6"/>
      <c r="R134" s="6"/>
      <c r="S134" s="6"/>
      <c r="T134" s="6"/>
      <c r="U134" s="6"/>
      <c r="V134" s="6"/>
      <c r="W134" s="6"/>
      <c r="X134" s="6"/>
      <c r="Y134" s="6"/>
      <c r="Z134" s="6"/>
    </row>
    <row r="135" spans="1:26" ht="15.75" customHeight="1" x14ac:dyDescent="0.25">
      <c r="A135" s="64"/>
      <c r="B135" s="6"/>
      <c r="C135" s="6"/>
      <c r="D135" s="65"/>
      <c r="E135" s="6"/>
      <c r="F135" s="6"/>
      <c r="G135" s="6"/>
      <c r="H135" s="6"/>
      <c r="I135" s="6"/>
      <c r="J135" s="6"/>
      <c r="K135" s="6"/>
      <c r="L135" s="6"/>
      <c r="M135" s="6"/>
      <c r="N135" s="6"/>
      <c r="O135" s="6"/>
      <c r="P135" s="6"/>
      <c r="Q135" s="6"/>
      <c r="R135" s="6"/>
      <c r="S135" s="6"/>
      <c r="T135" s="6"/>
      <c r="U135" s="6"/>
      <c r="V135" s="6"/>
      <c r="W135" s="6"/>
      <c r="X135" s="6"/>
      <c r="Y135" s="6"/>
      <c r="Z135" s="6"/>
    </row>
    <row r="136" spans="1:26" ht="15.75" customHeight="1" x14ac:dyDescent="0.25">
      <c r="A136" s="64"/>
      <c r="B136" s="6"/>
      <c r="C136" s="6"/>
      <c r="D136" s="65"/>
      <c r="E136" s="6"/>
      <c r="F136" s="6"/>
      <c r="G136" s="6"/>
      <c r="H136" s="6"/>
      <c r="I136" s="6"/>
      <c r="J136" s="6"/>
      <c r="K136" s="6"/>
      <c r="L136" s="6"/>
      <c r="M136" s="6"/>
      <c r="N136" s="6"/>
      <c r="O136" s="6"/>
      <c r="P136" s="6"/>
      <c r="Q136" s="6"/>
      <c r="R136" s="6"/>
      <c r="S136" s="6"/>
      <c r="T136" s="6"/>
      <c r="U136" s="6"/>
      <c r="V136" s="6"/>
      <c r="W136" s="6"/>
      <c r="X136" s="6"/>
      <c r="Y136" s="6"/>
      <c r="Z136" s="6"/>
    </row>
    <row r="137" spans="1:26" ht="15.75" customHeight="1" x14ac:dyDescent="0.25">
      <c r="A137" s="64"/>
      <c r="B137" s="6"/>
      <c r="C137" s="6"/>
      <c r="D137" s="65"/>
      <c r="E137" s="6"/>
      <c r="F137" s="6"/>
      <c r="G137" s="6"/>
      <c r="H137" s="6"/>
      <c r="I137" s="6"/>
      <c r="J137" s="6"/>
      <c r="K137" s="6"/>
      <c r="L137" s="6"/>
      <c r="M137" s="6"/>
      <c r="N137" s="6"/>
      <c r="O137" s="6"/>
      <c r="P137" s="6"/>
      <c r="Q137" s="6"/>
      <c r="R137" s="6"/>
      <c r="S137" s="6"/>
      <c r="T137" s="6"/>
      <c r="U137" s="6"/>
      <c r="V137" s="6"/>
      <c r="W137" s="6"/>
      <c r="X137" s="6"/>
      <c r="Y137" s="6"/>
      <c r="Z137" s="6"/>
    </row>
    <row r="138" spans="1:26" ht="15.75" customHeight="1" x14ac:dyDescent="0.25">
      <c r="A138" s="64"/>
      <c r="B138" s="6"/>
      <c r="C138" s="6"/>
      <c r="D138" s="65"/>
      <c r="E138" s="6"/>
      <c r="F138" s="6"/>
      <c r="G138" s="6"/>
      <c r="H138" s="6"/>
      <c r="I138" s="6"/>
      <c r="J138" s="6"/>
      <c r="K138" s="6"/>
      <c r="L138" s="6"/>
      <c r="M138" s="6"/>
      <c r="N138" s="6"/>
      <c r="O138" s="6"/>
      <c r="P138" s="6"/>
      <c r="Q138" s="6"/>
      <c r="R138" s="6"/>
      <c r="S138" s="6"/>
      <c r="T138" s="6"/>
      <c r="U138" s="6"/>
      <c r="V138" s="6"/>
      <c r="W138" s="6"/>
      <c r="X138" s="6"/>
      <c r="Y138" s="6"/>
      <c r="Z138" s="6"/>
    </row>
    <row r="139" spans="1:26" ht="15.75" customHeight="1" x14ac:dyDescent="0.25">
      <c r="A139" s="64"/>
      <c r="B139" s="6"/>
      <c r="C139" s="6"/>
      <c r="D139" s="65"/>
      <c r="E139" s="6"/>
      <c r="F139" s="6"/>
      <c r="G139" s="6"/>
      <c r="H139" s="6"/>
      <c r="I139" s="6"/>
      <c r="J139" s="6"/>
      <c r="K139" s="6"/>
      <c r="L139" s="6"/>
      <c r="M139" s="6"/>
      <c r="N139" s="6"/>
      <c r="O139" s="6"/>
      <c r="P139" s="6"/>
      <c r="Q139" s="6"/>
      <c r="R139" s="6"/>
      <c r="S139" s="6"/>
      <c r="T139" s="6"/>
      <c r="U139" s="6"/>
      <c r="V139" s="6"/>
      <c r="W139" s="6"/>
      <c r="X139" s="6"/>
      <c r="Y139" s="6"/>
      <c r="Z139" s="6"/>
    </row>
    <row r="140" spans="1:26" ht="15.75" customHeight="1" x14ac:dyDescent="0.25">
      <c r="A140" s="64"/>
      <c r="B140" s="6"/>
      <c r="C140" s="6"/>
      <c r="D140" s="65"/>
      <c r="E140" s="6"/>
      <c r="F140" s="6"/>
      <c r="G140" s="6"/>
      <c r="H140" s="6"/>
      <c r="I140" s="6"/>
      <c r="J140" s="6"/>
      <c r="K140" s="6"/>
      <c r="L140" s="6"/>
      <c r="M140" s="6"/>
      <c r="N140" s="6"/>
      <c r="O140" s="6"/>
      <c r="P140" s="6"/>
      <c r="Q140" s="6"/>
      <c r="R140" s="6"/>
      <c r="S140" s="6"/>
      <c r="T140" s="6"/>
      <c r="U140" s="6"/>
      <c r="V140" s="6"/>
      <c r="W140" s="6"/>
      <c r="X140" s="6"/>
      <c r="Y140" s="6"/>
      <c r="Z140" s="6"/>
    </row>
    <row r="141" spans="1:26" ht="15.75" customHeight="1" x14ac:dyDescent="0.25">
      <c r="A141" s="64"/>
      <c r="B141" s="6"/>
      <c r="C141" s="6"/>
      <c r="D141" s="65"/>
      <c r="E141" s="6"/>
      <c r="F141" s="6"/>
      <c r="G141" s="6"/>
      <c r="H141" s="6"/>
      <c r="I141" s="6"/>
      <c r="J141" s="6"/>
      <c r="K141" s="6"/>
      <c r="L141" s="6"/>
      <c r="M141" s="6"/>
      <c r="N141" s="6"/>
      <c r="O141" s="6"/>
      <c r="P141" s="6"/>
      <c r="Q141" s="6"/>
      <c r="R141" s="6"/>
      <c r="S141" s="6"/>
      <c r="T141" s="6"/>
      <c r="U141" s="6"/>
      <c r="V141" s="6"/>
      <c r="W141" s="6"/>
      <c r="X141" s="6"/>
      <c r="Y141" s="6"/>
      <c r="Z141" s="6"/>
    </row>
    <row r="142" spans="1:26" ht="15.75" customHeight="1" x14ac:dyDescent="0.25">
      <c r="A142" s="64"/>
      <c r="B142" s="6"/>
      <c r="C142" s="6"/>
      <c r="D142" s="65"/>
      <c r="E142" s="6"/>
      <c r="F142" s="6"/>
      <c r="G142" s="6"/>
      <c r="H142" s="6"/>
      <c r="I142" s="6"/>
      <c r="J142" s="6"/>
      <c r="K142" s="6"/>
      <c r="L142" s="6"/>
      <c r="M142" s="6"/>
      <c r="N142" s="6"/>
      <c r="O142" s="6"/>
      <c r="P142" s="6"/>
      <c r="Q142" s="6"/>
      <c r="R142" s="6"/>
      <c r="S142" s="6"/>
      <c r="T142" s="6"/>
      <c r="U142" s="6"/>
      <c r="V142" s="6"/>
      <c r="W142" s="6"/>
      <c r="X142" s="6"/>
      <c r="Y142" s="6"/>
      <c r="Z142" s="6"/>
    </row>
    <row r="143" spans="1:26" ht="15.75" customHeight="1" x14ac:dyDescent="0.25">
      <c r="A143" s="64"/>
      <c r="B143" s="6"/>
      <c r="C143" s="6"/>
      <c r="D143" s="65"/>
      <c r="E143" s="6"/>
      <c r="F143" s="6"/>
      <c r="G143" s="6"/>
      <c r="H143" s="6"/>
      <c r="I143" s="6"/>
      <c r="J143" s="6"/>
      <c r="K143" s="6"/>
      <c r="L143" s="6"/>
      <c r="M143" s="6"/>
      <c r="N143" s="6"/>
      <c r="O143" s="6"/>
      <c r="P143" s="6"/>
      <c r="Q143" s="6"/>
      <c r="R143" s="6"/>
      <c r="S143" s="6"/>
      <c r="T143" s="6"/>
      <c r="U143" s="6"/>
      <c r="V143" s="6"/>
      <c r="W143" s="6"/>
      <c r="X143" s="6"/>
      <c r="Y143" s="6"/>
      <c r="Z143" s="6"/>
    </row>
    <row r="144" spans="1:26" ht="15.75" customHeight="1" x14ac:dyDescent="0.25">
      <c r="A144" s="64"/>
      <c r="B144" s="6"/>
      <c r="C144" s="6"/>
      <c r="D144" s="65"/>
      <c r="E144" s="6"/>
      <c r="F144" s="6"/>
      <c r="G144" s="6"/>
      <c r="H144" s="6"/>
      <c r="I144" s="6"/>
      <c r="J144" s="6"/>
      <c r="K144" s="6"/>
      <c r="L144" s="6"/>
      <c r="M144" s="6"/>
      <c r="N144" s="6"/>
      <c r="O144" s="6"/>
      <c r="P144" s="6"/>
      <c r="Q144" s="6"/>
      <c r="R144" s="6"/>
      <c r="S144" s="6"/>
      <c r="T144" s="6"/>
      <c r="U144" s="6"/>
      <c r="V144" s="6"/>
      <c r="W144" s="6"/>
      <c r="X144" s="6"/>
      <c r="Y144" s="6"/>
      <c r="Z144" s="6"/>
    </row>
    <row r="145" spans="1:26" ht="15.75" customHeight="1" x14ac:dyDescent="0.25">
      <c r="A145" s="64"/>
      <c r="B145" s="6"/>
      <c r="C145" s="6"/>
      <c r="D145" s="65"/>
      <c r="E145" s="6"/>
      <c r="F145" s="6"/>
      <c r="G145" s="6"/>
      <c r="H145" s="6"/>
      <c r="I145" s="6"/>
      <c r="J145" s="6"/>
      <c r="K145" s="6"/>
      <c r="L145" s="6"/>
      <c r="M145" s="6"/>
      <c r="N145" s="6"/>
      <c r="O145" s="6"/>
      <c r="P145" s="6"/>
      <c r="Q145" s="6"/>
      <c r="R145" s="6"/>
      <c r="S145" s="6"/>
      <c r="T145" s="6"/>
      <c r="U145" s="6"/>
      <c r="V145" s="6"/>
      <c r="W145" s="6"/>
      <c r="X145" s="6"/>
      <c r="Y145" s="6"/>
      <c r="Z145" s="6"/>
    </row>
    <row r="146" spans="1:26" ht="15.75" customHeight="1" x14ac:dyDescent="0.25">
      <c r="A146" s="64"/>
      <c r="B146" s="6"/>
      <c r="C146" s="6"/>
      <c r="D146" s="65"/>
      <c r="E146" s="6"/>
      <c r="F146" s="6"/>
      <c r="G146" s="6"/>
      <c r="H146" s="6"/>
      <c r="I146" s="6"/>
      <c r="J146" s="6"/>
      <c r="K146" s="6"/>
      <c r="L146" s="6"/>
      <c r="M146" s="6"/>
      <c r="N146" s="6"/>
      <c r="O146" s="6"/>
      <c r="P146" s="6"/>
      <c r="Q146" s="6"/>
      <c r="R146" s="6"/>
      <c r="S146" s="6"/>
      <c r="T146" s="6"/>
      <c r="U146" s="6"/>
      <c r="V146" s="6"/>
      <c r="W146" s="6"/>
      <c r="X146" s="6"/>
      <c r="Y146" s="6"/>
      <c r="Z146" s="6"/>
    </row>
    <row r="147" spans="1:26" ht="15.75" customHeight="1" x14ac:dyDescent="0.25">
      <c r="A147" s="64"/>
      <c r="B147" s="6"/>
      <c r="C147" s="6"/>
      <c r="D147" s="65"/>
      <c r="E147" s="6"/>
      <c r="F147" s="6"/>
      <c r="G147" s="6"/>
      <c r="H147" s="6"/>
      <c r="I147" s="6"/>
      <c r="J147" s="6"/>
      <c r="K147" s="6"/>
      <c r="L147" s="6"/>
      <c r="M147" s="6"/>
      <c r="N147" s="6"/>
      <c r="O147" s="6"/>
      <c r="P147" s="6"/>
      <c r="Q147" s="6"/>
      <c r="R147" s="6"/>
      <c r="S147" s="6"/>
      <c r="T147" s="6"/>
      <c r="U147" s="6"/>
      <c r="V147" s="6"/>
      <c r="W147" s="6"/>
      <c r="X147" s="6"/>
      <c r="Y147" s="6"/>
      <c r="Z147" s="6"/>
    </row>
    <row r="148" spans="1:26" ht="15.75" customHeight="1" x14ac:dyDescent="0.25">
      <c r="A148" s="64"/>
      <c r="B148" s="6"/>
      <c r="C148" s="6"/>
      <c r="D148" s="65"/>
      <c r="E148" s="6"/>
      <c r="F148" s="6"/>
      <c r="G148" s="6"/>
      <c r="H148" s="6"/>
      <c r="I148" s="6"/>
      <c r="J148" s="6"/>
      <c r="K148" s="6"/>
      <c r="L148" s="6"/>
      <c r="M148" s="6"/>
      <c r="N148" s="6"/>
      <c r="O148" s="6"/>
      <c r="P148" s="6"/>
      <c r="Q148" s="6"/>
      <c r="R148" s="6"/>
      <c r="S148" s="6"/>
      <c r="T148" s="6"/>
      <c r="U148" s="6"/>
      <c r="V148" s="6"/>
      <c r="W148" s="6"/>
      <c r="X148" s="6"/>
      <c r="Y148" s="6"/>
      <c r="Z148" s="6"/>
    </row>
    <row r="149" spans="1:26" ht="15.75" customHeight="1" x14ac:dyDescent="0.25">
      <c r="A149" s="64"/>
      <c r="B149" s="6"/>
      <c r="C149" s="6"/>
      <c r="D149" s="65"/>
      <c r="E149" s="6"/>
      <c r="F149" s="6"/>
      <c r="G149" s="6"/>
      <c r="H149" s="6"/>
      <c r="I149" s="6"/>
      <c r="J149" s="6"/>
      <c r="K149" s="6"/>
      <c r="L149" s="6"/>
      <c r="M149" s="6"/>
      <c r="N149" s="6"/>
      <c r="O149" s="6"/>
      <c r="P149" s="6"/>
      <c r="Q149" s="6"/>
      <c r="R149" s="6"/>
      <c r="S149" s="6"/>
      <c r="T149" s="6"/>
      <c r="U149" s="6"/>
      <c r="V149" s="6"/>
      <c r="W149" s="6"/>
      <c r="X149" s="6"/>
      <c r="Y149" s="6"/>
      <c r="Z149" s="6"/>
    </row>
    <row r="150" spans="1:26" ht="15.75" customHeight="1" x14ac:dyDescent="0.25">
      <c r="A150" s="64"/>
      <c r="B150" s="6"/>
      <c r="C150" s="6"/>
      <c r="D150" s="65"/>
      <c r="E150" s="6"/>
      <c r="F150" s="6"/>
      <c r="G150" s="6"/>
      <c r="H150" s="6"/>
      <c r="I150" s="6"/>
      <c r="J150" s="6"/>
      <c r="K150" s="6"/>
      <c r="L150" s="6"/>
      <c r="M150" s="6"/>
      <c r="N150" s="6"/>
      <c r="O150" s="6"/>
      <c r="P150" s="6"/>
      <c r="Q150" s="6"/>
      <c r="R150" s="6"/>
      <c r="S150" s="6"/>
      <c r="T150" s="6"/>
      <c r="U150" s="6"/>
      <c r="V150" s="6"/>
      <c r="W150" s="6"/>
      <c r="X150" s="6"/>
      <c r="Y150" s="6"/>
      <c r="Z150" s="6"/>
    </row>
    <row r="151" spans="1:26" ht="15.75" customHeight="1" x14ac:dyDescent="0.25">
      <c r="A151" s="64"/>
      <c r="B151" s="6"/>
      <c r="C151" s="6"/>
      <c r="D151" s="65"/>
      <c r="E151" s="6"/>
      <c r="F151" s="6"/>
      <c r="G151" s="6"/>
      <c r="H151" s="6"/>
      <c r="I151" s="6"/>
      <c r="J151" s="6"/>
      <c r="K151" s="6"/>
      <c r="L151" s="6"/>
      <c r="M151" s="6"/>
      <c r="N151" s="6"/>
      <c r="O151" s="6"/>
      <c r="P151" s="6"/>
      <c r="Q151" s="6"/>
      <c r="R151" s="6"/>
      <c r="S151" s="6"/>
      <c r="T151" s="6"/>
      <c r="U151" s="6"/>
      <c r="V151" s="6"/>
      <c r="W151" s="6"/>
      <c r="X151" s="6"/>
      <c r="Y151" s="6"/>
      <c r="Z151" s="6"/>
    </row>
    <row r="152" spans="1:26" ht="15.75" customHeight="1" x14ac:dyDescent="0.25">
      <c r="A152" s="64"/>
      <c r="B152" s="6"/>
      <c r="C152" s="6"/>
      <c r="D152" s="65"/>
      <c r="E152" s="6"/>
      <c r="F152" s="6"/>
      <c r="G152" s="6"/>
      <c r="H152" s="6"/>
      <c r="I152" s="6"/>
      <c r="J152" s="6"/>
      <c r="K152" s="6"/>
      <c r="L152" s="6"/>
      <c r="M152" s="6"/>
      <c r="N152" s="6"/>
      <c r="O152" s="6"/>
      <c r="P152" s="6"/>
      <c r="Q152" s="6"/>
      <c r="R152" s="6"/>
      <c r="S152" s="6"/>
      <c r="T152" s="6"/>
      <c r="U152" s="6"/>
      <c r="V152" s="6"/>
      <c r="W152" s="6"/>
      <c r="X152" s="6"/>
      <c r="Y152" s="6"/>
      <c r="Z152" s="6"/>
    </row>
    <row r="153" spans="1:26" ht="15.75" customHeight="1" x14ac:dyDescent="0.25">
      <c r="A153" s="64"/>
      <c r="B153" s="6"/>
      <c r="C153" s="6"/>
      <c r="D153" s="65"/>
      <c r="E153" s="6"/>
      <c r="F153" s="6"/>
      <c r="G153" s="6"/>
      <c r="H153" s="6"/>
      <c r="I153" s="6"/>
      <c r="J153" s="6"/>
      <c r="K153" s="6"/>
      <c r="L153" s="6"/>
      <c r="M153" s="6"/>
      <c r="N153" s="6"/>
      <c r="O153" s="6"/>
      <c r="P153" s="6"/>
      <c r="Q153" s="6"/>
      <c r="R153" s="6"/>
      <c r="S153" s="6"/>
      <c r="T153" s="6"/>
      <c r="U153" s="6"/>
      <c r="V153" s="6"/>
      <c r="W153" s="6"/>
      <c r="X153" s="6"/>
      <c r="Y153" s="6"/>
      <c r="Z153" s="6"/>
    </row>
    <row r="154" spans="1:26" ht="15.75" customHeight="1" x14ac:dyDescent="0.25">
      <c r="A154" s="64"/>
      <c r="B154" s="6"/>
      <c r="C154" s="6"/>
      <c r="D154" s="65"/>
      <c r="E154" s="6"/>
      <c r="F154" s="6"/>
      <c r="G154" s="6"/>
      <c r="H154" s="6"/>
      <c r="I154" s="6"/>
      <c r="J154" s="6"/>
      <c r="K154" s="6"/>
      <c r="L154" s="6"/>
      <c r="M154" s="6"/>
      <c r="N154" s="6"/>
      <c r="O154" s="6"/>
      <c r="P154" s="6"/>
      <c r="Q154" s="6"/>
      <c r="R154" s="6"/>
      <c r="S154" s="6"/>
      <c r="T154" s="6"/>
      <c r="U154" s="6"/>
      <c r="V154" s="6"/>
      <c r="W154" s="6"/>
      <c r="X154" s="6"/>
      <c r="Y154" s="6"/>
      <c r="Z154" s="6"/>
    </row>
    <row r="155" spans="1:26" ht="15.75" customHeight="1" x14ac:dyDescent="0.25">
      <c r="A155" s="64"/>
      <c r="B155" s="6"/>
      <c r="C155" s="6"/>
      <c r="D155" s="65"/>
      <c r="E155" s="6"/>
      <c r="F155" s="6"/>
      <c r="G155" s="6"/>
      <c r="H155" s="6"/>
      <c r="I155" s="6"/>
      <c r="J155" s="6"/>
      <c r="K155" s="6"/>
      <c r="L155" s="6"/>
      <c r="M155" s="6"/>
      <c r="N155" s="6"/>
      <c r="O155" s="6"/>
      <c r="P155" s="6"/>
      <c r="Q155" s="6"/>
      <c r="R155" s="6"/>
      <c r="S155" s="6"/>
      <c r="T155" s="6"/>
      <c r="U155" s="6"/>
      <c r="V155" s="6"/>
      <c r="W155" s="6"/>
      <c r="X155" s="6"/>
      <c r="Y155" s="6"/>
      <c r="Z155" s="6"/>
    </row>
    <row r="156" spans="1:26" ht="15.75" customHeight="1" x14ac:dyDescent="0.25">
      <c r="A156" s="64"/>
      <c r="B156" s="6"/>
      <c r="C156" s="6"/>
      <c r="D156" s="65"/>
      <c r="E156" s="6"/>
      <c r="F156" s="6"/>
      <c r="G156" s="6"/>
      <c r="H156" s="6"/>
      <c r="I156" s="6"/>
      <c r="J156" s="6"/>
      <c r="K156" s="6"/>
      <c r="L156" s="6"/>
      <c r="M156" s="6"/>
      <c r="N156" s="6"/>
      <c r="O156" s="6"/>
      <c r="P156" s="6"/>
      <c r="Q156" s="6"/>
      <c r="R156" s="6"/>
      <c r="S156" s="6"/>
      <c r="T156" s="6"/>
      <c r="U156" s="6"/>
      <c r="V156" s="6"/>
      <c r="W156" s="6"/>
      <c r="X156" s="6"/>
      <c r="Y156" s="6"/>
      <c r="Z156" s="6"/>
    </row>
    <row r="157" spans="1:26" ht="15.75" customHeight="1" x14ac:dyDescent="0.25">
      <c r="A157" s="64"/>
      <c r="B157" s="6"/>
      <c r="C157" s="6"/>
      <c r="D157" s="65"/>
      <c r="E157" s="6"/>
      <c r="F157" s="6"/>
      <c r="G157" s="6"/>
      <c r="H157" s="6"/>
      <c r="I157" s="6"/>
      <c r="J157" s="6"/>
      <c r="K157" s="6"/>
      <c r="L157" s="6"/>
      <c r="M157" s="6"/>
      <c r="N157" s="6"/>
      <c r="O157" s="6"/>
      <c r="P157" s="6"/>
      <c r="Q157" s="6"/>
      <c r="R157" s="6"/>
      <c r="S157" s="6"/>
      <c r="T157" s="6"/>
      <c r="U157" s="6"/>
      <c r="V157" s="6"/>
      <c r="W157" s="6"/>
      <c r="X157" s="6"/>
      <c r="Y157" s="6"/>
      <c r="Z157" s="6"/>
    </row>
    <row r="158" spans="1:26" ht="15.75" customHeight="1" x14ac:dyDescent="0.25">
      <c r="A158" s="64"/>
      <c r="B158" s="6"/>
      <c r="C158" s="6"/>
      <c r="D158" s="65"/>
      <c r="E158" s="6"/>
      <c r="F158" s="6"/>
      <c r="G158" s="6"/>
      <c r="H158" s="6"/>
      <c r="I158" s="6"/>
      <c r="J158" s="6"/>
      <c r="K158" s="6"/>
      <c r="L158" s="6"/>
      <c r="M158" s="6"/>
      <c r="N158" s="6"/>
      <c r="O158" s="6"/>
      <c r="P158" s="6"/>
      <c r="Q158" s="6"/>
      <c r="R158" s="6"/>
      <c r="S158" s="6"/>
      <c r="T158" s="6"/>
      <c r="U158" s="6"/>
      <c r="V158" s="6"/>
      <c r="W158" s="6"/>
      <c r="X158" s="6"/>
      <c r="Y158" s="6"/>
      <c r="Z158" s="6"/>
    </row>
    <row r="159" spans="1:26" ht="15.75" customHeight="1" x14ac:dyDescent="0.25">
      <c r="A159" s="64"/>
      <c r="B159" s="6"/>
      <c r="C159" s="6"/>
      <c r="D159" s="65"/>
      <c r="E159" s="6"/>
      <c r="F159" s="6"/>
      <c r="G159" s="6"/>
      <c r="H159" s="6"/>
      <c r="I159" s="6"/>
      <c r="J159" s="6"/>
      <c r="K159" s="6"/>
      <c r="L159" s="6"/>
      <c r="M159" s="6"/>
      <c r="N159" s="6"/>
      <c r="O159" s="6"/>
      <c r="P159" s="6"/>
      <c r="Q159" s="6"/>
      <c r="R159" s="6"/>
      <c r="S159" s="6"/>
      <c r="T159" s="6"/>
      <c r="U159" s="6"/>
      <c r="V159" s="6"/>
      <c r="W159" s="6"/>
      <c r="X159" s="6"/>
      <c r="Y159" s="6"/>
      <c r="Z159" s="6"/>
    </row>
    <row r="160" spans="1:26" ht="15.75" customHeight="1" x14ac:dyDescent="0.25">
      <c r="A160" s="64"/>
      <c r="B160" s="6"/>
      <c r="C160" s="6"/>
      <c r="D160" s="65"/>
      <c r="E160" s="6"/>
      <c r="F160" s="6"/>
      <c r="G160" s="6"/>
      <c r="H160" s="6"/>
      <c r="I160" s="6"/>
      <c r="J160" s="6"/>
      <c r="K160" s="6"/>
      <c r="L160" s="6"/>
      <c r="M160" s="6"/>
      <c r="N160" s="6"/>
      <c r="O160" s="6"/>
      <c r="P160" s="6"/>
      <c r="Q160" s="6"/>
      <c r="R160" s="6"/>
      <c r="S160" s="6"/>
      <c r="T160" s="6"/>
      <c r="U160" s="6"/>
      <c r="V160" s="6"/>
      <c r="W160" s="6"/>
      <c r="X160" s="6"/>
      <c r="Y160" s="6"/>
      <c r="Z160" s="6"/>
    </row>
    <row r="161" spans="1:26" ht="15.75" customHeight="1" x14ac:dyDescent="0.25">
      <c r="A161" s="64"/>
      <c r="B161" s="6"/>
      <c r="C161" s="6"/>
      <c r="D161" s="65"/>
      <c r="E161" s="6"/>
      <c r="F161" s="6"/>
      <c r="G161" s="6"/>
      <c r="H161" s="6"/>
      <c r="I161" s="6"/>
      <c r="J161" s="6"/>
      <c r="K161" s="6"/>
      <c r="L161" s="6"/>
      <c r="M161" s="6"/>
      <c r="N161" s="6"/>
      <c r="O161" s="6"/>
      <c r="P161" s="6"/>
      <c r="Q161" s="6"/>
      <c r="R161" s="6"/>
      <c r="S161" s="6"/>
      <c r="T161" s="6"/>
      <c r="U161" s="6"/>
      <c r="V161" s="6"/>
      <c r="W161" s="6"/>
      <c r="X161" s="6"/>
      <c r="Y161" s="6"/>
      <c r="Z161" s="6"/>
    </row>
    <row r="162" spans="1:26" ht="15.75" customHeight="1" x14ac:dyDescent="0.25">
      <c r="A162" s="64"/>
      <c r="B162" s="6"/>
      <c r="C162" s="6"/>
      <c r="D162" s="65"/>
      <c r="E162" s="6"/>
      <c r="F162" s="6"/>
      <c r="G162" s="6"/>
      <c r="H162" s="6"/>
      <c r="I162" s="6"/>
      <c r="J162" s="6"/>
      <c r="K162" s="6"/>
      <c r="L162" s="6"/>
      <c r="M162" s="6"/>
      <c r="N162" s="6"/>
      <c r="O162" s="6"/>
      <c r="P162" s="6"/>
      <c r="Q162" s="6"/>
      <c r="R162" s="6"/>
      <c r="S162" s="6"/>
      <c r="T162" s="6"/>
      <c r="U162" s="6"/>
      <c r="V162" s="6"/>
      <c r="W162" s="6"/>
      <c r="X162" s="6"/>
      <c r="Y162" s="6"/>
      <c r="Z162" s="6"/>
    </row>
    <row r="163" spans="1:26" ht="15.75" customHeight="1" x14ac:dyDescent="0.25">
      <c r="A163" s="64"/>
      <c r="B163" s="6"/>
      <c r="C163" s="6"/>
      <c r="D163" s="65"/>
      <c r="E163" s="6"/>
      <c r="F163" s="6"/>
      <c r="G163" s="6"/>
      <c r="H163" s="6"/>
      <c r="I163" s="6"/>
      <c r="J163" s="6"/>
      <c r="K163" s="6"/>
      <c r="L163" s="6"/>
      <c r="M163" s="6"/>
      <c r="N163" s="6"/>
      <c r="O163" s="6"/>
      <c r="P163" s="6"/>
      <c r="Q163" s="6"/>
      <c r="R163" s="6"/>
      <c r="S163" s="6"/>
      <c r="T163" s="6"/>
      <c r="U163" s="6"/>
      <c r="V163" s="6"/>
      <c r="W163" s="6"/>
      <c r="X163" s="6"/>
      <c r="Y163" s="6"/>
      <c r="Z163" s="6"/>
    </row>
    <row r="164" spans="1:26" ht="15.75" customHeight="1" x14ac:dyDescent="0.25">
      <c r="A164" s="64"/>
      <c r="B164" s="6"/>
      <c r="C164" s="6"/>
      <c r="D164" s="65"/>
      <c r="E164" s="6"/>
      <c r="F164" s="6"/>
      <c r="G164" s="6"/>
      <c r="H164" s="6"/>
      <c r="I164" s="6"/>
      <c r="J164" s="6"/>
      <c r="K164" s="6"/>
      <c r="L164" s="6"/>
      <c r="M164" s="6"/>
      <c r="N164" s="6"/>
      <c r="O164" s="6"/>
      <c r="P164" s="6"/>
      <c r="Q164" s="6"/>
      <c r="R164" s="6"/>
      <c r="S164" s="6"/>
      <c r="T164" s="6"/>
      <c r="U164" s="6"/>
      <c r="V164" s="6"/>
      <c r="W164" s="6"/>
      <c r="X164" s="6"/>
      <c r="Y164" s="6"/>
      <c r="Z164" s="6"/>
    </row>
    <row r="165" spans="1:26" ht="15.75" customHeight="1" x14ac:dyDescent="0.25">
      <c r="A165" s="64"/>
      <c r="B165" s="6"/>
      <c r="C165" s="6"/>
      <c r="D165" s="65"/>
      <c r="E165" s="6"/>
      <c r="F165" s="6"/>
      <c r="G165" s="6"/>
      <c r="H165" s="6"/>
      <c r="I165" s="6"/>
      <c r="J165" s="6"/>
      <c r="K165" s="6"/>
      <c r="L165" s="6"/>
      <c r="M165" s="6"/>
      <c r="N165" s="6"/>
      <c r="O165" s="6"/>
      <c r="P165" s="6"/>
      <c r="Q165" s="6"/>
      <c r="R165" s="6"/>
      <c r="S165" s="6"/>
      <c r="T165" s="6"/>
      <c r="U165" s="6"/>
      <c r="V165" s="6"/>
      <c r="W165" s="6"/>
      <c r="X165" s="6"/>
      <c r="Y165" s="6"/>
      <c r="Z165" s="6"/>
    </row>
    <row r="166" spans="1:26" ht="15.75" customHeight="1" x14ac:dyDescent="0.25">
      <c r="A166" s="64"/>
      <c r="B166" s="6"/>
      <c r="C166" s="6"/>
      <c r="D166" s="65"/>
      <c r="E166" s="6"/>
      <c r="F166" s="6"/>
      <c r="G166" s="6"/>
      <c r="H166" s="6"/>
      <c r="I166" s="6"/>
      <c r="J166" s="6"/>
      <c r="K166" s="6"/>
      <c r="L166" s="6"/>
      <c r="M166" s="6"/>
      <c r="N166" s="6"/>
      <c r="O166" s="6"/>
      <c r="P166" s="6"/>
      <c r="Q166" s="6"/>
      <c r="R166" s="6"/>
      <c r="S166" s="6"/>
      <c r="T166" s="6"/>
      <c r="U166" s="6"/>
      <c r="V166" s="6"/>
      <c r="W166" s="6"/>
      <c r="X166" s="6"/>
      <c r="Y166" s="6"/>
      <c r="Z166" s="6"/>
    </row>
    <row r="167" spans="1:26" ht="15.75" customHeight="1" x14ac:dyDescent="0.25">
      <c r="A167" s="64"/>
      <c r="B167" s="6"/>
      <c r="C167" s="6"/>
      <c r="D167" s="65"/>
      <c r="E167" s="6"/>
      <c r="F167" s="6"/>
      <c r="G167" s="6"/>
      <c r="H167" s="6"/>
      <c r="I167" s="6"/>
      <c r="J167" s="6"/>
      <c r="K167" s="6"/>
      <c r="L167" s="6"/>
      <c r="M167" s="6"/>
      <c r="N167" s="6"/>
      <c r="O167" s="6"/>
      <c r="P167" s="6"/>
      <c r="Q167" s="6"/>
      <c r="R167" s="6"/>
      <c r="S167" s="6"/>
      <c r="T167" s="6"/>
      <c r="U167" s="6"/>
      <c r="V167" s="6"/>
      <c r="W167" s="6"/>
      <c r="X167" s="6"/>
      <c r="Y167" s="6"/>
      <c r="Z167" s="6"/>
    </row>
    <row r="168" spans="1:26" ht="15.75" customHeight="1" x14ac:dyDescent="0.25">
      <c r="A168" s="64"/>
      <c r="B168" s="6"/>
      <c r="C168" s="6"/>
      <c r="D168" s="65"/>
      <c r="E168" s="6"/>
      <c r="F168" s="6"/>
      <c r="G168" s="6"/>
      <c r="H168" s="6"/>
      <c r="I168" s="6"/>
      <c r="J168" s="6"/>
      <c r="K168" s="6"/>
      <c r="L168" s="6"/>
      <c r="M168" s="6"/>
      <c r="N168" s="6"/>
      <c r="O168" s="6"/>
      <c r="P168" s="6"/>
      <c r="Q168" s="6"/>
      <c r="R168" s="6"/>
      <c r="S168" s="6"/>
      <c r="T168" s="6"/>
      <c r="U168" s="6"/>
      <c r="V168" s="6"/>
      <c r="W168" s="6"/>
      <c r="X168" s="6"/>
      <c r="Y168" s="6"/>
      <c r="Z168" s="6"/>
    </row>
    <row r="169" spans="1:26" ht="15.75" customHeight="1" x14ac:dyDescent="0.25">
      <c r="A169" s="64"/>
      <c r="B169" s="6"/>
      <c r="C169" s="6"/>
      <c r="D169" s="65"/>
      <c r="E169" s="6"/>
      <c r="F169" s="6"/>
      <c r="G169" s="6"/>
      <c r="H169" s="6"/>
      <c r="I169" s="6"/>
      <c r="J169" s="6"/>
      <c r="K169" s="6"/>
      <c r="L169" s="6"/>
      <c r="M169" s="6"/>
      <c r="N169" s="6"/>
      <c r="O169" s="6"/>
      <c r="P169" s="6"/>
      <c r="Q169" s="6"/>
      <c r="R169" s="6"/>
      <c r="S169" s="6"/>
      <c r="T169" s="6"/>
      <c r="U169" s="6"/>
      <c r="V169" s="6"/>
      <c r="W169" s="6"/>
      <c r="X169" s="6"/>
      <c r="Y169" s="6"/>
      <c r="Z169" s="6"/>
    </row>
    <row r="170" spans="1:26" ht="15.75" customHeight="1" x14ac:dyDescent="0.25">
      <c r="A170" s="64"/>
      <c r="B170" s="6"/>
      <c r="C170" s="6"/>
      <c r="D170" s="65"/>
      <c r="E170" s="6"/>
      <c r="F170" s="6"/>
      <c r="G170" s="6"/>
      <c r="H170" s="6"/>
      <c r="I170" s="6"/>
      <c r="J170" s="6"/>
      <c r="K170" s="6"/>
      <c r="L170" s="6"/>
      <c r="M170" s="6"/>
      <c r="N170" s="6"/>
      <c r="O170" s="6"/>
      <c r="P170" s="6"/>
      <c r="Q170" s="6"/>
      <c r="R170" s="6"/>
      <c r="S170" s="6"/>
      <c r="T170" s="6"/>
      <c r="U170" s="6"/>
      <c r="V170" s="6"/>
      <c r="W170" s="6"/>
      <c r="X170" s="6"/>
      <c r="Y170" s="6"/>
      <c r="Z170" s="6"/>
    </row>
    <row r="171" spans="1:26" ht="15.75" customHeight="1" x14ac:dyDescent="0.25">
      <c r="A171" s="64"/>
      <c r="B171" s="6"/>
      <c r="C171" s="6"/>
      <c r="D171" s="65"/>
      <c r="E171" s="6"/>
      <c r="F171" s="6"/>
      <c r="G171" s="6"/>
      <c r="H171" s="6"/>
      <c r="I171" s="6"/>
      <c r="J171" s="6"/>
      <c r="K171" s="6"/>
      <c r="L171" s="6"/>
      <c r="M171" s="6"/>
      <c r="N171" s="6"/>
      <c r="O171" s="6"/>
      <c r="P171" s="6"/>
      <c r="Q171" s="6"/>
      <c r="R171" s="6"/>
      <c r="S171" s="6"/>
      <c r="T171" s="6"/>
      <c r="U171" s="6"/>
      <c r="V171" s="6"/>
      <c r="W171" s="6"/>
      <c r="X171" s="6"/>
      <c r="Y171" s="6"/>
      <c r="Z171" s="6"/>
    </row>
    <row r="172" spans="1:26" ht="15.75" customHeight="1" x14ac:dyDescent="0.25">
      <c r="A172" s="64"/>
      <c r="B172" s="6"/>
      <c r="C172" s="6"/>
      <c r="D172" s="65"/>
      <c r="E172" s="6"/>
      <c r="F172" s="6"/>
      <c r="G172" s="6"/>
      <c r="H172" s="6"/>
      <c r="I172" s="6"/>
      <c r="J172" s="6"/>
      <c r="K172" s="6"/>
      <c r="L172" s="6"/>
      <c r="M172" s="6"/>
      <c r="N172" s="6"/>
      <c r="O172" s="6"/>
      <c r="P172" s="6"/>
      <c r="Q172" s="6"/>
      <c r="R172" s="6"/>
      <c r="S172" s="6"/>
      <c r="T172" s="6"/>
      <c r="U172" s="6"/>
      <c r="V172" s="6"/>
      <c r="W172" s="6"/>
      <c r="X172" s="6"/>
      <c r="Y172" s="6"/>
      <c r="Z172" s="6"/>
    </row>
    <row r="173" spans="1:26" ht="15.75" customHeight="1" x14ac:dyDescent="0.25">
      <c r="A173" s="64"/>
      <c r="B173" s="6"/>
      <c r="C173" s="6"/>
      <c r="D173" s="65"/>
      <c r="E173" s="6"/>
      <c r="F173" s="6"/>
      <c r="G173" s="6"/>
      <c r="H173" s="6"/>
      <c r="I173" s="6"/>
      <c r="J173" s="6"/>
      <c r="K173" s="6"/>
      <c r="L173" s="6"/>
      <c r="M173" s="6"/>
      <c r="N173" s="6"/>
      <c r="O173" s="6"/>
      <c r="P173" s="6"/>
      <c r="Q173" s="6"/>
      <c r="R173" s="6"/>
      <c r="S173" s="6"/>
      <c r="T173" s="6"/>
      <c r="U173" s="6"/>
      <c r="V173" s="6"/>
      <c r="W173" s="6"/>
      <c r="X173" s="6"/>
      <c r="Y173" s="6"/>
      <c r="Z173" s="6"/>
    </row>
    <row r="174" spans="1:26" ht="15.75" customHeight="1" x14ac:dyDescent="0.25">
      <c r="A174" s="64"/>
      <c r="B174" s="6"/>
      <c r="C174" s="6"/>
      <c r="D174" s="65"/>
      <c r="E174" s="6"/>
      <c r="F174" s="6"/>
      <c r="G174" s="6"/>
      <c r="H174" s="6"/>
      <c r="I174" s="6"/>
      <c r="J174" s="6"/>
      <c r="K174" s="6"/>
      <c r="L174" s="6"/>
      <c r="M174" s="6"/>
      <c r="N174" s="6"/>
      <c r="O174" s="6"/>
      <c r="P174" s="6"/>
      <c r="Q174" s="6"/>
      <c r="R174" s="6"/>
      <c r="S174" s="6"/>
      <c r="T174" s="6"/>
      <c r="U174" s="6"/>
      <c r="V174" s="6"/>
      <c r="W174" s="6"/>
      <c r="X174" s="6"/>
      <c r="Y174" s="6"/>
      <c r="Z174" s="6"/>
    </row>
    <row r="175" spans="1:26" ht="15.75" customHeight="1" x14ac:dyDescent="0.25">
      <c r="A175" s="64"/>
      <c r="B175" s="6"/>
      <c r="C175" s="6"/>
      <c r="D175" s="65"/>
      <c r="E175" s="6"/>
      <c r="F175" s="6"/>
      <c r="G175" s="6"/>
      <c r="H175" s="6"/>
      <c r="I175" s="6"/>
      <c r="J175" s="6"/>
      <c r="K175" s="6"/>
      <c r="L175" s="6"/>
      <c r="M175" s="6"/>
      <c r="N175" s="6"/>
      <c r="O175" s="6"/>
      <c r="P175" s="6"/>
      <c r="Q175" s="6"/>
      <c r="R175" s="6"/>
      <c r="S175" s="6"/>
      <c r="T175" s="6"/>
      <c r="U175" s="6"/>
      <c r="V175" s="6"/>
      <c r="W175" s="6"/>
      <c r="X175" s="6"/>
      <c r="Y175" s="6"/>
      <c r="Z175" s="6"/>
    </row>
    <row r="176" spans="1:26" ht="15.75" customHeight="1" x14ac:dyDescent="0.25">
      <c r="A176" s="64"/>
      <c r="B176" s="6"/>
      <c r="C176" s="6"/>
      <c r="D176" s="65"/>
      <c r="E176" s="6"/>
      <c r="F176" s="6"/>
      <c r="G176" s="6"/>
      <c r="H176" s="6"/>
      <c r="I176" s="6"/>
      <c r="J176" s="6"/>
      <c r="K176" s="6"/>
      <c r="L176" s="6"/>
      <c r="M176" s="6"/>
      <c r="N176" s="6"/>
      <c r="O176" s="6"/>
      <c r="P176" s="6"/>
      <c r="Q176" s="6"/>
      <c r="R176" s="6"/>
      <c r="S176" s="6"/>
      <c r="T176" s="6"/>
      <c r="U176" s="6"/>
      <c r="V176" s="6"/>
      <c r="W176" s="6"/>
      <c r="X176" s="6"/>
      <c r="Y176" s="6"/>
      <c r="Z176" s="6"/>
    </row>
    <row r="177" spans="1:26" ht="15.75" customHeight="1" x14ac:dyDescent="0.25">
      <c r="A177" s="64"/>
      <c r="B177" s="6"/>
      <c r="C177" s="6"/>
      <c r="D177" s="65"/>
      <c r="E177" s="6"/>
      <c r="F177" s="6"/>
      <c r="G177" s="6"/>
      <c r="H177" s="6"/>
      <c r="I177" s="6"/>
      <c r="J177" s="6"/>
      <c r="K177" s="6"/>
      <c r="L177" s="6"/>
      <c r="M177" s="6"/>
      <c r="N177" s="6"/>
      <c r="O177" s="6"/>
      <c r="P177" s="6"/>
      <c r="Q177" s="6"/>
      <c r="R177" s="6"/>
      <c r="S177" s="6"/>
      <c r="T177" s="6"/>
      <c r="U177" s="6"/>
      <c r="V177" s="6"/>
      <c r="W177" s="6"/>
      <c r="X177" s="6"/>
      <c r="Y177" s="6"/>
      <c r="Z177" s="6"/>
    </row>
    <row r="178" spans="1:26" ht="15.75" customHeight="1" x14ac:dyDescent="0.25">
      <c r="A178" s="64"/>
      <c r="B178" s="6"/>
      <c r="C178" s="6"/>
      <c r="D178" s="65"/>
      <c r="E178" s="6"/>
      <c r="F178" s="6"/>
      <c r="G178" s="6"/>
      <c r="H178" s="6"/>
      <c r="I178" s="6"/>
      <c r="J178" s="6"/>
      <c r="K178" s="6"/>
      <c r="L178" s="6"/>
      <c r="M178" s="6"/>
      <c r="N178" s="6"/>
      <c r="O178" s="6"/>
      <c r="P178" s="6"/>
      <c r="Q178" s="6"/>
      <c r="R178" s="6"/>
      <c r="S178" s="6"/>
      <c r="T178" s="6"/>
      <c r="U178" s="6"/>
      <c r="V178" s="6"/>
      <c r="W178" s="6"/>
      <c r="X178" s="6"/>
      <c r="Y178" s="6"/>
      <c r="Z178" s="6"/>
    </row>
    <row r="179" spans="1:26" ht="15.75" customHeight="1" x14ac:dyDescent="0.25">
      <c r="A179" s="64"/>
      <c r="B179" s="6"/>
      <c r="C179" s="6"/>
      <c r="D179" s="65"/>
      <c r="E179" s="6"/>
      <c r="F179" s="6"/>
      <c r="G179" s="6"/>
      <c r="H179" s="6"/>
      <c r="I179" s="6"/>
      <c r="J179" s="6"/>
      <c r="K179" s="6"/>
      <c r="L179" s="6"/>
      <c r="M179" s="6"/>
      <c r="N179" s="6"/>
      <c r="O179" s="6"/>
      <c r="P179" s="6"/>
      <c r="Q179" s="6"/>
      <c r="R179" s="6"/>
      <c r="S179" s="6"/>
      <c r="T179" s="6"/>
      <c r="U179" s="6"/>
      <c r="V179" s="6"/>
      <c r="W179" s="6"/>
      <c r="X179" s="6"/>
      <c r="Y179" s="6"/>
      <c r="Z179" s="6"/>
    </row>
    <row r="180" spans="1:26" ht="15.75" customHeight="1" x14ac:dyDescent="0.25">
      <c r="A180" s="64"/>
      <c r="B180" s="6"/>
      <c r="C180" s="6"/>
      <c r="D180" s="65"/>
      <c r="E180" s="6"/>
      <c r="F180" s="6"/>
      <c r="G180" s="6"/>
      <c r="H180" s="6"/>
      <c r="I180" s="6"/>
      <c r="J180" s="6"/>
      <c r="K180" s="6"/>
      <c r="L180" s="6"/>
      <c r="M180" s="6"/>
      <c r="N180" s="6"/>
      <c r="O180" s="6"/>
      <c r="P180" s="6"/>
      <c r="Q180" s="6"/>
      <c r="R180" s="6"/>
      <c r="S180" s="6"/>
      <c r="T180" s="6"/>
      <c r="U180" s="6"/>
      <c r="V180" s="6"/>
      <c r="W180" s="6"/>
      <c r="X180" s="6"/>
      <c r="Y180" s="6"/>
      <c r="Z180" s="6"/>
    </row>
    <row r="181" spans="1:26" ht="15.75" customHeight="1" x14ac:dyDescent="0.25">
      <c r="A181" s="64"/>
      <c r="B181" s="6"/>
      <c r="C181" s="6"/>
      <c r="D181" s="65"/>
      <c r="E181" s="6"/>
      <c r="F181" s="6"/>
      <c r="G181" s="6"/>
      <c r="H181" s="6"/>
      <c r="I181" s="6"/>
      <c r="J181" s="6"/>
      <c r="K181" s="6"/>
      <c r="L181" s="6"/>
      <c r="M181" s="6"/>
      <c r="N181" s="6"/>
      <c r="O181" s="6"/>
      <c r="P181" s="6"/>
      <c r="Q181" s="6"/>
      <c r="R181" s="6"/>
      <c r="S181" s="6"/>
      <c r="T181" s="6"/>
      <c r="U181" s="6"/>
      <c r="V181" s="6"/>
      <c r="W181" s="6"/>
      <c r="X181" s="6"/>
      <c r="Y181" s="6"/>
      <c r="Z181" s="6"/>
    </row>
    <row r="182" spans="1:26" ht="15.75" customHeight="1" x14ac:dyDescent="0.25">
      <c r="A182" s="64"/>
      <c r="B182" s="6"/>
      <c r="C182" s="6"/>
      <c r="D182" s="65"/>
      <c r="E182" s="6"/>
      <c r="F182" s="6"/>
      <c r="G182" s="6"/>
      <c r="H182" s="6"/>
      <c r="I182" s="6"/>
      <c r="J182" s="6"/>
      <c r="K182" s="6"/>
      <c r="L182" s="6"/>
      <c r="M182" s="6"/>
      <c r="N182" s="6"/>
      <c r="O182" s="6"/>
      <c r="P182" s="6"/>
      <c r="Q182" s="6"/>
      <c r="R182" s="6"/>
      <c r="S182" s="6"/>
      <c r="T182" s="6"/>
      <c r="U182" s="6"/>
      <c r="V182" s="6"/>
      <c r="W182" s="6"/>
      <c r="X182" s="6"/>
      <c r="Y182" s="6"/>
      <c r="Z182" s="6"/>
    </row>
    <row r="183" spans="1:26" ht="15.75" customHeight="1" x14ac:dyDescent="0.25">
      <c r="A183" s="64"/>
      <c r="B183" s="6"/>
      <c r="C183" s="6"/>
      <c r="D183" s="65"/>
      <c r="E183" s="6"/>
      <c r="F183" s="6"/>
      <c r="G183" s="6"/>
      <c r="H183" s="6"/>
      <c r="I183" s="6"/>
      <c r="J183" s="6"/>
      <c r="K183" s="6"/>
      <c r="L183" s="6"/>
      <c r="M183" s="6"/>
      <c r="N183" s="6"/>
      <c r="O183" s="6"/>
      <c r="P183" s="6"/>
      <c r="Q183" s="6"/>
      <c r="R183" s="6"/>
      <c r="S183" s="6"/>
      <c r="T183" s="6"/>
      <c r="U183" s="6"/>
      <c r="V183" s="6"/>
      <c r="W183" s="6"/>
      <c r="X183" s="6"/>
      <c r="Y183" s="6"/>
      <c r="Z183" s="6"/>
    </row>
    <row r="184" spans="1:26" ht="15.75" customHeight="1" x14ac:dyDescent="0.25">
      <c r="A184" s="64"/>
      <c r="B184" s="6"/>
      <c r="C184" s="6"/>
      <c r="D184" s="65"/>
      <c r="E184" s="6"/>
      <c r="F184" s="6"/>
      <c r="G184" s="6"/>
      <c r="H184" s="6"/>
      <c r="I184" s="6"/>
      <c r="J184" s="6"/>
      <c r="K184" s="6"/>
      <c r="L184" s="6"/>
      <c r="M184" s="6"/>
      <c r="N184" s="6"/>
      <c r="O184" s="6"/>
      <c r="P184" s="6"/>
      <c r="Q184" s="6"/>
      <c r="R184" s="6"/>
      <c r="S184" s="6"/>
      <c r="T184" s="6"/>
      <c r="U184" s="6"/>
      <c r="V184" s="6"/>
      <c r="W184" s="6"/>
      <c r="X184" s="6"/>
      <c r="Y184" s="6"/>
      <c r="Z184" s="6"/>
    </row>
    <row r="185" spans="1:26" ht="15.75" customHeight="1" x14ac:dyDescent="0.25">
      <c r="A185" s="64"/>
      <c r="B185" s="6"/>
      <c r="C185" s="6"/>
      <c r="D185" s="65"/>
      <c r="E185" s="6"/>
      <c r="F185" s="6"/>
      <c r="G185" s="6"/>
      <c r="H185" s="6"/>
      <c r="I185" s="6"/>
      <c r="J185" s="6"/>
      <c r="K185" s="6"/>
      <c r="L185" s="6"/>
      <c r="M185" s="6"/>
      <c r="N185" s="6"/>
      <c r="O185" s="6"/>
      <c r="P185" s="6"/>
      <c r="Q185" s="6"/>
      <c r="R185" s="6"/>
      <c r="S185" s="6"/>
      <c r="T185" s="6"/>
      <c r="U185" s="6"/>
      <c r="V185" s="6"/>
      <c r="W185" s="6"/>
      <c r="X185" s="6"/>
      <c r="Y185" s="6"/>
      <c r="Z185" s="6"/>
    </row>
    <row r="186" spans="1:26" ht="15.75" customHeight="1" x14ac:dyDescent="0.25">
      <c r="A186" s="64"/>
      <c r="B186" s="6"/>
      <c r="C186" s="6"/>
      <c r="D186" s="65"/>
      <c r="E186" s="6"/>
      <c r="F186" s="6"/>
      <c r="G186" s="6"/>
      <c r="H186" s="6"/>
      <c r="I186" s="6"/>
      <c r="J186" s="6"/>
      <c r="K186" s="6"/>
      <c r="L186" s="6"/>
      <c r="M186" s="6"/>
      <c r="N186" s="6"/>
      <c r="O186" s="6"/>
      <c r="P186" s="6"/>
      <c r="Q186" s="6"/>
      <c r="R186" s="6"/>
      <c r="S186" s="6"/>
      <c r="T186" s="6"/>
      <c r="U186" s="6"/>
      <c r="V186" s="6"/>
      <c r="W186" s="6"/>
      <c r="X186" s="6"/>
      <c r="Y186" s="6"/>
      <c r="Z186" s="6"/>
    </row>
    <row r="187" spans="1:26" ht="15.75" customHeight="1" x14ac:dyDescent="0.25">
      <c r="A187" s="64"/>
      <c r="B187" s="6"/>
      <c r="C187" s="6"/>
      <c r="D187" s="65"/>
      <c r="E187" s="6"/>
      <c r="F187" s="6"/>
      <c r="G187" s="6"/>
      <c r="H187" s="6"/>
      <c r="I187" s="6"/>
      <c r="J187" s="6"/>
      <c r="K187" s="6"/>
      <c r="L187" s="6"/>
      <c r="M187" s="6"/>
      <c r="N187" s="6"/>
      <c r="O187" s="6"/>
      <c r="P187" s="6"/>
      <c r="Q187" s="6"/>
      <c r="R187" s="6"/>
      <c r="S187" s="6"/>
      <c r="T187" s="6"/>
      <c r="U187" s="6"/>
      <c r="V187" s="6"/>
      <c r="W187" s="6"/>
      <c r="X187" s="6"/>
      <c r="Y187" s="6"/>
      <c r="Z187" s="6"/>
    </row>
    <row r="188" spans="1:26" ht="15.75" customHeight="1" x14ac:dyDescent="0.25">
      <c r="A188" s="64"/>
      <c r="B188" s="6"/>
      <c r="C188" s="6"/>
      <c r="D188" s="65"/>
      <c r="E188" s="6"/>
      <c r="F188" s="6"/>
      <c r="G188" s="6"/>
      <c r="H188" s="6"/>
      <c r="I188" s="6"/>
      <c r="J188" s="6"/>
      <c r="K188" s="6"/>
      <c r="L188" s="6"/>
      <c r="M188" s="6"/>
      <c r="N188" s="6"/>
      <c r="O188" s="6"/>
      <c r="P188" s="6"/>
      <c r="Q188" s="6"/>
      <c r="R188" s="6"/>
      <c r="S188" s="6"/>
      <c r="T188" s="6"/>
      <c r="U188" s="6"/>
      <c r="V188" s="6"/>
      <c r="W188" s="6"/>
      <c r="X188" s="6"/>
      <c r="Y188" s="6"/>
      <c r="Z188" s="6"/>
    </row>
    <row r="189" spans="1:26" ht="15.75" customHeight="1" x14ac:dyDescent="0.25">
      <c r="A189" s="64"/>
      <c r="B189" s="6"/>
      <c r="C189" s="6"/>
      <c r="D189" s="65"/>
      <c r="E189" s="6"/>
      <c r="F189" s="6"/>
      <c r="G189" s="6"/>
      <c r="H189" s="6"/>
      <c r="I189" s="6"/>
      <c r="J189" s="6"/>
      <c r="K189" s="6"/>
      <c r="L189" s="6"/>
      <c r="M189" s="6"/>
      <c r="N189" s="6"/>
      <c r="O189" s="6"/>
      <c r="P189" s="6"/>
      <c r="Q189" s="6"/>
      <c r="R189" s="6"/>
      <c r="S189" s="6"/>
      <c r="T189" s="6"/>
      <c r="U189" s="6"/>
      <c r="V189" s="6"/>
      <c r="W189" s="6"/>
      <c r="X189" s="6"/>
      <c r="Y189" s="6"/>
      <c r="Z189" s="6"/>
    </row>
    <row r="190" spans="1:26" ht="15.75" customHeight="1" x14ac:dyDescent="0.25">
      <c r="A190" s="64"/>
      <c r="B190" s="6"/>
      <c r="C190" s="6"/>
      <c r="D190" s="65"/>
      <c r="E190" s="6"/>
      <c r="F190" s="6"/>
      <c r="G190" s="6"/>
      <c r="H190" s="6"/>
      <c r="I190" s="6"/>
      <c r="J190" s="6"/>
      <c r="K190" s="6"/>
      <c r="L190" s="6"/>
      <c r="M190" s="6"/>
      <c r="N190" s="6"/>
      <c r="O190" s="6"/>
      <c r="P190" s="6"/>
      <c r="Q190" s="6"/>
      <c r="R190" s="6"/>
      <c r="S190" s="6"/>
      <c r="T190" s="6"/>
      <c r="U190" s="6"/>
      <c r="V190" s="6"/>
      <c r="W190" s="6"/>
      <c r="X190" s="6"/>
      <c r="Y190" s="6"/>
      <c r="Z190" s="6"/>
    </row>
    <row r="191" spans="1:26" ht="15.75" customHeight="1" x14ac:dyDescent="0.25">
      <c r="A191" s="64"/>
      <c r="B191" s="6"/>
      <c r="C191" s="6"/>
      <c r="D191" s="65"/>
      <c r="E191" s="6"/>
      <c r="F191" s="6"/>
      <c r="G191" s="6"/>
      <c r="H191" s="6"/>
      <c r="I191" s="6"/>
      <c r="J191" s="6"/>
      <c r="K191" s="6"/>
      <c r="L191" s="6"/>
      <c r="M191" s="6"/>
      <c r="N191" s="6"/>
      <c r="O191" s="6"/>
      <c r="P191" s="6"/>
      <c r="Q191" s="6"/>
      <c r="R191" s="6"/>
      <c r="S191" s="6"/>
      <c r="T191" s="6"/>
      <c r="U191" s="6"/>
      <c r="V191" s="6"/>
      <c r="W191" s="6"/>
      <c r="X191" s="6"/>
      <c r="Y191" s="6"/>
      <c r="Z191" s="6"/>
    </row>
    <row r="192" spans="1:26" ht="15.75" customHeight="1" x14ac:dyDescent="0.25">
      <c r="A192" s="64"/>
      <c r="B192" s="6"/>
      <c r="C192" s="6"/>
      <c r="D192" s="65"/>
      <c r="E192" s="6"/>
      <c r="F192" s="6"/>
      <c r="G192" s="6"/>
      <c r="H192" s="6"/>
      <c r="I192" s="6"/>
      <c r="J192" s="6"/>
      <c r="K192" s="6"/>
      <c r="L192" s="6"/>
      <c r="M192" s="6"/>
      <c r="N192" s="6"/>
      <c r="O192" s="6"/>
      <c r="P192" s="6"/>
      <c r="Q192" s="6"/>
      <c r="R192" s="6"/>
      <c r="S192" s="6"/>
      <c r="T192" s="6"/>
      <c r="U192" s="6"/>
      <c r="V192" s="6"/>
      <c r="W192" s="6"/>
      <c r="X192" s="6"/>
      <c r="Y192" s="6"/>
      <c r="Z192" s="6"/>
    </row>
    <row r="193" spans="1:26" ht="15.75" customHeight="1" x14ac:dyDescent="0.25">
      <c r="A193" s="64"/>
      <c r="B193" s="6"/>
      <c r="C193" s="6"/>
      <c r="D193" s="65"/>
      <c r="E193" s="6"/>
      <c r="F193" s="6"/>
      <c r="G193" s="6"/>
      <c r="H193" s="6"/>
      <c r="I193" s="6"/>
      <c r="J193" s="6"/>
      <c r="K193" s="6"/>
      <c r="L193" s="6"/>
      <c r="M193" s="6"/>
      <c r="N193" s="6"/>
      <c r="O193" s="6"/>
      <c r="P193" s="6"/>
      <c r="Q193" s="6"/>
      <c r="R193" s="6"/>
      <c r="S193" s="6"/>
      <c r="T193" s="6"/>
      <c r="U193" s="6"/>
      <c r="V193" s="6"/>
      <c r="W193" s="6"/>
      <c r="X193" s="6"/>
      <c r="Y193" s="6"/>
      <c r="Z193" s="6"/>
    </row>
    <row r="194" spans="1:26" ht="15.75" customHeight="1" x14ac:dyDescent="0.25">
      <c r="A194" s="64"/>
      <c r="B194" s="6"/>
      <c r="C194" s="6"/>
      <c r="D194" s="65"/>
      <c r="E194" s="6"/>
      <c r="F194" s="6"/>
      <c r="G194" s="6"/>
      <c r="H194" s="6"/>
      <c r="I194" s="6"/>
      <c r="J194" s="6"/>
      <c r="K194" s="6"/>
      <c r="L194" s="6"/>
      <c r="M194" s="6"/>
      <c r="N194" s="6"/>
      <c r="O194" s="6"/>
      <c r="P194" s="6"/>
      <c r="Q194" s="6"/>
      <c r="R194" s="6"/>
      <c r="S194" s="6"/>
      <c r="T194" s="6"/>
      <c r="U194" s="6"/>
      <c r="V194" s="6"/>
      <c r="W194" s="6"/>
      <c r="X194" s="6"/>
      <c r="Y194" s="6"/>
      <c r="Z194" s="6"/>
    </row>
    <row r="195" spans="1:26" ht="15.75" customHeight="1" x14ac:dyDescent="0.25">
      <c r="A195" s="64"/>
      <c r="B195" s="6"/>
      <c r="C195" s="6"/>
      <c r="D195" s="65"/>
      <c r="E195" s="6"/>
      <c r="F195" s="6"/>
      <c r="G195" s="6"/>
      <c r="H195" s="6"/>
      <c r="I195" s="6"/>
      <c r="J195" s="6"/>
      <c r="K195" s="6"/>
      <c r="L195" s="6"/>
      <c r="M195" s="6"/>
      <c r="N195" s="6"/>
      <c r="O195" s="6"/>
      <c r="P195" s="6"/>
      <c r="Q195" s="6"/>
      <c r="R195" s="6"/>
      <c r="S195" s="6"/>
      <c r="T195" s="6"/>
      <c r="U195" s="6"/>
      <c r="V195" s="6"/>
      <c r="W195" s="6"/>
      <c r="X195" s="6"/>
      <c r="Y195" s="6"/>
      <c r="Z195" s="6"/>
    </row>
    <row r="196" spans="1:26" ht="15.75" customHeight="1" x14ac:dyDescent="0.25">
      <c r="A196" s="64"/>
      <c r="B196" s="6"/>
      <c r="C196" s="6"/>
      <c r="D196" s="65"/>
      <c r="E196" s="6"/>
      <c r="F196" s="6"/>
      <c r="G196" s="6"/>
      <c r="H196" s="6"/>
      <c r="I196" s="6"/>
      <c r="J196" s="6"/>
      <c r="K196" s="6"/>
      <c r="L196" s="6"/>
      <c r="M196" s="6"/>
      <c r="N196" s="6"/>
      <c r="O196" s="6"/>
      <c r="P196" s="6"/>
      <c r="Q196" s="6"/>
      <c r="R196" s="6"/>
      <c r="S196" s="6"/>
      <c r="T196" s="6"/>
      <c r="U196" s="6"/>
      <c r="V196" s="6"/>
      <c r="W196" s="6"/>
      <c r="X196" s="6"/>
      <c r="Y196" s="6"/>
      <c r="Z196" s="6"/>
    </row>
    <row r="197" spans="1:26" ht="15.75" customHeight="1" x14ac:dyDescent="0.25">
      <c r="A197" s="64"/>
      <c r="B197" s="6"/>
      <c r="C197" s="6"/>
      <c r="D197" s="65"/>
      <c r="E197" s="6"/>
      <c r="F197" s="6"/>
      <c r="G197" s="6"/>
      <c r="H197" s="6"/>
      <c r="I197" s="6"/>
      <c r="J197" s="6"/>
      <c r="K197" s="6"/>
      <c r="L197" s="6"/>
      <c r="M197" s="6"/>
      <c r="N197" s="6"/>
      <c r="O197" s="6"/>
      <c r="P197" s="6"/>
      <c r="Q197" s="6"/>
      <c r="R197" s="6"/>
      <c r="S197" s="6"/>
      <c r="T197" s="6"/>
      <c r="U197" s="6"/>
      <c r="V197" s="6"/>
      <c r="W197" s="6"/>
      <c r="X197" s="6"/>
      <c r="Y197" s="6"/>
      <c r="Z197" s="6"/>
    </row>
    <row r="198" spans="1:26" ht="15.75" customHeight="1" x14ac:dyDescent="0.25">
      <c r="A198" s="64"/>
      <c r="B198" s="6"/>
      <c r="C198" s="6"/>
      <c r="D198" s="65"/>
      <c r="E198" s="6"/>
      <c r="F198" s="6"/>
      <c r="G198" s="6"/>
      <c r="H198" s="6"/>
      <c r="I198" s="6"/>
      <c r="J198" s="6"/>
      <c r="K198" s="6"/>
      <c r="L198" s="6"/>
      <c r="M198" s="6"/>
      <c r="N198" s="6"/>
      <c r="O198" s="6"/>
      <c r="P198" s="6"/>
      <c r="Q198" s="6"/>
      <c r="R198" s="6"/>
      <c r="S198" s="6"/>
      <c r="T198" s="6"/>
      <c r="U198" s="6"/>
      <c r="V198" s="6"/>
      <c r="W198" s="6"/>
      <c r="X198" s="6"/>
      <c r="Y198" s="6"/>
      <c r="Z198" s="6"/>
    </row>
    <row r="199" spans="1:26" ht="15.75" customHeight="1" x14ac:dyDescent="0.25">
      <c r="A199" s="64"/>
      <c r="B199" s="6"/>
      <c r="C199" s="6"/>
      <c r="D199" s="65"/>
      <c r="E199" s="6"/>
      <c r="F199" s="6"/>
      <c r="G199" s="6"/>
      <c r="H199" s="6"/>
      <c r="I199" s="6"/>
      <c r="J199" s="6"/>
      <c r="K199" s="6"/>
      <c r="L199" s="6"/>
      <c r="M199" s="6"/>
      <c r="N199" s="6"/>
      <c r="O199" s="6"/>
      <c r="P199" s="6"/>
      <c r="Q199" s="6"/>
      <c r="R199" s="6"/>
      <c r="S199" s="6"/>
      <c r="T199" s="6"/>
      <c r="U199" s="6"/>
      <c r="V199" s="6"/>
      <c r="W199" s="6"/>
      <c r="X199" s="6"/>
      <c r="Y199" s="6"/>
      <c r="Z199" s="6"/>
    </row>
    <row r="200" spans="1:26" ht="15.75" customHeight="1" x14ac:dyDescent="0.25">
      <c r="A200" s="64"/>
      <c r="B200" s="6"/>
      <c r="C200" s="6"/>
      <c r="D200" s="65"/>
      <c r="E200" s="6"/>
      <c r="F200" s="6"/>
      <c r="G200" s="6"/>
      <c r="H200" s="6"/>
      <c r="I200" s="6"/>
      <c r="J200" s="6"/>
      <c r="K200" s="6"/>
      <c r="L200" s="6"/>
      <c r="M200" s="6"/>
      <c r="N200" s="6"/>
      <c r="O200" s="6"/>
      <c r="P200" s="6"/>
      <c r="Q200" s="6"/>
      <c r="R200" s="6"/>
      <c r="S200" s="6"/>
      <c r="T200" s="6"/>
      <c r="U200" s="6"/>
      <c r="V200" s="6"/>
      <c r="W200" s="6"/>
      <c r="X200" s="6"/>
      <c r="Y200" s="6"/>
      <c r="Z200" s="6"/>
    </row>
    <row r="201" spans="1:26" ht="15.75" customHeight="1" x14ac:dyDescent="0.25">
      <c r="A201" s="64"/>
      <c r="B201" s="6"/>
      <c r="C201" s="6"/>
      <c r="D201" s="65"/>
      <c r="E201" s="6"/>
      <c r="F201" s="6"/>
      <c r="G201" s="6"/>
      <c r="H201" s="6"/>
      <c r="I201" s="6"/>
      <c r="J201" s="6"/>
      <c r="K201" s="6"/>
      <c r="L201" s="6"/>
      <c r="M201" s="6"/>
      <c r="N201" s="6"/>
      <c r="O201" s="6"/>
      <c r="P201" s="6"/>
      <c r="Q201" s="6"/>
      <c r="R201" s="6"/>
      <c r="S201" s="6"/>
      <c r="T201" s="6"/>
      <c r="U201" s="6"/>
      <c r="V201" s="6"/>
      <c r="W201" s="6"/>
      <c r="X201" s="6"/>
      <c r="Y201" s="6"/>
      <c r="Z201" s="6"/>
    </row>
    <row r="202" spans="1:26" ht="15.75" customHeight="1" x14ac:dyDescent="0.25">
      <c r="A202" s="64"/>
      <c r="B202" s="6"/>
      <c r="C202" s="6"/>
      <c r="D202" s="65"/>
      <c r="E202" s="6"/>
      <c r="F202" s="6"/>
      <c r="G202" s="6"/>
      <c r="H202" s="6"/>
      <c r="I202" s="6"/>
      <c r="J202" s="6"/>
      <c r="K202" s="6"/>
      <c r="L202" s="6"/>
      <c r="M202" s="6"/>
      <c r="N202" s="6"/>
      <c r="O202" s="6"/>
      <c r="P202" s="6"/>
      <c r="Q202" s="6"/>
      <c r="R202" s="6"/>
      <c r="S202" s="6"/>
      <c r="T202" s="6"/>
      <c r="U202" s="6"/>
      <c r="V202" s="6"/>
      <c r="W202" s="6"/>
      <c r="X202" s="6"/>
      <c r="Y202" s="6"/>
      <c r="Z202" s="6"/>
    </row>
    <row r="203" spans="1:26" ht="15.75" customHeight="1" x14ac:dyDescent="0.25">
      <c r="A203" s="64"/>
      <c r="B203" s="6"/>
      <c r="C203" s="6"/>
      <c r="D203" s="65"/>
      <c r="E203" s="6"/>
      <c r="F203" s="6"/>
      <c r="G203" s="6"/>
      <c r="H203" s="6"/>
      <c r="I203" s="6"/>
      <c r="J203" s="6"/>
      <c r="K203" s="6"/>
      <c r="L203" s="6"/>
      <c r="M203" s="6"/>
      <c r="N203" s="6"/>
      <c r="O203" s="6"/>
      <c r="P203" s="6"/>
      <c r="Q203" s="6"/>
      <c r="R203" s="6"/>
      <c r="S203" s="6"/>
      <c r="T203" s="6"/>
      <c r="U203" s="6"/>
      <c r="V203" s="6"/>
      <c r="W203" s="6"/>
      <c r="X203" s="6"/>
      <c r="Y203" s="6"/>
      <c r="Z203" s="6"/>
    </row>
    <row r="204" spans="1:26" ht="15.75" customHeight="1" x14ac:dyDescent="0.25">
      <c r="A204" s="64"/>
      <c r="B204" s="6"/>
      <c r="C204" s="6"/>
      <c r="D204" s="65"/>
      <c r="E204" s="6"/>
      <c r="F204" s="6"/>
      <c r="G204" s="6"/>
      <c r="H204" s="6"/>
      <c r="I204" s="6"/>
      <c r="J204" s="6"/>
      <c r="K204" s="6"/>
      <c r="L204" s="6"/>
      <c r="M204" s="6"/>
      <c r="N204" s="6"/>
      <c r="O204" s="6"/>
      <c r="P204" s="6"/>
      <c r="Q204" s="6"/>
      <c r="R204" s="6"/>
      <c r="S204" s="6"/>
      <c r="T204" s="6"/>
      <c r="U204" s="6"/>
      <c r="V204" s="6"/>
      <c r="W204" s="6"/>
      <c r="X204" s="6"/>
      <c r="Y204" s="6"/>
      <c r="Z204" s="6"/>
    </row>
    <row r="205" spans="1:26" ht="15.75" customHeight="1" x14ac:dyDescent="0.25">
      <c r="A205" s="64"/>
      <c r="B205" s="6"/>
      <c r="C205" s="6"/>
      <c r="D205" s="65"/>
      <c r="E205" s="6"/>
      <c r="F205" s="6"/>
      <c r="G205" s="6"/>
      <c r="H205" s="6"/>
      <c r="I205" s="6"/>
      <c r="J205" s="6"/>
      <c r="K205" s="6"/>
      <c r="L205" s="6"/>
      <c r="M205" s="6"/>
      <c r="N205" s="6"/>
      <c r="O205" s="6"/>
      <c r="P205" s="6"/>
      <c r="Q205" s="6"/>
      <c r="R205" s="6"/>
      <c r="S205" s="6"/>
      <c r="T205" s="6"/>
      <c r="U205" s="6"/>
      <c r="V205" s="6"/>
      <c r="W205" s="6"/>
      <c r="X205" s="6"/>
      <c r="Y205" s="6"/>
      <c r="Z205" s="6"/>
    </row>
    <row r="206" spans="1:26" ht="15.75" customHeight="1" x14ac:dyDescent="0.25">
      <c r="A206" s="64"/>
      <c r="B206" s="6"/>
      <c r="C206" s="6"/>
      <c r="D206" s="65"/>
      <c r="E206" s="6"/>
      <c r="F206" s="6"/>
      <c r="G206" s="6"/>
      <c r="H206" s="6"/>
      <c r="I206" s="6"/>
      <c r="J206" s="6"/>
      <c r="K206" s="6"/>
      <c r="L206" s="6"/>
      <c r="M206" s="6"/>
      <c r="N206" s="6"/>
      <c r="O206" s="6"/>
      <c r="P206" s="6"/>
      <c r="Q206" s="6"/>
      <c r="R206" s="6"/>
      <c r="S206" s="6"/>
      <c r="T206" s="6"/>
      <c r="U206" s="6"/>
      <c r="V206" s="6"/>
      <c r="W206" s="6"/>
      <c r="X206" s="6"/>
      <c r="Y206" s="6"/>
      <c r="Z206" s="6"/>
    </row>
    <row r="207" spans="1:26" ht="15.75" customHeight="1" x14ac:dyDescent="0.25">
      <c r="A207" s="64"/>
      <c r="B207" s="6"/>
      <c r="C207" s="6"/>
      <c r="D207" s="65"/>
      <c r="E207" s="6"/>
      <c r="F207" s="6"/>
      <c r="G207" s="6"/>
      <c r="H207" s="6"/>
      <c r="I207" s="6"/>
      <c r="J207" s="6"/>
      <c r="K207" s="6"/>
      <c r="L207" s="6"/>
      <c r="M207" s="6"/>
      <c r="N207" s="6"/>
      <c r="O207" s="6"/>
      <c r="P207" s="6"/>
      <c r="Q207" s="6"/>
      <c r="R207" s="6"/>
      <c r="S207" s="6"/>
      <c r="T207" s="6"/>
      <c r="U207" s="6"/>
      <c r="V207" s="6"/>
      <c r="W207" s="6"/>
      <c r="X207" s="6"/>
      <c r="Y207" s="6"/>
      <c r="Z207" s="6"/>
    </row>
    <row r="208" spans="1:26" ht="15.75" customHeight="1" x14ac:dyDescent="0.25">
      <c r="A208" s="64"/>
      <c r="B208" s="6"/>
      <c r="C208" s="6"/>
      <c r="D208" s="65"/>
      <c r="E208" s="6"/>
      <c r="F208" s="6"/>
      <c r="G208" s="6"/>
      <c r="H208" s="6"/>
      <c r="I208" s="6"/>
      <c r="J208" s="6"/>
      <c r="K208" s="6"/>
      <c r="L208" s="6"/>
      <c r="M208" s="6"/>
      <c r="N208" s="6"/>
      <c r="O208" s="6"/>
      <c r="P208" s="6"/>
      <c r="Q208" s="6"/>
      <c r="R208" s="6"/>
      <c r="S208" s="6"/>
      <c r="T208" s="6"/>
      <c r="U208" s="6"/>
      <c r="V208" s="6"/>
      <c r="W208" s="6"/>
      <c r="X208" s="6"/>
      <c r="Y208" s="6"/>
      <c r="Z208" s="6"/>
    </row>
    <row r="209" spans="1:26" ht="15.75" customHeight="1" x14ac:dyDescent="0.25">
      <c r="A209" s="64"/>
      <c r="B209" s="6"/>
      <c r="C209" s="6"/>
      <c r="D209" s="65"/>
      <c r="E209" s="6"/>
      <c r="F209" s="6"/>
      <c r="G209" s="6"/>
      <c r="H209" s="6"/>
      <c r="I209" s="6"/>
      <c r="J209" s="6"/>
      <c r="K209" s="6"/>
      <c r="L209" s="6"/>
      <c r="M209" s="6"/>
      <c r="N209" s="6"/>
      <c r="O209" s="6"/>
      <c r="P209" s="6"/>
      <c r="Q209" s="6"/>
      <c r="R209" s="6"/>
      <c r="S209" s="6"/>
      <c r="T209" s="6"/>
      <c r="U209" s="6"/>
      <c r="V209" s="6"/>
      <c r="W209" s="6"/>
      <c r="X209" s="6"/>
      <c r="Y209" s="6"/>
      <c r="Z209" s="6"/>
    </row>
    <row r="210" spans="1:26" ht="15.75" customHeight="1" x14ac:dyDescent="0.25">
      <c r="A210" s="64"/>
      <c r="B210" s="6"/>
      <c r="C210" s="6"/>
      <c r="D210" s="65"/>
      <c r="E210" s="6"/>
      <c r="F210" s="6"/>
      <c r="G210" s="6"/>
      <c r="H210" s="6"/>
      <c r="I210" s="6"/>
      <c r="J210" s="6"/>
      <c r="K210" s="6"/>
      <c r="L210" s="6"/>
      <c r="M210" s="6"/>
      <c r="N210" s="6"/>
      <c r="O210" s="6"/>
      <c r="P210" s="6"/>
      <c r="Q210" s="6"/>
      <c r="R210" s="6"/>
      <c r="S210" s="6"/>
      <c r="T210" s="6"/>
      <c r="U210" s="6"/>
      <c r="V210" s="6"/>
      <c r="W210" s="6"/>
      <c r="X210" s="6"/>
      <c r="Y210" s="6"/>
      <c r="Z210" s="6"/>
    </row>
    <row r="211" spans="1:26" ht="15.75" customHeight="1" x14ac:dyDescent="0.25">
      <c r="A211" s="64"/>
      <c r="B211" s="6"/>
      <c r="C211" s="6"/>
      <c r="D211" s="65"/>
      <c r="E211" s="6"/>
      <c r="F211" s="6"/>
      <c r="G211" s="6"/>
      <c r="H211" s="6"/>
      <c r="I211" s="6"/>
      <c r="J211" s="6"/>
      <c r="K211" s="6"/>
      <c r="L211" s="6"/>
      <c r="M211" s="6"/>
      <c r="N211" s="6"/>
      <c r="O211" s="6"/>
      <c r="P211" s="6"/>
      <c r="Q211" s="6"/>
      <c r="R211" s="6"/>
      <c r="S211" s="6"/>
      <c r="T211" s="6"/>
      <c r="U211" s="6"/>
      <c r="V211" s="6"/>
      <c r="W211" s="6"/>
      <c r="X211" s="6"/>
      <c r="Y211" s="6"/>
      <c r="Z211" s="6"/>
    </row>
    <row r="212" spans="1:26" ht="15.75" customHeight="1" x14ac:dyDescent="0.25">
      <c r="A212" s="64"/>
      <c r="B212" s="6"/>
      <c r="C212" s="6"/>
      <c r="D212" s="65"/>
      <c r="E212" s="6"/>
      <c r="F212" s="6"/>
      <c r="G212" s="6"/>
      <c r="H212" s="6"/>
      <c r="I212" s="6"/>
      <c r="J212" s="6"/>
      <c r="K212" s="6"/>
      <c r="L212" s="6"/>
      <c r="M212" s="6"/>
      <c r="N212" s="6"/>
      <c r="O212" s="6"/>
      <c r="P212" s="6"/>
      <c r="Q212" s="6"/>
      <c r="R212" s="6"/>
      <c r="S212" s="6"/>
      <c r="T212" s="6"/>
      <c r="U212" s="6"/>
      <c r="V212" s="6"/>
      <c r="W212" s="6"/>
      <c r="X212" s="6"/>
      <c r="Y212" s="6"/>
      <c r="Z212" s="6"/>
    </row>
    <row r="213" spans="1:26" ht="15.75" customHeight="1" x14ac:dyDescent="0.25">
      <c r="A213" s="64"/>
      <c r="B213" s="6"/>
      <c r="C213" s="6"/>
      <c r="D213" s="65"/>
      <c r="E213" s="6"/>
      <c r="F213" s="6"/>
      <c r="G213" s="6"/>
      <c r="H213" s="6"/>
      <c r="I213" s="6"/>
      <c r="J213" s="6"/>
      <c r="K213" s="6"/>
      <c r="L213" s="6"/>
      <c r="M213" s="6"/>
      <c r="N213" s="6"/>
      <c r="O213" s="6"/>
      <c r="P213" s="6"/>
      <c r="Q213" s="6"/>
      <c r="R213" s="6"/>
      <c r="S213" s="6"/>
      <c r="T213" s="6"/>
      <c r="U213" s="6"/>
      <c r="V213" s="6"/>
      <c r="W213" s="6"/>
      <c r="X213" s="6"/>
      <c r="Y213" s="6"/>
      <c r="Z213" s="6"/>
    </row>
    <row r="214" spans="1:26" ht="15.75" customHeight="1" x14ac:dyDescent="0.25">
      <c r="A214" s="64"/>
      <c r="B214" s="6"/>
      <c r="C214" s="6"/>
      <c r="D214" s="65"/>
      <c r="E214" s="6"/>
      <c r="F214" s="6"/>
      <c r="G214" s="6"/>
      <c r="H214" s="6"/>
      <c r="I214" s="6"/>
      <c r="J214" s="6"/>
      <c r="K214" s="6"/>
      <c r="L214" s="6"/>
      <c r="M214" s="6"/>
      <c r="N214" s="6"/>
      <c r="O214" s="6"/>
      <c r="P214" s="6"/>
      <c r="Q214" s="6"/>
      <c r="R214" s="6"/>
      <c r="S214" s="6"/>
      <c r="T214" s="6"/>
      <c r="U214" s="6"/>
      <c r="V214" s="6"/>
      <c r="W214" s="6"/>
      <c r="X214" s="6"/>
      <c r="Y214" s="6"/>
      <c r="Z214" s="6"/>
    </row>
    <row r="215" spans="1:26" ht="15.75" customHeight="1" x14ac:dyDescent="0.25">
      <c r="A215" s="64"/>
      <c r="B215" s="6"/>
      <c r="C215" s="6"/>
      <c r="D215" s="65"/>
      <c r="E215" s="6"/>
      <c r="F215" s="6"/>
      <c r="G215" s="6"/>
      <c r="H215" s="6"/>
      <c r="I215" s="6"/>
      <c r="J215" s="6"/>
      <c r="K215" s="6"/>
      <c r="L215" s="6"/>
      <c r="M215" s="6"/>
      <c r="N215" s="6"/>
      <c r="O215" s="6"/>
      <c r="P215" s="6"/>
      <c r="Q215" s="6"/>
      <c r="R215" s="6"/>
      <c r="S215" s="6"/>
      <c r="T215" s="6"/>
      <c r="U215" s="6"/>
      <c r="V215" s="6"/>
      <c r="W215" s="6"/>
      <c r="X215" s="6"/>
      <c r="Y215" s="6"/>
      <c r="Z215" s="6"/>
    </row>
    <row r="216" spans="1:26" ht="15.75" customHeight="1" x14ac:dyDescent="0.25">
      <c r="A216" s="64"/>
      <c r="B216" s="6"/>
      <c r="C216" s="6"/>
      <c r="D216" s="65"/>
      <c r="E216" s="6"/>
      <c r="F216" s="6"/>
      <c r="G216" s="6"/>
      <c r="H216" s="6"/>
      <c r="I216" s="6"/>
      <c r="J216" s="6"/>
      <c r="K216" s="6"/>
      <c r="L216" s="6"/>
      <c r="M216" s="6"/>
      <c r="N216" s="6"/>
      <c r="O216" s="6"/>
      <c r="P216" s="6"/>
      <c r="Q216" s="6"/>
      <c r="R216" s="6"/>
      <c r="S216" s="6"/>
      <c r="T216" s="6"/>
      <c r="U216" s="6"/>
      <c r="V216" s="6"/>
      <c r="W216" s="6"/>
      <c r="X216" s="6"/>
      <c r="Y216" s="6"/>
      <c r="Z216" s="6"/>
    </row>
    <row r="217" spans="1:26" ht="15.75" customHeight="1" x14ac:dyDescent="0.25">
      <c r="A217" s="64"/>
      <c r="B217" s="6"/>
      <c r="C217" s="6"/>
      <c r="D217" s="65"/>
      <c r="E217" s="6"/>
      <c r="F217" s="6"/>
      <c r="G217" s="6"/>
      <c r="H217" s="6"/>
      <c r="I217" s="6"/>
      <c r="J217" s="6"/>
      <c r="K217" s="6"/>
      <c r="L217" s="6"/>
      <c r="M217" s="6"/>
      <c r="N217" s="6"/>
      <c r="O217" s="6"/>
      <c r="P217" s="6"/>
      <c r="Q217" s="6"/>
      <c r="R217" s="6"/>
      <c r="S217" s="6"/>
      <c r="T217" s="6"/>
      <c r="U217" s="6"/>
      <c r="V217" s="6"/>
      <c r="W217" s="6"/>
      <c r="X217" s="6"/>
      <c r="Y217" s="6"/>
      <c r="Z217" s="6"/>
    </row>
    <row r="218" spans="1:26" ht="15.75" customHeight="1" x14ac:dyDescent="0.25">
      <c r="A218" s="64"/>
      <c r="B218" s="6"/>
      <c r="C218" s="6"/>
      <c r="D218" s="65"/>
      <c r="E218" s="6"/>
      <c r="F218" s="6"/>
      <c r="G218" s="6"/>
      <c r="H218" s="6"/>
      <c r="I218" s="6"/>
      <c r="J218" s="6"/>
      <c r="K218" s="6"/>
      <c r="L218" s="6"/>
      <c r="M218" s="6"/>
      <c r="N218" s="6"/>
      <c r="O218" s="6"/>
      <c r="P218" s="6"/>
      <c r="Q218" s="6"/>
      <c r="R218" s="6"/>
      <c r="S218" s="6"/>
      <c r="T218" s="6"/>
      <c r="U218" s="6"/>
      <c r="V218" s="6"/>
      <c r="W218" s="6"/>
      <c r="X218" s="6"/>
      <c r="Y218" s="6"/>
      <c r="Z218" s="6"/>
    </row>
    <row r="219" spans="1:26" ht="15.75" customHeight="1" x14ac:dyDescent="0.25">
      <c r="A219" s="64"/>
      <c r="B219" s="6"/>
      <c r="C219" s="6"/>
      <c r="D219" s="65"/>
      <c r="E219" s="6"/>
      <c r="F219" s="6"/>
      <c r="G219" s="6"/>
      <c r="H219" s="6"/>
      <c r="I219" s="6"/>
      <c r="J219" s="6"/>
      <c r="K219" s="6"/>
      <c r="L219" s="6"/>
      <c r="M219" s="6"/>
      <c r="N219" s="6"/>
      <c r="O219" s="6"/>
      <c r="P219" s="6"/>
      <c r="Q219" s="6"/>
      <c r="R219" s="6"/>
      <c r="S219" s="6"/>
      <c r="T219" s="6"/>
      <c r="U219" s="6"/>
      <c r="V219" s="6"/>
      <c r="W219" s="6"/>
      <c r="X219" s="6"/>
      <c r="Y219" s="6"/>
      <c r="Z219" s="6"/>
    </row>
    <row r="220" spans="1:26" ht="15.75" customHeight="1" x14ac:dyDescent="0.25">
      <c r="A220" s="64"/>
      <c r="B220" s="6"/>
      <c r="C220" s="6"/>
      <c r="D220" s="65"/>
      <c r="E220" s="6"/>
      <c r="F220" s="6"/>
      <c r="G220" s="6"/>
      <c r="H220" s="6"/>
      <c r="I220" s="6"/>
      <c r="J220" s="6"/>
      <c r="K220" s="6"/>
      <c r="L220" s="6"/>
      <c r="M220" s="6"/>
      <c r="N220" s="6"/>
      <c r="O220" s="6"/>
      <c r="P220" s="6"/>
      <c r="Q220" s="6"/>
      <c r="R220" s="6"/>
      <c r="S220" s="6"/>
      <c r="T220" s="6"/>
      <c r="U220" s="6"/>
      <c r="V220" s="6"/>
      <c r="W220" s="6"/>
      <c r="X220" s="6"/>
      <c r="Y220" s="6"/>
      <c r="Z220" s="6"/>
    </row>
    <row r="221" spans="1:26" ht="15.75" customHeight="1" x14ac:dyDescent="0.25">
      <c r="A221" s="6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5.75" customHeight="1" x14ac:dyDescent="0.25">
      <c r="A222" s="6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5.75" customHeight="1" x14ac:dyDescent="0.25">
      <c r="A223" s="6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5.75" customHeight="1" x14ac:dyDescent="0.25">
      <c r="A224" s="6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5.75" customHeight="1" x14ac:dyDescent="0.25">
      <c r="A225" s="6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5.75" customHeight="1" x14ac:dyDescent="0.25">
      <c r="A226" s="6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5.75" customHeight="1" x14ac:dyDescent="0.25">
      <c r="A227" s="6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5.75" customHeight="1" x14ac:dyDescent="0.25">
      <c r="A228" s="6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5.75" customHeight="1" x14ac:dyDescent="0.25">
      <c r="A229" s="6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5.75" customHeight="1" x14ac:dyDescent="0.25">
      <c r="A230" s="6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5.75" customHeight="1" x14ac:dyDescent="0.25">
      <c r="A231" s="6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5.75" customHeight="1" x14ac:dyDescent="0.25">
      <c r="A232" s="6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5.75" customHeight="1" x14ac:dyDescent="0.25">
      <c r="A233" s="6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5.75" customHeight="1" x14ac:dyDescent="0.25">
      <c r="A234" s="6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5.75" customHeight="1" x14ac:dyDescent="0.25">
      <c r="A235" s="6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5.75" customHeight="1" x14ac:dyDescent="0.25">
      <c r="A236" s="6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5.75" customHeight="1" x14ac:dyDescent="0.25">
      <c r="A237" s="6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5.75" customHeight="1" x14ac:dyDescent="0.25">
      <c r="A238" s="6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5.75" customHeight="1" x14ac:dyDescent="0.25">
      <c r="A239" s="6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5.75" customHeight="1" x14ac:dyDescent="0.25">
      <c r="A240" s="6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5.75" customHeight="1" x14ac:dyDescent="0.25">
      <c r="A241" s="6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5.75" customHeight="1" x14ac:dyDescent="0.25">
      <c r="A242" s="6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5.75" customHeight="1" x14ac:dyDescent="0.25">
      <c r="A243" s="6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5.75" customHeight="1" x14ac:dyDescent="0.25">
      <c r="A244" s="6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5.75" customHeight="1" x14ac:dyDescent="0.25">
      <c r="A245" s="6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5.75" customHeight="1" x14ac:dyDescent="0.25">
      <c r="A246" s="6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5.75" customHeight="1" x14ac:dyDescent="0.25">
      <c r="A247" s="6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5.75" customHeight="1" x14ac:dyDescent="0.25">
      <c r="A248" s="6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5.75" customHeight="1" x14ac:dyDescent="0.25">
      <c r="A249" s="6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5.75" customHeight="1" x14ac:dyDescent="0.25">
      <c r="A250" s="6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5.75" customHeight="1" x14ac:dyDescent="0.25">
      <c r="A251" s="6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5.75" customHeight="1" x14ac:dyDescent="0.25">
      <c r="A252" s="6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5.75" customHeight="1" x14ac:dyDescent="0.25">
      <c r="A253" s="6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5.75" customHeight="1" x14ac:dyDescent="0.25">
      <c r="A254" s="6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x14ac:dyDescent="0.25">
      <c r="A255" s="6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5.75" customHeight="1" x14ac:dyDescent="0.25">
      <c r="A256" s="6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5.75" customHeight="1" x14ac:dyDescent="0.25">
      <c r="A257" s="6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5.75" customHeight="1" x14ac:dyDescent="0.25">
      <c r="A258" s="6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5.75" customHeight="1" x14ac:dyDescent="0.25">
      <c r="A259" s="6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5.75" customHeight="1" x14ac:dyDescent="0.25">
      <c r="A260" s="6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5.75" customHeight="1" x14ac:dyDescent="0.25">
      <c r="A261" s="6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5.75" customHeight="1" x14ac:dyDescent="0.25">
      <c r="A262" s="6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5.75" customHeight="1" x14ac:dyDescent="0.25">
      <c r="A263" s="6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5.75" customHeight="1" x14ac:dyDescent="0.25">
      <c r="A264" s="6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5.75" customHeight="1" x14ac:dyDescent="0.25">
      <c r="A265" s="6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5.75" customHeight="1" x14ac:dyDescent="0.25">
      <c r="A266" s="6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5.75" customHeight="1" x14ac:dyDescent="0.25">
      <c r="A267" s="6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5.75" customHeight="1" x14ac:dyDescent="0.25">
      <c r="A268" s="6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5.75" customHeight="1" x14ac:dyDescent="0.25">
      <c r="A269" s="6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5.75" customHeight="1" x14ac:dyDescent="0.25">
      <c r="A270" s="6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5.75" customHeight="1" x14ac:dyDescent="0.25">
      <c r="A271" s="6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5.75" customHeight="1" x14ac:dyDescent="0.25">
      <c r="A272" s="6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5.75" customHeight="1" x14ac:dyDescent="0.25">
      <c r="A273" s="6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5.75" customHeight="1" x14ac:dyDescent="0.25">
      <c r="A274" s="6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5.75" customHeight="1" x14ac:dyDescent="0.25">
      <c r="A275" s="6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5.75" customHeight="1" x14ac:dyDescent="0.25">
      <c r="A276" s="6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5.75" customHeight="1" x14ac:dyDescent="0.25">
      <c r="A277" s="6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5.75" customHeight="1" x14ac:dyDescent="0.25">
      <c r="A278" s="6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5.75" customHeight="1" x14ac:dyDescent="0.25">
      <c r="A279" s="6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5.75" customHeight="1" x14ac:dyDescent="0.25">
      <c r="A280" s="6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5.75" customHeight="1" x14ac:dyDescent="0.25">
      <c r="A281" s="6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5.75" customHeight="1" x14ac:dyDescent="0.25">
      <c r="A282" s="6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5.75" customHeight="1" x14ac:dyDescent="0.25">
      <c r="A283" s="6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5.75" customHeight="1" x14ac:dyDescent="0.25">
      <c r="A284" s="6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5.75" customHeight="1" x14ac:dyDescent="0.25">
      <c r="A285" s="6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5.75" customHeight="1" x14ac:dyDescent="0.25">
      <c r="A286" s="6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5.75" customHeight="1" x14ac:dyDescent="0.25">
      <c r="A287" s="6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5.75" customHeight="1" x14ac:dyDescent="0.25">
      <c r="A288" s="6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5.75" customHeight="1" x14ac:dyDescent="0.25">
      <c r="A289" s="6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5.75" customHeight="1" x14ac:dyDescent="0.25">
      <c r="A290" s="6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5.75" customHeight="1" x14ac:dyDescent="0.25">
      <c r="A291" s="6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5.75" customHeight="1" x14ac:dyDescent="0.25">
      <c r="A292" s="6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5.75" customHeight="1" x14ac:dyDescent="0.25">
      <c r="A293" s="6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5.75" customHeight="1" x14ac:dyDescent="0.25">
      <c r="A294" s="6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5.75" customHeight="1" x14ac:dyDescent="0.25">
      <c r="A295" s="6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5.75" customHeight="1" x14ac:dyDescent="0.25">
      <c r="A296" s="6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5.75" customHeight="1" x14ac:dyDescent="0.25">
      <c r="A297" s="6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5.75" customHeight="1" x14ac:dyDescent="0.25">
      <c r="A298" s="6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5.75" customHeight="1" x14ac:dyDescent="0.25">
      <c r="A299" s="6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5.75" customHeight="1" x14ac:dyDescent="0.25">
      <c r="A300" s="6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5.75" customHeight="1" x14ac:dyDescent="0.25">
      <c r="A301" s="6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5.75" customHeight="1" x14ac:dyDescent="0.25">
      <c r="A302" s="6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5.75" customHeight="1" x14ac:dyDescent="0.25">
      <c r="A303" s="6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5.75" customHeight="1" x14ac:dyDescent="0.25">
      <c r="A304" s="6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5.75" customHeight="1" x14ac:dyDescent="0.25">
      <c r="A305" s="6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5.75" customHeight="1" x14ac:dyDescent="0.25">
      <c r="A306" s="6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5.75" customHeight="1" x14ac:dyDescent="0.25">
      <c r="A307" s="6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5.75" customHeight="1" x14ac:dyDescent="0.25">
      <c r="A308" s="6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5.75" customHeight="1" x14ac:dyDescent="0.25">
      <c r="A309" s="6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5.75" customHeight="1" x14ac:dyDescent="0.25">
      <c r="A310" s="6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5.75" customHeight="1" x14ac:dyDescent="0.25">
      <c r="A311" s="6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5.75" customHeight="1" x14ac:dyDescent="0.25">
      <c r="A312" s="6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5.75" customHeight="1" x14ac:dyDescent="0.25">
      <c r="A313" s="6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5.75" customHeight="1" x14ac:dyDescent="0.25">
      <c r="A314" s="6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5.75" customHeight="1" x14ac:dyDescent="0.25">
      <c r="A315" s="6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5.75" customHeight="1" x14ac:dyDescent="0.25">
      <c r="A316" s="6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5.75" customHeight="1" x14ac:dyDescent="0.25">
      <c r="A317" s="6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5.75" customHeight="1" x14ac:dyDescent="0.25">
      <c r="A318" s="6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5.75" customHeight="1" x14ac:dyDescent="0.25">
      <c r="A319" s="6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5.75" customHeight="1" x14ac:dyDescent="0.25">
      <c r="A320" s="6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5.75" customHeight="1" x14ac:dyDescent="0.25">
      <c r="A321" s="6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5.75" customHeight="1" x14ac:dyDescent="0.25">
      <c r="A322" s="6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5.75" customHeight="1" x14ac:dyDescent="0.25">
      <c r="A323" s="6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5.75" customHeight="1" x14ac:dyDescent="0.25">
      <c r="A324" s="6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5.75" customHeight="1" x14ac:dyDescent="0.25">
      <c r="A325" s="6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5.75" customHeight="1" x14ac:dyDescent="0.25">
      <c r="A326" s="6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5.75" customHeight="1" x14ac:dyDescent="0.25">
      <c r="A327" s="6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5.75" customHeight="1" x14ac:dyDescent="0.25">
      <c r="A328" s="6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5.75" customHeight="1" x14ac:dyDescent="0.25">
      <c r="A329" s="6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5.75" customHeight="1" x14ac:dyDescent="0.25">
      <c r="A330" s="6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5.75" customHeight="1" x14ac:dyDescent="0.25">
      <c r="A331" s="6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5.75" customHeight="1" x14ac:dyDescent="0.25">
      <c r="A332" s="6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5.75" customHeight="1" x14ac:dyDescent="0.25">
      <c r="A333" s="6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5.75" customHeight="1" x14ac:dyDescent="0.25">
      <c r="A334" s="6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5.75" customHeight="1" x14ac:dyDescent="0.25">
      <c r="A335" s="6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5.75" customHeight="1" x14ac:dyDescent="0.25">
      <c r="A336" s="6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5.75" customHeight="1" x14ac:dyDescent="0.25">
      <c r="A337" s="6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5.75" customHeight="1" x14ac:dyDescent="0.25">
      <c r="A338" s="6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5.75" customHeight="1" x14ac:dyDescent="0.25">
      <c r="A339" s="6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5.75" customHeight="1" x14ac:dyDescent="0.25">
      <c r="A340" s="6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5.75" customHeight="1" x14ac:dyDescent="0.25">
      <c r="A341" s="6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5.75" customHeight="1" x14ac:dyDescent="0.25">
      <c r="A342" s="6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5.75" customHeight="1" x14ac:dyDescent="0.25">
      <c r="A343" s="6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5.75" customHeight="1" x14ac:dyDescent="0.25">
      <c r="A344" s="6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5.75" customHeight="1" x14ac:dyDescent="0.25">
      <c r="A345" s="6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5.75" customHeight="1" x14ac:dyDescent="0.25">
      <c r="A346" s="6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5.75" customHeight="1" x14ac:dyDescent="0.25">
      <c r="A347" s="6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5.75" customHeight="1" x14ac:dyDescent="0.25">
      <c r="A348" s="6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5.75" customHeight="1" x14ac:dyDescent="0.25">
      <c r="A349" s="6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5.75" customHeight="1" x14ac:dyDescent="0.25">
      <c r="A350" s="6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5.75" customHeight="1" x14ac:dyDescent="0.25">
      <c r="A351" s="6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5.75" customHeight="1" x14ac:dyDescent="0.25">
      <c r="A352" s="6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5.75" customHeight="1" x14ac:dyDescent="0.25">
      <c r="A353" s="6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5.75" customHeight="1" x14ac:dyDescent="0.25">
      <c r="A354" s="6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5.75" customHeight="1" x14ac:dyDescent="0.25">
      <c r="A355" s="6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5.75" customHeight="1" x14ac:dyDescent="0.25">
      <c r="A356" s="6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5.75" customHeight="1" x14ac:dyDescent="0.25">
      <c r="A357" s="6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5.75" customHeight="1" x14ac:dyDescent="0.25">
      <c r="A358" s="6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5.75" customHeight="1" x14ac:dyDescent="0.25">
      <c r="A359" s="6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5.75" customHeight="1" x14ac:dyDescent="0.25">
      <c r="A360" s="6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5.75" customHeight="1" x14ac:dyDescent="0.25">
      <c r="A361" s="6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5.75" customHeight="1" x14ac:dyDescent="0.25">
      <c r="A362" s="6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5.75" customHeight="1" x14ac:dyDescent="0.25">
      <c r="A363" s="6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5.75" customHeight="1" x14ac:dyDescent="0.25">
      <c r="A364" s="6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5.75" customHeight="1" x14ac:dyDescent="0.25">
      <c r="A365" s="6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5.75" customHeight="1" x14ac:dyDescent="0.25">
      <c r="A366" s="6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5.75" customHeight="1" x14ac:dyDescent="0.25">
      <c r="A367" s="6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5.75" customHeight="1" x14ac:dyDescent="0.25">
      <c r="A368" s="6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5.75" customHeight="1" x14ac:dyDescent="0.25">
      <c r="A369" s="6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5.75" customHeight="1" x14ac:dyDescent="0.25">
      <c r="A370" s="6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5.75" customHeight="1" x14ac:dyDescent="0.25">
      <c r="A371" s="6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5.75" customHeight="1" x14ac:dyDescent="0.25">
      <c r="A372" s="6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5.75" customHeight="1" x14ac:dyDescent="0.25">
      <c r="A373" s="6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5.75" customHeight="1" x14ac:dyDescent="0.25">
      <c r="A374" s="6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5.75" customHeight="1" x14ac:dyDescent="0.25">
      <c r="A375" s="6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5.75" customHeight="1" x14ac:dyDescent="0.25">
      <c r="A376" s="6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5.75" customHeight="1" x14ac:dyDescent="0.25">
      <c r="A377" s="6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5.75" customHeight="1" x14ac:dyDescent="0.25">
      <c r="A378" s="6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5.75" customHeight="1" x14ac:dyDescent="0.25">
      <c r="A379" s="6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5.75" customHeight="1" x14ac:dyDescent="0.25">
      <c r="A380" s="6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5.75" customHeight="1" x14ac:dyDescent="0.25">
      <c r="A381" s="6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5.75" customHeight="1" x14ac:dyDescent="0.25">
      <c r="A382" s="6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5.75" customHeight="1" x14ac:dyDescent="0.25">
      <c r="A383" s="6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5.75" customHeight="1" x14ac:dyDescent="0.25">
      <c r="A384" s="6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5.75" customHeight="1" x14ac:dyDescent="0.25">
      <c r="A385" s="6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5.75" customHeight="1" x14ac:dyDescent="0.25">
      <c r="A386" s="6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5.75" customHeight="1" x14ac:dyDescent="0.25">
      <c r="A387" s="6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5.75" customHeight="1" x14ac:dyDescent="0.25">
      <c r="A388" s="6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5.75" customHeight="1" x14ac:dyDescent="0.25">
      <c r="A389" s="6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5.75" customHeight="1" x14ac:dyDescent="0.25">
      <c r="A390" s="6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5.75" customHeight="1" x14ac:dyDescent="0.25">
      <c r="A391" s="6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5.75" customHeight="1" x14ac:dyDescent="0.25">
      <c r="A392" s="6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5.75" customHeight="1" x14ac:dyDescent="0.25">
      <c r="A393" s="6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5.75" customHeight="1" x14ac:dyDescent="0.25">
      <c r="A394" s="6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5.75" customHeight="1" x14ac:dyDescent="0.25">
      <c r="A395" s="6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5.75" customHeight="1" x14ac:dyDescent="0.25">
      <c r="A396" s="6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5.75" customHeight="1" x14ac:dyDescent="0.25">
      <c r="A397" s="6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5.75" customHeight="1" x14ac:dyDescent="0.25">
      <c r="A398" s="6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5.75" customHeight="1" x14ac:dyDescent="0.25">
      <c r="A399" s="6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5.75" customHeight="1" x14ac:dyDescent="0.25">
      <c r="A400" s="6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5.75" customHeight="1" x14ac:dyDescent="0.25">
      <c r="A401" s="6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5.75" customHeight="1" x14ac:dyDescent="0.25">
      <c r="A402" s="6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5.75" customHeight="1" x14ac:dyDescent="0.25">
      <c r="A403" s="6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5.75" customHeight="1" x14ac:dyDescent="0.25">
      <c r="A404" s="6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5.75" customHeight="1" x14ac:dyDescent="0.25">
      <c r="A405" s="6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5.75" customHeight="1" x14ac:dyDescent="0.25">
      <c r="A406" s="6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5.75" customHeight="1" x14ac:dyDescent="0.25">
      <c r="A407" s="6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5.75" customHeight="1" x14ac:dyDescent="0.25">
      <c r="A408" s="6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5.75" customHeight="1" x14ac:dyDescent="0.25">
      <c r="A409" s="6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5.75" customHeight="1" x14ac:dyDescent="0.25">
      <c r="A410" s="6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5.75" customHeight="1" x14ac:dyDescent="0.25">
      <c r="A411" s="6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5.75" customHeight="1" x14ac:dyDescent="0.25">
      <c r="A412" s="6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5.75" customHeight="1" x14ac:dyDescent="0.25">
      <c r="A413" s="6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5.75" customHeight="1" x14ac:dyDescent="0.25">
      <c r="A414" s="6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5.75" customHeight="1" x14ac:dyDescent="0.25">
      <c r="A415" s="6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5.75" customHeight="1" x14ac:dyDescent="0.25">
      <c r="A416" s="6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5.75" customHeight="1" x14ac:dyDescent="0.25">
      <c r="A417" s="6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5.75" customHeight="1" x14ac:dyDescent="0.25">
      <c r="A418" s="6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5.75" customHeight="1" x14ac:dyDescent="0.25">
      <c r="A419" s="6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5.75" customHeight="1" x14ac:dyDescent="0.25">
      <c r="A420" s="6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5.75" customHeight="1" x14ac:dyDescent="0.25">
      <c r="A421" s="6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5.75" customHeight="1" x14ac:dyDescent="0.25">
      <c r="A422" s="6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5.75" customHeight="1" x14ac:dyDescent="0.25">
      <c r="A423" s="6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5.75" customHeight="1" x14ac:dyDescent="0.25">
      <c r="A424" s="6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5.75" customHeight="1" x14ac:dyDescent="0.25">
      <c r="A425" s="6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5.75" customHeight="1" x14ac:dyDescent="0.25">
      <c r="A426" s="6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5.75" customHeight="1" x14ac:dyDescent="0.25">
      <c r="A427" s="6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5.75" customHeight="1" x14ac:dyDescent="0.25">
      <c r="A428" s="6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5.75" customHeight="1" x14ac:dyDescent="0.25">
      <c r="A429" s="6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5.75" customHeight="1" x14ac:dyDescent="0.25">
      <c r="A430" s="6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5.75" customHeight="1" x14ac:dyDescent="0.25">
      <c r="A431" s="6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5.75" customHeight="1" x14ac:dyDescent="0.25">
      <c r="A432" s="6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5.75" customHeight="1" x14ac:dyDescent="0.25">
      <c r="A433" s="6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5.75" customHeight="1" x14ac:dyDescent="0.25">
      <c r="A434" s="6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5.75" customHeight="1" x14ac:dyDescent="0.25">
      <c r="A435" s="6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5.75" customHeight="1" x14ac:dyDescent="0.25">
      <c r="A436" s="6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5.75" customHeight="1" x14ac:dyDescent="0.25">
      <c r="A437" s="6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5.75" customHeight="1" x14ac:dyDescent="0.25">
      <c r="A438" s="6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5.75" customHeight="1" x14ac:dyDescent="0.25">
      <c r="A439" s="6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5.75" customHeight="1" x14ac:dyDescent="0.25">
      <c r="A440" s="6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5.75" customHeight="1" x14ac:dyDescent="0.25">
      <c r="A441" s="6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5.75" customHeight="1" x14ac:dyDescent="0.25">
      <c r="A442" s="6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5.75" customHeight="1" x14ac:dyDescent="0.25">
      <c r="A443" s="6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5.75" customHeight="1" x14ac:dyDescent="0.25">
      <c r="A444" s="6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5.75" customHeight="1" x14ac:dyDescent="0.25">
      <c r="A445" s="6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5.75" customHeight="1" x14ac:dyDescent="0.25">
      <c r="A446" s="6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5.75" customHeight="1" x14ac:dyDescent="0.25">
      <c r="A447" s="6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5.75" customHeight="1" x14ac:dyDescent="0.25">
      <c r="A448" s="6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5.75" customHeight="1" x14ac:dyDescent="0.25">
      <c r="A449" s="6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5.75" customHeight="1" x14ac:dyDescent="0.25">
      <c r="A450" s="6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5.75" customHeight="1" x14ac:dyDescent="0.25">
      <c r="A451" s="6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5.75" customHeight="1" x14ac:dyDescent="0.25">
      <c r="A452" s="6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5.75" customHeight="1" x14ac:dyDescent="0.25">
      <c r="A453" s="6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5.75" customHeight="1" x14ac:dyDescent="0.25">
      <c r="A454" s="6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5.75" customHeight="1" x14ac:dyDescent="0.25">
      <c r="A455" s="6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5.75" customHeight="1" x14ac:dyDescent="0.25">
      <c r="A456" s="6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5.75" customHeight="1" x14ac:dyDescent="0.25">
      <c r="A457" s="6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5.75" customHeight="1" x14ac:dyDescent="0.25">
      <c r="A458" s="6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5.75" customHeight="1" x14ac:dyDescent="0.25">
      <c r="A459" s="6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5.75" customHeight="1" x14ac:dyDescent="0.25">
      <c r="A460" s="6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5.75" customHeight="1" x14ac:dyDescent="0.25">
      <c r="A461" s="6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5.75" customHeight="1" x14ac:dyDescent="0.25">
      <c r="A462" s="6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5.75" customHeight="1" x14ac:dyDescent="0.25">
      <c r="A463" s="6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5.75" customHeight="1" x14ac:dyDescent="0.25">
      <c r="A464" s="6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5.75" customHeight="1" x14ac:dyDescent="0.25">
      <c r="A465" s="6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5.75" customHeight="1" x14ac:dyDescent="0.25">
      <c r="A466" s="6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5.75" customHeight="1" x14ac:dyDescent="0.25">
      <c r="A467" s="6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5.75" customHeight="1" x14ac:dyDescent="0.25">
      <c r="A468" s="6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5.75" customHeight="1" x14ac:dyDescent="0.25">
      <c r="A469" s="6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5.75" customHeight="1" x14ac:dyDescent="0.25">
      <c r="A470" s="6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5.75" customHeight="1" x14ac:dyDescent="0.25">
      <c r="A471" s="6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5.75" customHeight="1" x14ac:dyDescent="0.25">
      <c r="A472" s="6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5.75" customHeight="1" x14ac:dyDescent="0.25">
      <c r="A473" s="6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5.75" customHeight="1" x14ac:dyDescent="0.25">
      <c r="A474" s="6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5.75" customHeight="1" x14ac:dyDescent="0.25">
      <c r="A475" s="6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5.75" customHeight="1" x14ac:dyDescent="0.25">
      <c r="A476" s="6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5.75" customHeight="1" x14ac:dyDescent="0.25">
      <c r="A477" s="6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5.75" customHeight="1" x14ac:dyDescent="0.25">
      <c r="A478" s="6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5.75" customHeight="1" x14ac:dyDescent="0.25">
      <c r="A479" s="6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5.75" customHeight="1" x14ac:dyDescent="0.25">
      <c r="A480" s="6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5.75" customHeight="1" x14ac:dyDescent="0.25">
      <c r="A481" s="6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5.75" customHeight="1" x14ac:dyDescent="0.25">
      <c r="A482" s="6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5.75" customHeight="1" x14ac:dyDescent="0.25">
      <c r="A483" s="6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5.75" customHeight="1" x14ac:dyDescent="0.25">
      <c r="A484" s="6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5.75" customHeight="1" x14ac:dyDescent="0.25">
      <c r="A485" s="6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5.75" customHeight="1" x14ac:dyDescent="0.25">
      <c r="A486" s="6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5.75" customHeight="1" x14ac:dyDescent="0.25">
      <c r="A487" s="6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5.75" customHeight="1" x14ac:dyDescent="0.25">
      <c r="A488" s="6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5.75" customHeight="1" x14ac:dyDescent="0.25">
      <c r="A489" s="6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5.75" customHeight="1" x14ac:dyDescent="0.25">
      <c r="A490" s="6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5.75" customHeight="1" x14ac:dyDescent="0.25">
      <c r="A491" s="6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5.75" customHeight="1" x14ac:dyDescent="0.25">
      <c r="A492" s="6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5.75" customHeight="1" x14ac:dyDescent="0.25">
      <c r="A493" s="6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5.75" customHeight="1" x14ac:dyDescent="0.25">
      <c r="A494" s="6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5.75" customHeight="1" x14ac:dyDescent="0.25">
      <c r="A495" s="6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5.75" customHeight="1" x14ac:dyDescent="0.25">
      <c r="A496" s="6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5.75" customHeight="1" x14ac:dyDescent="0.25">
      <c r="A497" s="6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5.75" customHeight="1" x14ac:dyDescent="0.25">
      <c r="A498" s="6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5.75" customHeight="1" x14ac:dyDescent="0.25">
      <c r="A499" s="6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5.75" customHeight="1" x14ac:dyDescent="0.25">
      <c r="A500" s="6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5.75" customHeight="1" x14ac:dyDescent="0.25">
      <c r="A501" s="6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5.75" customHeight="1" x14ac:dyDescent="0.25">
      <c r="A502" s="6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5.75" customHeight="1" x14ac:dyDescent="0.25">
      <c r="A503" s="6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5.75" customHeight="1" x14ac:dyDescent="0.25">
      <c r="A504" s="6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5.75" customHeight="1" x14ac:dyDescent="0.25">
      <c r="A505" s="6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5.75" customHeight="1" x14ac:dyDescent="0.25">
      <c r="A506" s="6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5.75" customHeight="1" x14ac:dyDescent="0.25">
      <c r="A507" s="6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5.75" customHeight="1" x14ac:dyDescent="0.25">
      <c r="A508" s="6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5.75" customHeight="1" x14ac:dyDescent="0.25">
      <c r="A509" s="6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5.75" customHeight="1" x14ac:dyDescent="0.25">
      <c r="A510" s="6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5.75" customHeight="1" x14ac:dyDescent="0.25">
      <c r="A511" s="6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5.75" customHeight="1" x14ac:dyDescent="0.25">
      <c r="A512" s="6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5.75" customHeight="1" x14ac:dyDescent="0.25">
      <c r="A513" s="6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5.75" customHeight="1" x14ac:dyDescent="0.25">
      <c r="A514" s="6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5.75" customHeight="1" x14ac:dyDescent="0.25">
      <c r="A515" s="6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5.75" customHeight="1" x14ac:dyDescent="0.25">
      <c r="A516" s="6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5.75" customHeight="1" x14ac:dyDescent="0.25">
      <c r="A517" s="6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5.75" customHeight="1" x14ac:dyDescent="0.25">
      <c r="A518" s="6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5.75" customHeight="1" x14ac:dyDescent="0.25">
      <c r="A519" s="6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5.75" customHeight="1" x14ac:dyDescent="0.25">
      <c r="A520" s="6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5.75" customHeight="1" x14ac:dyDescent="0.25">
      <c r="A521" s="6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5.75" customHeight="1" x14ac:dyDescent="0.25">
      <c r="A522" s="6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5.75" customHeight="1" x14ac:dyDescent="0.25">
      <c r="A523" s="6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5.75" customHeight="1" x14ac:dyDescent="0.25">
      <c r="A524" s="6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5.75" customHeight="1" x14ac:dyDescent="0.25">
      <c r="A525" s="6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5.75" customHeight="1" x14ac:dyDescent="0.25">
      <c r="A526" s="6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5.75" customHeight="1" x14ac:dyDescent="0.25">
      <c r="A527" s="6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5.75" customHeight="1" x14ac:dyDescent="0.25">
      <c r="A528" s="6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5.75" customHeight="1" x14ac:dyDescent="0.25">
      <c r="A529" s="6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5.75" customHeight="1" x14ac:dyDescent="0.25">
      <c r="A530" s="6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5.75" customHeight="1" x14ac:dyDescent="0.25">
      <c r="A531" s="6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5.75" customHeight="1" x14ac:dyDescent="0.25">
      <c r="A532" s="6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5.75" customHeight="1" x14ac:dyDescent="0.25">
      <c r="A533" s="6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5.75" customHeight="1" x14ac:dyDescent="0.25">
      <c r="A534" s="6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5.75" customHeight="1" x14ac:dyDescent="0.25">
      <c r="A535" s="6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5.75" customHeight="1" x14ac:dyDescent="0.25">
      <c r="A536" s="6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5.75" customHeight="1" x14ac:dyDescent="0.25">
      <c r="A537" s="6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5.75" customHeight="1" x14ac:dyDescent="0.25">
      <c r="A538" s="6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5.75" customHeight="1" x14ac:dyDescent="0.25">
      <c r="A539" s="6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5.75" customHeight="1" x14ac:dyDescent="0.25">
      <c r="A540" s="6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5.75" customHeight="1" x14ac:dyDescent="0.25">
      <c r="A541" s="6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5.75" customHeight="1" x14ac:dyDescent="0.25">
      <c r="A542" s="6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5.75" customHeight="1" x14ac:dyDescent="0.25">
      <c r="A543" s="6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5.75" customHeight="1" x14ac:dyDescent="0.25">
      <c r="A544" s="6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5.75" customHeight="1" x14ac:dyDescent="0.25">
      <c r="A545" s="6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5.75" customHeight="1" x14ac:dyDescent="0.25">
      <c r="A546" s="6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5.75" customHeight="1" x14ac:dyDescent="0.25">
      <c r="A547" s="6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5.75" customHeight="1" x14ac:dyDescent="0.25">
      <c r="A548" s="6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5.75" customHeight="1" x14ac:dyDescent="0.25">
      <c r="A549" s="6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5.75" customHeight="1" x14ac:dyDescent="0.25">
      <c r="A550" s="6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5.75" customHeight="1" x14ac:dyDescent="0.25">
      <c r="A551" s="6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5.75" customHeight="1" x14ac:dyDescent="0.25">
      <c r="A552" s="6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5.75" customHeight="1" x14ac:dyDescent="0.25">
      <c r="A553" s="6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5.75" customHeight="1" x14ac:dyDescent="0.25">
      <c r="A554" s="6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5.75" customHeight="1" x14ac:dyDescent="0.25">
      <c r="A555" s="6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5.75" customHeight="1" x14ac:dyDescent="0.25">
      <c r="A556" s="6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5.75" customHeight="1" x14ac:dyDescent="0.25">
      <c r="A557" s="6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5.75" customHeight="1" x14ac:dyDescent="0.25">
      <c r="A558" s="6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5.75" customHeight="1" x14ac:dyDescent="0.25">
      <c r="A559" s="6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5.75" customHeight="1" x14ac:dyDescent="0.25">
      <c r="A560" s="6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5.75" customHeight="1" x14ac:dyDescent="0.25">
      <c r="A561" s="6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5.75" customHeight="1" x14ac:dyDescent="0.25">
      <c r="A562" s="6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5.75" customHeight="1" x14ac:dyDescent="0.25">
      <c r="A563" s="6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5.75" customHeight="1" x14ac:dyDescent="0.25">
      <c r="A564" s="6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5.75" customHeight="1" x14ac:dyDescent="0.25">
      <c r="A565" s="6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5.75" customHeight="1" x14ac:dyDescent="0.25">
      <c r="A566" s="6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5.75" customHeight="1" x14ac:dyDescent="0.25">
      <c r="A567" s="6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5.75" customHeight="1" x14ac:dyDescent="0.25">
      <c r="A568" s="6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5.75" customHeight="1" x14ac:dyDescent="0.25">
      <c r="A569" s="6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5.75" customHeight="1" x14ac:dyDescent="0.25">
      <c r="A570" s="6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5.75" customHeight="1" x14ac:dyDescent="0.25">
      <c r="A571" s="6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5.75" customHeight="1" x14ac:dyDescent="0.25">
      <c r="A572" s="6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5.75" customHeight="1" x14ac:dyDescent="0.25">
      <c r="A573" s="6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5.75" customHeight="1" x14ac:dyDescent="0.25">
      <c r="A574" s="6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5.75" customHeight="1" x14ac:dyDescent="0.25">
      <c r="A575" s="6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5.75" customHeight="1" x14ac:dyDescent="0.25">
      <c r="A576" s="6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5.75" customHeight="1" x14ac:dyDescent="0.25">
      <c r="A577" s="6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5.75" customHeight="1" x14ac:dyDescent="0.25">
      <c r="A578" s="6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5.75" customHeight="1" x14ac:dyDescent="0.25">
      <c r="A579" s="6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5.75" customHeight="1" x14ac:dyDescent="0.25">
      <c r="A580" s="6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5.75" customHeight="1" x14ac:dyDescent="0.25">
      <c r="A581" s="6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5.75" customHeight="1" x14ac:dyDescent="0.25">
      <c r="A582" s="6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5.75" customHeight="1" x14ac:dyDescent="0.25">
      <c r="A583" s="6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5.75" customHeight="1" x14ac:dyDescent="0.25">
      <c r="A584" s="6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5.75" customHeight="1" x14ac:dyDescent="0.25">
      <c r="A585" s="6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5.75" customHeight="1" x14ac:dyDescent="0.25">
      <c r="A586" s="6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5.75" customHeight="1" x14ac:dyDescent="0.25">
      <c r="A587" s="6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5.75" customHeight="1" x14ac:dyDescent="0.25">
      <c r="A588" s="6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5.75" customHeight="1" x14ac:dyDescent="0.25">
      <c r="A589" s="6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5.75" customHeight="1" x14ac:dyDescent="0.25">
      <c r="A590" s="6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5.75" customHeight="1" x14ac:dyDescent="0.25">
      <c r="A591" s="6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5.75" customHeight="1" x14ac:dyDescent="0.25">
      <c r="A592" s="6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5.75" customHeight="1" x14ac:dyDescent="0.25">
      <c r="A593" s="6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5.75" customHeight="1" x14ac:dyDescent="0.25">
      <c r="A594" s="6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5.75" customHeight="1" x14ac:dyDescent="0.25">
      <c r="A595" s="6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5.75" customHeight="1" x14ac:dyDescent="0.25">
      <c r="A596" s="6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5.75" customHeight="1" x14ac:dyDescent="0.25">
      <c r="A597" s="6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5.75" customHeight="1" x14ac:dyDescent="0.25">
      <c r="A598" s="6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5.75" customHeight="1" x14ac:dyDescent="0.25">
      <c r="A599" s="6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5.75" customHeight="1" x14ac:dyDescent="0.25">
      <c r="A600" s="6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5.75" customHeight="1" x14ac:dyDescent="0.25">
      <c r="A601" s="6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5.75" customHeight="1" x14ac:dyDescent="0.25">
      <c r="A602" s="6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5.75" customHeight="1" x14ac:dyDescent="0.25">
      <c r="A603" s="6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5.75" customHeight="1" x14ac:dyDescent="0.25">
      <c r="A604" s="6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5.75" customHeight="1" x14ac:dyDescent="0.25">
      <c r="A605" s="6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5.75" customHeight="1" x14ac:dyDescent="0.25">
      <c r="A606" s="6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5.75" customHeight="1" x14ac:dyDescent="0.25">
      <c r="A607" s="6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5.75" customHeight="1" x14ac:dyDescent="0.25">
      <c r="A608" s="6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5.75" customHeight="1" x14ac:dyDescent="0.25">
      <c r="A609" s="6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5.75" customHeight="1" x14ac:dyDescent="0.25">
      <c r="A610" s="6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5.75" customHeight="1" x14ac:dyDescent="0.25">
      <c r="A611" s="6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5.75" customHeight="1" x14ac:dyDescent="0.25">
      <c r="A612" s="6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5.75" customHeight="1" x14ac:dyDescent="0.25">
      <c r="A613" s="6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5.75" customHeight="1" x14ac:dyDescent="0.25">
      <c r="A614" s="6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5.75" customHeight="1" x14ac:dyDescent="0.25">
      <c r="A615" s="6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5.75" customHeight="1" x14ac:dyDescent="0.25">
      <c r="A616" s="6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5.75" customHeight="1" x14ac:dyDescent="0.25">
      <c r="A617" s="6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5.75" customHeight="1" x14ac:dyDescent="0.25">
      <c r="A618" s="6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5.75" customHeight="1" x14ac:dyDescent="0.25">
      <c r="A619" s="6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5.75" customHeight="1" x14ac:dyDescent="0.25">
      <c r="A620" s="6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5.75" customHeight="1" x14ac:dyDescent="0.25">
      <c r="A621" s="6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5.75" customHeight="1" x14ac:dyDescent="0.25">
      <c r="A622" s="6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5.75" customHeight="1" x14ac:dyDescent="0.25">
      <c r="A623" s="6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5.75" customHeight="1" x14ac:dyDescent="0.25">
      <c r="A624" s="6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5.75" customHeight="1" x14ac:dyDescent="0.25">
      <c r="A625" s="6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5.75" customHeight="1" x14ac:dyDescent="0.25">
      <c r="A626" s="6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5.75" customHeight="1" x14ac:dyDescent="0.25">
      <c r="A627" s="6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5.75" customHeight="1" x14ac:dyDescent="0.25">
      <c r="A628" s="6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5.75" customHeight="1" x14ac:dyDescent="0.25">
      <c r="A629" s="6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5.75" customHeight="1" x14ac:dyDescent="0.25">
      <c r="A630" s="6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5.75" customHeight="1" x14ac:dyDescent="0.25">
      <c r="A631" s="6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5.75" customHeight="1" x14ac:dyDescent="0.25">
      <c r="A632" s="6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5.75" customHeight="1" x14ac:dyDescent="0.25">
      <c r="A633" s="6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5.75" customHeight="1" x14ac:dyDescent="0.25">
      <c r="A634" s="6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5.75" customHeight="1" x14ac:dyDescent="0.25">
      <c r="A635" s="6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5.75" customHeight="1" x14ac:dyDescent="0.25">
      <c r="A636" s="6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5.75" customHeight="1" x14ac:dyDescent="0.25">
      <c r="A637" s="6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5.75" customHeight="1" x14ac:dyDescent="0.25">
      <c r="A638" s="6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5.75" customHeight="1" x14ac:dyDescent="0.25">
      <c r="A639" s="6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5.75" customHeight="1" x14ac:dyDescent="0.25">
      <c r="A640" s="6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5.75" customHeight="1" x14ac:dyDescent="0.25">
      <c r="A641" s="6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5.75" customHeight="1" x14ac:dyDescent="0.25">
      <c r="A642" s="6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5.75" customHeight="1" x14ac:dyDescent="0.25">
      <c r="A643" s="6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5.75" customHeight="1" x14ac:dyDescent="0.25">
      <c r="A644" s="6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5.75" customHeight="1" x14ac:dyDescent="0.25">
      <c r="A645" s="6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5.75" customHeight="1" x14ac:dyDescent="0.25">
      <c r="A646" s="6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5.75" customHeight="1" x14ac:dyDescent="0.25">
      <c r="A647" s="6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5.75" customHeight="1" x14ac:dyDescent="0.25">
      <c r="A648" s="6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5.75" customHeight="1" x14ac:dyDescent="0.25">
      <c r="A649" s="6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5.75" customHeight="1" x14ac:dyDescent="0.25">
      <c r="A650" s="6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5.75" customHeight="1" x14ac:dyDescent="0.25">
      <c r="A651" s="6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5.75" customHeight="1" x14ac:dyDescent="0.25">
      <c r="A652" s="6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5.75" customHeight="1" x14ac:dyDescent="0.25">
      <c r="A653" s="6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5.75" customHeight="1" x14ac:dyDescent="0.25">
      <c r="A654" s="6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5.75" customHeight="1" x14ac:dyDescent="0.25">
      <c r="A655" s="6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5.75" customHeight="1" x14ac:dyDescent="0.25">
      <c r="A656" s="6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5.75" customHeight="1" x14ac:dyDescent="0.25">
      <c r="A657" s="6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5.75" customHeight="1" x14ac:dyDescent="0.25">
      <c r="A658" s="6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5.75" customHeight="1" x14ac:dyDescent="0.25">
      <c r="A659" s="6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5.75" customHeight="1" x14ac:dyDescent="0.25">
      <c r="A660" s="6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5.75" customHeight="1" x14ac:dyDescent="0.25">
      <c r="A661" s="6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5.75" customHeight="1" x14ac:dyDescent="0.25">
      <c r="A662" s="6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5.75" customHeight="1" x14ac:dyDescent="0.25">
      <c r="A663" s="6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5.75" customHeight="1" x14ac:dyDescent="0.25">
      <c r="A664" s="6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5.75" customHeight="1" x14ac:dyDescent="0.25">
      <c r="A665" s="6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5.75" customHeight="1" x14ac:dyDescent="0.25">
      <c r="A666" s="6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5.75" customHeight="1" x14ac:dyDescent="0.25">
      <c r="A667" s="6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5.75" customHeight="1" x14ac:dyDescent="0.25">
      <c r="A668" s="6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5.75" customHeight="1" x14ac:dyDescent="0.25">
      <c r="A669" s="6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5.75" customHeight="1" x14ac:dyDescent="0.25">
      <c r="A670" s="6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5.75" customHeight="1" x14ac:dyDescent="0.25">
      <c r="A671" s="6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5.75" customHeight="1" x14ac:dyDescent="0.25">
      <c r="A672" s="6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5.75" customHeight="1" x14ac:dyDescent="0.25">
      <c r="A673" s="6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5.75" customHeight="1" x14ac:dyDescent="0.25">
      <c r="A674" s="6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5.75" customHeight="1" x14ac:dyDescent="0.25">
      <c r="A675" s="6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5.75" customHeight="1" x14ac:dyDescent="0.25">
      <c r="A676" s="6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5.75" customHeight="1" x14ac:dyDescent="0.25">
      <c r="A677" s="6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5.75" customHeight="1" x14ac:dyDescent="0.25">
      <c r="A678" s="6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5.75" customHeight="1" x14ac:dyDescent="0.25">
      <c r="A679" s="6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5.75" customHeight="1" x14ac:dyDescent="0.25">
      <c r="A680" s="6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5.75" customHeight="1" x14ac:dyDescent="0.25">
      <c r="A681" s="6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5.75" customHeight="1" x14ac:dyDescent="0.25">
      <c r="A682" s="6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5.75" customHeight="1" x14ac:dyDescent="0.25">
      <c r="A683" s="6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5.75" customHeight="1" x14ac:dyDescent="0.25">
      <c r="A684" s="6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5.75" customHeight="1" x14ac:dyDescent="0.25">
      <c r="A685" s="6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5.75" customHeight="1" x14ac:dyDescent="0.25">
      <c r="A686" s="6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5.75" customHeight="1" x14ac:dyDescent="0.25">
      <c r="A687" s="6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5.75" customHeight="1" x14ac:dyDescent="0.25">
      <c r="A688" s="6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5.75" customHeight="1" x14ac:dyDescent="0.25">
      <c r="A689" s="6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5.75" customHeight="1" x14ac:dyDescent="0.25">
      <c r="A690" s="6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5.75" customHeight="1" x14ac:dyDescent="0.25">
      <c r="A691" s="6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5.75" customHeight="1" x14ac:dyDescent="0.25">
      <c r="A692" s="6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5.75" customHeight="1" x14ac:dyDescent="0.25">
      <c r="A693" s="6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5.75" customHeight="1" x14ac:dyDescent="0.25">
      <c r="A694" s="6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5.75" customHeight="1" x14ac:dyDescent="0.25">
      <c r="A695" s="6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5.75" customHeight="1" x14ac:dyDescent="0.25">
      <c r="A696" s="6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5.75" customHeight="1" x14ac:dyDescent="0.25">
      <c r="A697" s="6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5.75" customHeight="1" x14ac:dyDescent="0.25">
      <c r="A698" s="6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5.75" customHeight="1" x14ac:dyDescent="0.25">
      <c r="A699" s="6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5.75" customHeight="1" x14ac:dyDescent="0.25">
      <c r="A700" s="6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5.75" customHeight="1" x14ac:dyDescent="0.25">
      <c r="A701" s="6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5.75" customHeight="1" x14ac:dyDescent="0.25">
      <c r="A702" s="6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5.75" customHeight="1" x14ac:dyDescent="0.25">
      <c r="A703" s="6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5.75" customHeight="1" x14ac:dyDescent="0.25">
      <c r="A704" s="6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5.75" customHeight="1" x14ac:dyDescent="0.25">
      <c r="A705" s="6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5.75" customHeight="1" x14ac:dyDescent="0.25">
      <c r="A706" s="6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5.75" customHeight="1" x14ac:dyDescent="0.25">
      <c r="A707" s="6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5.75" customHeight="1" x14ac:dyDescent="0.25">
      <c r="A708" s="6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5.75" customHeight="1" x14ac:dyDescent="0.25">
      <c r="A709" s="6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5.75" customHeight="1" x14ac:dyDescent="0.25">
      <c r="A710" s="6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5.75" customHeight="1" x14ac:dyDescent="0.25">
      <c r="A711" s="6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5.75" customHeight="1" x14ac:dyDescent="0.25">
      <c r="A712" s="6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5.75" customHeight="1" x14ac:dyDescent="0.25">
      <c r="A713" s="6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5.75" customHeight="1" x14ac:dyDescent="0.25">
      <c r="A714" s="6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5.75" customHeight="1" x14ac:dyDescent="0.25">
      <c r="A715" s="6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5.75" customHeight="1" x14ac:dyDescent="0.25">
      <c r="A716" s="6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5.75" customHeight="1" x14ac:dyDescent="0.25">
      <c r="A717" s="6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5.75" customHeight="1" x14ac:dyDescent="0.25">
      <c r="A718" s="6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5.75" customHeight="1" x14ac:dyDescent="0.25">
      <c r="A719" s="6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5.75" customHeight="1" x14ac:dyDescent="0.25">
      <c r="A720" s="6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5.75" customHeight="1" x14ac:dyDescent="0.25">
      <c r="A721" s="6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5.75" customHeight="1" x14ac:dyDescent="0.25">
      <c r="A722" s="6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5.75" customHeight="1" x14ac:dyDescent="0.25">
      <c r="A723" s="6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5.75" customHeight="1" x14ac:dyDescent="0.25">
      <c r="A724" s="6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5.75" customHeight="1" x14ac:dyDescent="0.25">
      <c r="A725" s="6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5.75" customHeight="1" x14ac:dyDescent="0.25">
      <c r="A726" s="6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5.75" customHeight="1" x14ac:dyDescent="0.25">
      <c r="A727" s="6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5.75" customHeight="1" x14ac:dyDescent="0.25">
      <c r="A728" s="6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5.75" customHeight="1" x14ac:dyDescent="0.25">
      <c r="A729" s="6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5.75" customHeight="1" x14ac:dyDescent="0.25">
      <c r="A730" s="6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5.75" customHeight="1" x14ac:dyDescent="0.25">
      <c r="A731" s="6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5.75" customHeight="1" x14ac:dyDescent="0.25">
      <c r="A732" s="6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5.75" customHeight="1" x14ac:dyDescent="0.25">
      <c r="A733" s="6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5.75" customHeight="1" x14ac:dyDescent="0.25">
      <c r="A734" s="6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5.75" customHeight="1" x14ac:dyDescent="0.25">
      <c r="A735" s="6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5.75" customHeight="1" x14ac:dyDescent="0.25">
      <c r="A736" s="6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5.75" customHeight="1" x14ac:dyDescent="0.25">
      <c r="A737" s="6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5.75" customHeight="1" x14ac:dyDescent="0.25">
      <c r="A738" s="6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5.75" customHeight="1" x14ac:dyDescent="0.25">
      <c r="A739" s="6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5.75" customHeight="1" x14ac:dyDescent="0.25">
      <c r="A740" s="6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5.75" customHeight="1" x14ac:dyDescent="0.25">
      <c r="A741" s="6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5.75" customHeight="1" x14ac:dyDescent="0.25">
      <c r="A742" s="6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5.75" customHeight="1" x14ac:dyDescent="0.25">
      <c r="A743" s="6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5.75" customHeight="1" x14ac:dyDescent="0.25">
      <c r="A744" s="6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5.75" customHeight="1" x14ac:dyDescent="0.25">
      <c r="A745" s="6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5.75" customHeight="1" x14ac:dyDescent="0.25">
      <c r="A746" s="6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5.75" customHeight="1" x14ac:dyDescent="0.25">
      <c r="A747" s="6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5.75" customHeight="1" x14ac:dyDescent="0.25">
      <c r="A748" s="6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5.75" customHeight="1" x14ac:dyDescent="0.25">
      <c r="A749" s="6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5.75" customHeight="1" x14ac:dyDescent="0.25">
      <c r="A750" s="6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5.75" customHeight="1" x14ac:dyDescent="0.25">
      <c r="A751" s="6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5.75" customHeight="1" x14ac:dyDescent="0.25">
      <c r="A752" s="6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5.75" customHeight="1" x14ac:dyDescent="0.25">
      <c r="A753" s="6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5.75" customHeight="1" x14ac:dyDescent="0.25">
      <c r="A754" s="6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5.75" customHeight="1" x14ac:dyDescent="0.25">
      <c r="A755" s="6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5.75" customHeight="1" x14ac:dyDescent="0.25">
      <c r="A756" s="6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5.75" customHeight="1" x14ac:dyDescent="0.25">
      <c r="A757" s="6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5.75" customHeight="1" x14ac:dyDescent="0.25">
      <c r="A758" s="6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5.75" customHeight="1" x14ac:dyDescent="0.25">
      <c r="A759" s="6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5.75" customHeight="1" x14ac:dyDescent="0.25">
      <c r="A760" s="6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5.75" customHeight="1" x14ac:dyDescent="0.25">
      <c r="A761" s="6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5.75" customHeight="1" x14ac:dyDescent="0.25">
      <c r="A762" s="6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5.75" customHeight="1" x14ac:dyDescent="0.25">
      <c r="A763" s="6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5.75" customHeight="1" x14ac:dyDescent="0.25">
      <c r="A764" s="6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5.75" customHeight="1" x14ac:dyDescent="0.25">
      <c r="A765" s="6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5.75" customHeight="1" x14ac:dyDescent="0.25">
      <c r="A766" s="6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5.75" customHeight="1" x14ac:dyDescent="0.25">
      <c r="A767" s="6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5.75" customHeight="1" x14ac:dyDescent="0.25">
      <c r="A768" s="6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5.75" customHeight="1" x14ac:dyDescent="0.25">
      <c r="A769" s="6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5.75" customHeight="1" x14ac:dyDescent="0.25">
      <c r="A770" s="6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5.75" customHeight="1" x14ac:dyDescent="0.25">
      <c r="A771" s="6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5.75" customHeight="1" x14ac:dyDescent="0.25">
      <c r="A772" s="6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5.75" customHeight="1" x14ac:dyDescent="0.25">
      <c r="A773" s="6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5.75" customHeight="1" x14ac:dyDescent="0.25">
      <c r="A774" s="6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5.75" customHeight="1" x14ac:dyDescent="0.25">
      <c r="A775" s="6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5.75" customHeight="1" x14ac:dyDescent="0.25">
      <c r="A776" s="6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5.75" customHeight="1" x14ac:dyDescent="0.25">
      <c r="A777" s="6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5.75" customHeight="1" x14ac:dyDescent="0.25">
      <c r="A778" s="6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5.75" customHeight="1" x14ac:dyDescent="0.25">
      <c r="A779" s="6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5.75" customHeight="1" x14ac:dyDescent="0.25">
      <c r="A780" s="6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5.75" customHeight="1" x14ac:dyDescent="0.25">
      <c r="A781" s="6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5.75" customHeight="1" x14ac:dyDescent="0.25">
      <c r="A782" s="6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5.75" customHeight="1" x14ac:dyDescent="0.25">
      <c r="A783" s="6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5.75" customHeight="1" x14ac:dyDescent="0.25">
      <c r="A784" s="6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5.75" customHeight="1" x14ac:dyDescent="0.25">
      <c r="A785" s="6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5.75" customHeight="1" x14ac:dyDescent="0.25">
      <c r="A786" s="6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5.75" customHeight="1" x14ac:dyDescent="0.25">
      <c r="A787" s="6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5.75" customHeight="1" x14ac:dyDescent="0.25">
      <c r="A788" s="6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5.75" customHeight="1" x14ac:dyDescent="0.25">
      <c r="A789" s="6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5.75" customHeight="1" x14ac:dyDescent="0.25">
      <c r="A790" s="6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5.75" customHeight="1" x14ac:dyDescent="0.25">
      <c r="A791" s="6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5.75" customHeight="1" x14ac:dyDescent="0.25">
      <c r="A792" s="6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5.75" customHeight="1" x14ac:dyDescent="0.25">
      <c r="A793" s="6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5.75" customHeight="1" x14ac:dyDescent="0.25">
      <c r="A794" s="6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5.75" customHeight="1" x14ac:dyDescent="0.25">
      <c r="A795" s="6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5.75" customHeight="1" x14ac:dyDescent="0.25">
      <c r="A796" s="6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5.75" customHeight="1" x14ac:dyDescent="0.25">
      <c r="A797" s="6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5.75" customHeight="1" x14ac:dyDescent="0.25">
      <c r="A798" s="6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5.75" customHeight="1" x14ac:dyDescent="0.25">
      <c r="A799" s="6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5.75" customHeight="1" x14ac:dyDescent="0.25">
      <c r="A800" s="6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5.75" customHeight="1" x14ac:dyDescent="0.25">
      <c r="A801" s="6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5.75" customHeight="1" x14ac:dyDescent="0.25">
      <c r="A802" s="6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5.75" customHeight="1" x14ac:dyDescent="0.25">
      <c r="A803" s="6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5.75" customHeight="1" x14ac:dyDescent="0.25">
      <c r="A804" s="6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5.75" customHeight="1" x14ac:dyDescent="0.25">
      <c r="A805" s="6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5.75" customHeight="1" x14ac:dyDescent="0.25">
      <c r="A806" s="6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5.75" customHeight="1" x14ac:dyDescent="0.25">
      <c r="A807" s="6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5.75" customHeight="1" x14ac:dyDescent="0.25">
      <c r="A808" s="6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5.75" customHeight="1" x14ac:dyDescent="0.25">
      <c r="A809" s="6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5.75" customHeight="1" x14ac:dyDescent="0.25">
      <c r="A810" s="6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5.75" customHeight="1" x14ac:dyDescent="0.25">
      <c r="A811" s="6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5.75" customHeight="1" x14ac:dyDescent="0.25">
      <c r="A812" s="6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5.75" customHeight="1" x14ac:dyDescent="0.25">
      <c r="A813" s="6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5.75" customHeight="1" x14ac:dyDescent="0.25">
      <c r="A814" s="6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5.75" customHeight="1" x14ac:dyDescent="0.25">
      <c r="A815" s="6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5.75" customHeight="1" x14ac:dyDescent="0.25">
      <c r="A816" s="6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5.75" customHeight="1" x14ac:dyDescent="0.25">
      <c r="A817" s="6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5.75" customHeight="1" x14ac:dyDescent="0.25">
      <c r="A818" s="6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5.75" customHeight="1" x14ac:dyDescent="0.25">
      <c r="A819" s="6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5.75" customHeight="1" x14ac:dyDescent="0.25">
      <c r="A820" s="6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5.75" customHeight="1" x14ac:dyDescent="0.25">
      <c r="A821" s="6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5.75" customHeight="1" x14ac:dyDescent="0.25">
      <c r="A822" s="6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5.75" customHeight="1" x14ac:dyDescent="0.25">
      <c r="A823" s="6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5.75" customHeight="1" x14ac:dyDescent="0.25">
      <c r="A824" s="6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5.75" customHeight="1" x14ac:dyDescent="0.25">
      <c r="A825" s="6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5.75" customHeight="1" x14ac:dyDescent="0.25">
      <c r="A826" s="6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5.75" customHeight="1" x14ac:dyDescent="0.25">
      <c r="A827" s="6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5.75" customHeight="1" x14ac:dyDescent="0.25">
      <c r="A828" s="6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5.75" customHeight="1" x14ac:dyDescent="0.25">
      <c r="A829" s="6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5.75" customHeight="1" x14ac:dyDescent="0.25">
      <c r="A830" s="6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5.75" customHeight="1" x14ac:dyDescent="0.25">
      <c r="A831" s="6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5.75" customHeight="1" x14ac:dyDescent="0.25">
      <c r="A832" s="6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5.75" customHeight="1" x14ac:dyDescent="0.25">
      <c r="A833" s="6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5.75" customHeight="1" x14ac:dyDescent="0.25">
      <c r="A834" s="6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5.75" customHeight="1" x14ac:dyDescent="0.25">
      <c r="A835" s="6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5.75" customHeight="1" x14ac:dyDescent="0.25">
      <c r="A836" s="6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5.75" customHeight="1" x14ac:dyDescent="0.25">
      <c r="A837" s="6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5.75" customHeight="1" x14ac:dyDescent="0.25">
      <c r="A838" s="6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5.75" customHeight="1" x14ac:dyDescent="0.25">
      <c r="A839" s="6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5.75" customHeight="1" x14ac:dyDescent="0.25">
      <c r="A840" s="6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5.75" customHeight="1" x14ac:dyDescent="0.25">
      <c r="A841" s="6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5.75" customHeight="1" x14ac:dyDescent="0.25">
      <c r="A842" s="6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5.75" customHeight="1" x14ac:dyDescent="0.25">
      <c r="A843" s="6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5.75" customHeight="1" x14ac:dyDescent="0.25">
      <c r="A844" s="6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5.75" customHeight="1" x14ac:dyDescent="0.25">
      <c r="A845" s="6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5.75" customHeight="1" x14ac:dyDescent="0.25">
      <c r="A846" s="6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5.75" customHeight="1" x14ac:dyDescent="0.25">
      <c r="A847" s="6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5.75" customHeight="1" x14ac:dyDescent="0.25">
      <c r="A848" s="6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5.75" customHeight="1" x14ac:dyDescent="0.25">
      <c r="A849" s="6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5.75" customHeight="1" x14ac:dyDescent="0.25">
      <c r="A850" s="6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5.75" customHeight="1" x14ac:dyDescent="0.25">
      <c r="A851" s="6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5.75" customHeight="1" x14ac:dyDescent="0.25">
      <c r="A852" s="6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5.75" customHeight="1" x14ac:dyDescent="0.25">
      <c r="A853" s="6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5.75" customHeight="1" x14ac:dyDescent="0.25">
      <c r="A854" s="6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5.75" customHeight="1" x14ac:dyDescent="0.25">
      <c r="A855" s="6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5.75" customHeight="1" x14ac:dyDescent="0.25">
      <c r="A856" s="6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5.75" customHeight="1" x14ac:dyDescent="0.25">
      <c r="A857" s="6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5.75" customHeight="1" x14ac:dyDescent="0.25">
      <c r="A858" s="6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5.75" customHeight="1" x14ac:dyDescent="0.25">
      <c r="A859" s="6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5.75" customHeight="1" x14ac:dyDescent="0.25">
      <c r="A860" s="6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5.75" customHeight="1" x14ac:dyDescent="0.25">
      <c r="A861" s="6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5.75" customHeight="1" x14ac:dyDescent="0.25">
      <c r="A862" s="6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5.75" customHeight="1" x14ac:dyDescent="0.25">
      <c r="A863" s="6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5.75" customHeight="1" x14ac:dyDescent="0.25">
      <c r="A864" s="6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5.75" customHeight="1" x14ac:dyDescent="0.25">
      <c r="A865" s="6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5.75" customHeight="1" x14ac:dyDescent="0.25">
      <c r="A866" s="6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5.75" customHeight="1" x14ac:dyDescent="0.25">
      <c r="A867" s="6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5.75" customHeight="1" x14ac:dyDescent="0.25">
      <c r="A868" s="6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5.75" customHeight="1" x14ac:dyDescent="0.25">
      <c r="A869" s="6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5.75" customHeight="1" x14ac:dyDescent="0.25">
      <c r="A870" s="6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5.75" customHeight="1" x14ac:dyDescent="0.25">
      <c r="A871" s="6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5.75" customHeight="1" x14ac:dyDescent="0.25">
      <c r="A872" s="6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5.75" customHeight="1" x14ac:dyDescent="0.25">
      <c r="A873" s="6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5.75" customHeight="1" x14ac:dyDescent="0.25">
      <c r="A874" s="6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5.75" customHeight="1" x14ac:dyDescent="0.25">
      <c r="A875" s="6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5.75" customHeight="1" x14ac:dyDescent="0.25">
      <c r="A876" s="6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5.75" customHeight="1" x14ac:dyDescent="0.25">
      <c r="A877" s="6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5.75" customHeight="1" x14ac:dyDescent="0.25">
      <c r="A878" s="6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5.75" customHeight="1" x14ac:dyDescent="0.25">
      <c r="A879" s="6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5.75" customHeight="1" x14ac:dyDescent="0.25">
      <c r="A880" s="6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5.75" customHeight="1" x14ac:dyDescent="0.25">
      <c r="A881" s="6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5.75" customHeight="1" x14ac:dyDescent="0.25">
      <c r="A882" s="6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5.75" customHeight="1" x14ac:dyDescent="0.25">
      <c r="A883" s="6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5.75" customHeight="1" x14ac:dyDescent="0.25">
      <c r="A884" s="6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5.75" customHeight="1" x14ac:dyDescent="0.25">
      <c r="A885" s="6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5.75" customHeight="1" x14ac:dyDescent="0.25">
      <c r="A886" s="6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5.75" customHeight="1" x14ac:dyDescent="0.25">
      <c r="A887" s="6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5.75" customHeight="1" x14ac:dyDescent="0.25">
      <c r="A888" s="6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5.75" customHeight="1" x14ac:dyDescent="0.25">
      <c r="A889" s="6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5.75" customHeight="1" x14ac:dyDescent="0.25">
      <c r="A890" s="6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5.75" customHeight="1" x14ac:dyDescent="0.25">
      <c r="A891" s="6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5.75" customHeight="1" x14ac:dyDescent="0.25">
      <c r="A892" s="6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5.75" customHeight="1" x14ac:dyDescent="0.25">
      <c r="A893" s="6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5.75" customHeight="1" x14ac:dyDescent="0.25">
      <c r="A894" s="6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5.75" customHeight="1" x14ac:dyDescent="0.25">
      <c r="A895" s="6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5.75" customHeight="1" x14ac:dyDescent="0.25">
      <c r="A896" s="6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5.75" customHeight="1" x14ac:dyDescent="0.25">
      <c r="A897" s="6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5.75" customHeight="1" x14ac:dyDescent="0.25">
      <c r="A898" s="6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5.75" customHeight="1" x14ac:dyDescent="0.25">
      <c r="A899" s="6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5.75" customHeight="1" x14ac:dyDescent="0.25">
      <c r="A900" s="6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5.75" customHeight="1" x14ac:dyDescent="0.25">
      <c r="A901" s="6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5.75" customHeight="1" x14ac:dyDescent="0.25">
      <c r="A902" s="6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5.75" customHeight="1" x14ac:dyDescent="0.25">
      <c r="A903" s="6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5.75" customHeight="1" x14ac:dyDescent="0.25">
      <c r="A904" s="6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5.75" customHeight="1" x14ac:dyDescent="0.25">
      <c r="A905" s="6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5.75" customHeight="1" x14ac:dyDescent="0.25">
      <c r="A906" s="6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5.75" customHeight="1" x14ac:dyDescent="0.25">
      <c r="A907" s="6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5.75" customHeight="1" x14ac:dyDescent="0.25">
      <c r="A908" s="6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5.75" customHeight="1" x14ac:dyDescent="0.25">
      <c r="A909" s="6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5.75" customHeight="1" x14ac:dyDescent="0.25">
      <c r="A910" s="6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5.75" customHeight="1" x14ac:dyDescent="0.25">
      <c r="A911" s="6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5.75" customHeight="1" x14ac:dyDescent="0.25">
      <c r="A912" s="6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5.75" customHeight="1" x14ac:dyDescent="0.25">
      <c r="A913" s="6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5.75" customHeight="1" x14ac:dyDescent="0.25">
      <c r="A914" s="6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5.75" customHeight="1" x14ac:dyDescent="0.25">
      <c r="A915" s="6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5.75" customHeight="1" x14ac:dyDescent="0.25">
      <c r="A916" s="6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5.75" customHeight="1" x14ac:dyDescent="0.25">
      <c r="A917" s="6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5.75" customHeight="1" x14ac:dyDescent="0.25">
      <c r="A918" s="6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5.75" customHeight="1" x14ac:dyDescent="0.25">
      <c r="A919" s="6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5.75" customHeight="1" x14ac:dyDescent="0.25">
      <c r="A920" s="6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5.75" customHeight="1" x14ac:dyDescent="0.25">
      <c r="A921" s="6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5.75" customHeight="1" x14ac:dyDescent="0.25">
      <c r="A922" s="6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5.75" customHeight="1" x14ac:dyDescent="0.25">
      <c r="A923" s="6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5.75" customHeight="1" x14ac:dyDescent="0.25">
      <c r="A924" s="6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5.75" customHeight="1" x14ac:dyDescent="0.25">
      <c r="A925" s="6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5.75" customHeight="1" x14ac:dyDescent="0.25">
      <c r="A926" s="6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5.75" customHeight="1" x14ac:dyDescent="0.25">
      <c r="A927" s="6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5.75" customHeight="1" x14ac:dyDescent="0.25">
      <c r="A928" s="6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5.75" customHeight="1" x14ac:dyDescent="0.25">
      <c r="A929" s="6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5.75" customHeight="1" x14ac:dyDescent="0.25">
      <c r="A930" s="6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5.75" customHeight="1" x14ac:dyDescent="0.25">
      <c r="A931" s="6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5.75" customHeight="1" x14ac:dyDescent="0.25">
      <c r="A932" s="6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5.75" customHeight="1" x14ac:dyDescent="0.25">
      <c r="A933" s="6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5.75" customHeight="1" x14ac:dyDescent="0.25">
      <c r="A934" s="6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5.75" customHeight="1" x14ac:dyDescent="0.25">
      <c r="A935" s="6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5.75" customHeight="1" x14ac:dyDescent="0.25">
      <c r="A936" s="6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5.75" customHeight="1" x14ac:dyDescent="0.25">
      <c r="A937" s="6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5.75" customHeight="1" x14ac:dyDescent="0.25">
      <c r="A938" s="6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5.75" customHeight="1" x14ac:dyDescent="0.25">
      <c r="A939" s="6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5.75" customHeight="1" x14ac:dyDescent="0.25">
      <c r="A940" s="6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5.75" customHeight="1" x14ac:dyDescent="0.25">
      <c r="A941" s="6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5.75" customHeight="1" x14ac:dyDescent="0.25">
      <c r="A942" s="6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5.75" customHeight="1" x14ac:dyDescent="0.25">
      <c r="A943" s="6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5.75" customHeight="1" x14ac:dyDescent="0.25">
      <c r="A944" s="6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5.75" customHeight="1" x14ac:dyDescent="0.25">
      <c r="A945" s="6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5.75" customHeight="1" x14ac:dyDescent="0.25">
      <c r="A946" s="6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5.75" customHeight="1" x14ac:dyDescent="0.25">
      <c r="A947" s="6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5.75" customHeight="1" x14ac:dyDescent="0.25">
      <c r="A948" s="6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5.75" customHeight="1" x14ac:dyDescent="0.25">
      <c r="A949" s="6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5.75" customHeight="1" x14ac:dyDescent="0.25">
      <c r="A950" s="6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5.75" customHeight="1" x14ac:dyDescent="0.25">
      <c r="A951" s="6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5.75" customHeight="1" x14ac:dyDescent="0.25">
      <c r="A952" s="6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5.75" customHeight="1" x14ac:dyDescent="0.25">
      <c r="A953" s="6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5.75" customHeight="1" x14ac:dyDescent="0.25">
      <c r="A954" s="6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5.75" customHeight="1" x14ac:dyDescent="0.25">
      <c r="A955" s="6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5.75" customHeight="1" x14ac:dyDescent="0.25">
      <c r="A956" s="6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5.75" customHeight="1" x14ac:dyDescent="0.25">
      <c r="A957" s="6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5.75" customHeight="1" x14ac:dyDescent="0.25">
      <c r="A958" s="6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5.75" customHeight="1" x14ac:dyDescent="0.25">
      <c r="A959" s="6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5.75" customHeight="1" x14ac:dyDescent="0.25">
      <c r="A960" s="6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5.75" customHeight="1" x14ac:dyDescent="0.25">
      <c r="A961" s="6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5.75" customHeight="1" x14ac:dyDescent="0.25">
      <c r="A962" s="6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5.75" customHeight="1" x14ac:dyDescent="0.25">
      <c r="A963" s="6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5.75" customHeight="1" x14ac:dyDescent="0.25">
      <c r="A964" s="6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5.75" customHeight="1" x14ac:dyDescent="0.25">
      <c r="A965" s="6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5.75" customHeight="1" x14ac:dyDescent="0.25">
      <c r="A966" s="6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5.75" customHeight="1" x14ac:dyDescent="0.25">
      <c r="A967" s="6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5.75" customHeight="1" x14ac:dyDescent="0.25">
      <c r="A968" s="6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5.75" customHeight="1" x14ac:dyDescent="0.25">
      <c r="A969" s="6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5.75" customHeight="1" x14ac:dyDescent="0.25">
      <c r="A970" s="6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5.75" customHeight="1" x14ac:dyDescent="0.25">
      <c r="A971" s="6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5.75" customHeight="1" x14ac:dyDescent="0.25">
      <c r="A972" s="6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5.75" customHeight="1" x14ac:dyDescent="0.25">
      <c r="A973" s="6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5.75" customHeight="1" x14ac:dyDescent="0.25">
      <c r="A974" s="6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5.75" customHeight="1" x14ac:dyDescent="0.25">
      <c r="A975" s="6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5.75" customHeight="1" x14ac:dyDescent="0.25">
      <c r="A976" s="6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5.75" customHeight="1" x14ac:dyDescent="0.25">
      <c r="A977" s="6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5.75" customHeight="1" x14ac:dyDescent="0.25">
      <c r="A978" s="6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5.75" customHeight="1" x14ac:dyDescent="0.25">
      <c r="A979" s="6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5.75" customHeight="1" x14ac:dyDescent="0.25">
      <c r="A980" s="6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5.75" customHeight="1" x14ac:dyDescent="0.25">
      <c r="A981" s="6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5.75" customHeight="1" x14ac:dyDescent="0.25">
      <c r="A982" s="6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5.75" customHeight="1" x14ac:dyDescent="0.25">
      <c r="A983" s="6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5.75" customHeight="1" x14ac:dyDescent="0.25">
      <c r="A984" s="6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5.75" customHeight="1" x14ac:dyDescent="0.25">
      <c r="A985" s="6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5.75" customHeight="1" x14ac:dyDescent="0.25">
      <c r="A986" s="6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5.75" customHeight="1" x14ac:dyDescent="0.25">
      <c r="A987" s="6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5.75" customHeight="1" x14ac:dyDescent="0.25">
      <c r="A988" s="6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5.75" customHeight="1" x14ac:dyDescent="0.25">
      <c r="A989" s="6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5.75" customHeight="1" x14ac:dyDescent="0.25">
      <c r="A990" s="6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5.75" customHeight="1" x14ac:dyDescent="0.25">
      <c r="A991" s="6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5.75" customHeight="1" x14ac:dyDescent="0.25">
      <c r="A992" s="6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5.75" customHeight="1" x14ac:dyDescent="0.25">
      <c r="A993" s="6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5.75" customHeight="1" x14ac:dyDescent="0.25">
      <c r="A994" s="6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5.75" customHeight="1" x14ac:dyDescent="0.25">
      <c r="A995" s="6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5.75" customHeight="1" x14ac:dyDescent="0.25">
      <c r="A996" s="6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5.75" customHeight="1" x14ac:dyDescent="0.25">
      <c r="A997" s="6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5.75" customHeight="1" x14ac:dyDescent="0.25">
      <c r="A998" s="6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5.75" customHeight="1" x14ac:dyDescent="0.25">
      <c r="A999" s="6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5.75" customHeight="1" x14ac:dyDescent="0.25">
      <c r="A1000" s="6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1">
    <mergeCell ref="I14:J17"/>
    <mergeCell ref="A12:A13"/>
    <mergeCell ref="B12:B13"/>
    <mergeCell ref="F12:F13"/>
    <mergeCell ref="G12:H13"/>
    <mergeCell ref="I12:J13"/>
    <mergeCell ref="F14:F17"/>
    <mergeCell ref="G14:H17"/>
    <mergeCell ref="F18:F19"/>
    <mergeCell ref="A14:A17"/>
    <mergeCell ref="A18:A19"/>
    <mergeCell ref="B18:B19"/>
    <mergeCell ref="B14:B17"/>
    <mergeCell ref="G10:H11"/>
    <mergeCell ref="I10:J11"/>
    <mergeCell ref="A8:A9"/>
    <mergeCell ref="B8:B9"/>
    <mergeCell ref="F8:F9"/>
    <mergeCell ref="G8:H9"/>
    <mergeCell ref="A10:A11"/>
    <mergeCell ref="B10:B11"/>
    <mergeCell ref="F10:F11"/>
    <mergeCell ref="G4:H7"/>
    <mergeCell ref="I4:J7"/>
    <mergeCell ref="G1:H1"/>
    <mergeCell ref="A2:A3"/>
    <mergeCell ref="B2:B3"/>
    <mergeCell ref="F2:F3"/>
    <mergeCell ref="G2:H3"/>
    <mergeCell ref="A4:A7"/>
    <mergeCell ref="B4:B7"/>
  </mergeCells>
  <hyperlinks>
    <hyperlink ref="F2" r:id="rId1" xr:uid="{00000000-0004-0000-0000-000000000000}"/>
    <hyperlink ref="F4" r:id="rId2" xr:uid="{00000000-0004-0000-0000-000001000000}"/>
    <hyperlink ref="F5" r:id="rId3" xr:uid="{00000000-0004-0000-0000-000002000000}"/>
    <hyperlink ref="F6" r:id="rId4" xr:uid="{00000000-0004-0000-0000-000003000000}"/>
    <hyperlink ref="F7" r:id="rId5" xr:uid="{00000000-0004-0000-0000-000004000000}"/>
    <hyperlink ref="F8" r:id="rId6" xr:uid="{00000000-0004-0000-0000-000005000000}"/>
    <hyperlink ref="G8" r:id="rId7" xr:uid="{00000000-0004-0000-0000-000006000000}"/>
    <hyperlink ref="F10" r:id="rId8" xr:uid="{00000000-0004-0000-0000-000007000000}"/>
    <hyperlink ref="G10" r:id="rId9" xr:uid="{00000000-0004-0000-0000-000008000000}"/>
    <hyperlink ref="F12" r:id="rId10" xr:uid="{00000000-0004-0000-0000-000009000000}"/>
    <hyperlink ref="F14" r:id="rId11" xr:uid="{00000000-0004-0000-0000-00000A000000}"/>
    <hyperlink ref="F18" r:id="rId12" xr:uid="{00000000-0004-0000-0000-00000B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1000"/>
  <sheetViews>
    <sheetView topLeftCell="A3" workbookViewId="0">
      <selection activeCell="B17" sqref="B17"/>
    </sheetView>
  </sheetViews>
  <sheetFormatPr defaultColWidth="14.42578125" defaultRowHeight="15" customHeight="1" x14ac:dyDescent="0.25"/>
  <cols>
    <col min="1" max="1" width="29.5703125" customWidth="1"/>
    <col min="2" max="2" width="43.5703125" customWidth="1"/>
    <col min="3" max="3" width="14.140625" customWidth="1"/>
    <col min="4" max="27" width="9.140625" customWidth="1"/>
  </cols>
  <sheetData>
    <row r="1" spans="1:27" ht="19.5" customHeight="1" x14ac:dyDescent="0.25">
      <c r="A1" s="185" t="s">
        <v>73</v>
      </c>
      <c r="B1" s="186" t="s">
        <v>74</v>
      </c>
      <c r="C1" s="186" t="s">
        <v>75</v>
      </c>
      <c r="D1" s="152" t="s">
        <v>7</v>
      </c>
      <c r="E1" s="125"/>
      <c r="F1" s="153" t="s">
        <v>16</v>
      </c>
      <c r="G1" s="129"/>
      <c r="H1" s="129"/>
      <c r="I1" s="125"/>
      <c r="J1" s="124" t="s">
        <v>28</v>
      </c>
      <c r="K1" s="125"/>
      <c r="L1" s="126" t="s">
        <v>35</v>
      </c>
      <c r="M1" s="125"/>
      <c r="N1" s="127" t="s">
        <v>43</v>
      </c>
      <c r="O1" s="125"/>
      <c r="P1" s="128" t="s">
        <v>53</v>
      </c>
      <c r="Q1" s="129"/>
      <c r="R1" s="129"/>
      <c r="S1" s="125"/>
      <c r="T1" s="136" t="s">
        <v>67</v>
      </c>
      <c r="U1" s="125"/>
      <c r="V1" s="67"/>
      <c r="W1" s="67"/>
      <c r="X1" s="67"/>
      <c r="Y1" s="67"/>
      <c r="Z1" s="67"/>
      <c r="AA1" s="67"/>
    </row>
    <row r="2" spans="1:27" ht="19.5" customHeight="1" x14ac:dyDescent="0.25">
      <c r="A2" s="163"/>
      <c r="B2" s="144"/>
      <c r="C2" s="144"/>
      <c r="D2" s="68" t="s">
        <v>9</v>
      </c>
      <c r="E2" s="69" t="s">
        <v>13</v>
      </c>
      <c r="F2" s="70" t="s">
        <v>18</v>
      </c>
      <c r="G2" s="71" t="s">
        <v>22</v>
      </c>
      <c r="H2" s="72" t="s">
        <v>24</v>
      </c>
      <c r="I2" s="73" t="s">
        <v>26</v>
      </c>
      <c r="J2" s="74" t="s">
        <v>30</v>
      </c>
      <c r="K2" s="30" t="s">
        <v>33</v>
      </c>
      <c r="L2" s="33" t="s">
        <v>37</v>
      </c>
      <c r="M2" s="36" t="s">
        <v>41</v>
      </c>
      <c r="N2" s="39" t="s">
        <v>45</v>
      </c>
      <c r="O2" s="42" t="s">
        <v>50</v>
      </c>
      <c r="P2" s="45" t="s">
        <v>55</v>
      </c>
      <c r="Q2" s="48" t="s">
        <v>60</v>
      </c>
      <c r="R2" s="51" t="s">
        <v>62</v>
      </c>
      <c r="S2" s="54" t="s">
        <v>64</v>
      </c>
      <c r="T2" s="57" t="s">
        <v>69</v>
      </c>
      <c r="U2" s="61" t="s">
        <v>71</v>
      </c>
      <c r="V2" s="67"/>
      <c r="W2" s="67"/>
      <c r="X2" s="67"/>
      <c r="Y2" s="67"/>
      <c r="Z2" s="67"/>
      <c r="AA2" s="67"/>
    </row>
    <row r="3" spans="1:27" ht="15.75" customHeight="1" x14ac:dyDescent="0.25">
      <c r="A3" s="75" t="s">
        <v>76</v>
      </c>
      <c r="B3" s="76" t="s">
        <v>77</v>
      </c>
      <c r="C3" s="77" t="str">
        <f>'EE 101'!D15</f>
        <v>EE 101</v>
      </c>
      <c r="D3" s="77" t="str">
        <f>'EE 101'!E15</f>
        <v>I</v>
      </c>
      <c r="E3" s="77" t="str">
        <f>'EE 101'!F15</f>
        <v/>
      </c>
      <c r="F3" s="77" t="str">
        <f>'EE 101'!G15</f>
        <v/>
      </c>
      <c r="G3" s="77" t="str">
        <f>'EE 101'!H15</f>
        <v/>
      </c>
      <c r="H3" s="77" t="str">
        <f>'EE 101'!I15</f>
        <v/>
      </c>
      <c r="I3" s="78" t="str">
        <f>'EE 101'!J15</f>
        <v/>
      </c>
      <c r="J3" s="77" t="str">
        <f>'EE 101'!K15</f>
        <v>I</v>
      </c>
      <c r="K3" s="77" t="str">
        <f>'EE 101'!L15</f>
        <v>I</v>
      </c>
      <c r="L3" s="77" t="str">
        <f>'EE 101'!M15</f>
        <v/>
      </c>
      <c r="M3" s="77" t="str">
        <f>'EE 101'!N15</f>
        <v/>
      </c>
      <c r="N3" s="77" t="str">
        <f>'EE 101'!O15</f>
        <v/>
      </c>
      <c r="O3" s="77" t="str">
        <f>'EE 101'!P15</f>
        <v/>
      </c>
      <c r="P3" s="77" t="str">
        <f>'EE 101'!Q15</f>
        <v/>
      </c>
      <c r="Q3" s="77" t="str">
        <f>'EE 101'!R15</f>
        <v/>
      </c>
      <c r="R3" s="77" t="str">
        <f>'EE 101'!S15</f>
        <v/>
      </c>
      <c r="S3" s="78" t="str">
        <f>'EE 101'!T15</f>
        <v/>
      </c>
      <c r="T3" s="77" t="str">
        <f>'EE 101'!U15</f>
        <v/>
      </c>
      <c r="U3" s="78" t="str">
        <f>'EE 101'!V15</f>
        <v/>
      </c>
      <c r="V3" s="67"/>
      <c r="W3" s="67"/>
      <c r="X3" s="67"/>
      <c r="Y3" s="67"/>
      <c r="Z3" s="67"/>
      <c r="AA3" s="67"/>
    </row>
    <row r="4" spans="1:27" ht="15.75" customHeight="1" x14ac:dyDescent="0.25">
      <c r="A4" s="75" t="s">
        <v>78</v>
      </c>
      <c r="B4" s="76" t="s">
        <v>79</v>
      </c>
      <c r="C4" s="77" t="str">
        <f>'EE 201'!D15</f>
        <v>EE 201</v>
      </c>
      <c r="D4" s="77" t="str">
        <f>'EE 201'!E15</f>
        <v/>
      </c>
      <c r="E4" s="77" t="str">
        <f>'EE 201'!F15</f>
        <v>I</v>
      </c>
      <c r="F4" s="77" t="str">
        <f>'EE 201'!G15</f>
        <v/>
      </c>
      <c r="G4" s="77" t="str">
        <f>'EE 201'!H15</f>
        <v/>
      </c>
      <c r="H4" s="77" t="str">
        <f>'EE 201'!I15</f>
        <v/>
      </c>
      <c r="I4" s="78" t="str">
        <f>'EE 201'!J15</f>
        <v/>
      </c>
      <c r="J4" s="77" t="str">
        <f>'EE 201'!K15</f>
        <v/>
      </c>
      <c r="K4" s="77" t="str">
        <f>'EE 201'!L15</f>
        <v/>
      </c>
      <c r="L4" s="77" t="str">
        <f>'EE 201'!M15</f>
        <v>I</v>
      </c>
      <c r="M4" s="77" t="str">
        <f>'EE 201'!N15</f>
        <v>I</v>
      </c>
      <c r="N4" s="77" t="str">
        <f>'EE 201'!O15</f>
        <v>I</v>
      </c>
      <c r="O4" s="77" t="str">
        <f>'EE 201'!P15</f>
        <v/>
      </c>
      <c r="P4" s="77" t="str">
        <f>'EE 201'!Q15</f>
        <v/>
      </c>
      <c r="Q4" s="77" t="str">
        <f>'EE 201'!R15</f>
        <v>I</v>
      </c>
      <c r="R4" s="77" t="str">
        <f>'EE 201'!S15</f>
        <v>I</v>
      </c>
      <c r="S4" s="78" t="str">
        <f>'EE 201'!T15</f>
        <v>I</v>
      </c>
      <c r="T4" s="77" t="str">
        <f>'EE 201'!U15</f>
        <v/>
      </c>
      <c r="U4" s="78" t="str">
        <f>'EE 201'!V15</f>
        <v/>
      </c>
      <c r="V4" s="67"/>
      <c r="W4" s="67"/>
      <c r="X4" s="67"/>
      <c r="Y4" s="67"/>
      <c r="Z4" s="67"/>
      <c r="AA4" s="67"/>
    </row>
    <row r="5" spans="1:27" ht="15.75" customHeight="1" x14ac:dyDescent="0.25">
      <c r="A5" s="75" t="s">
        <v>80</v>
      </c>
      <c r="B5" s="76" t="s">
        <v>81</v>
      </c>
      <c r="C5" s="77" t="str">
        <f>'EE 211'!D15</f>
        <v>EE 211</v>
      </c>
      <c r="D5" s="77" t="str">
        <f>'EE 211'!E15</f>
        <v>I</v>
      </c>
      <c r="E5" s="77" t="str">
        <f>'EE 211'!F15</f>
        <v>I</v>
      </c>
      <c r="F5" s="77" t="str">
        <f>'EE 211'!G15</f>
        <v>I</v>
      </c>
      <c r="G5" s="77" t="str">
        <f>'EE 211'!H15</f>
        <v>I</v>
      </c>
      <c r="H5" s="77" t="str">
        <f>'EE 211'!I15</f>
        <v>I</v>
      </c>
      <c r="I5" s="78" t="str">
        <f>'EE 211'!J15</f>
        <v>I</v>
      </c>
      <c r="J5" s="77" t="str">
        <f>'EE 211'!K15</f>
        <v>I</v>
      </c>
      <c r="K5" s="77" t="str">
        <f>'EE 211'!L15</f>
        <v>I</v>
      </c>
      <c r="L5" s="77" t="str">
        <f>'EE 211'!M15</f>
        <v/>
      </c>
      <c r="M5" s="77" t="str">
        <f>'EE 211'!N15</f>
        <v/>
      </c>
      <c r="N5" s="77" t="str">
        <f>'EE 211'!O15</f>
        <v>I</v>
      </c>
      <c r="O5" s="77" t="str">
        <f>'EE 211'!P15</f>
        <v/>
      </c>
      <c r="P5" s="77" t="str">
        <f>'EE 211'!Q15</f>
        <v/>
      </c>
      <c r="Q5" s="77" t="str">
        <f>'EE 211'!R15</f>
        <v>I</v>
      </c>
      <c r="R5" s="77" t="str">
        <f>'EE 211'!S15</f>
        <v>I</v>
      </c>
      <c r="S5" s="78" t="str">
        <f>'EE 211'!T15</f>
        <v>I</v>
      </c>
      <c r="T5" s="77" t="str">
        <f>'EE 211'!U15</f>
        <v/>
      </c>
      <c r="U5" s="78" t="str">
        <f>'EE 211'!V15</f>
        <v/>
      </c>
      <c r="V5" s="67"/>
      <c r="W5" s="67"/>
      <c r="X5" s="67"/>
      <c r="Y5" s="67"/>
      <c r="Z5" s="67"/>
      <c r="AA5" s="67"/>
    </row>
    <row r="6" spans="1:27" ht="15.75" customHeight="1" x14ac:dyDescent="0.25">
      <c r="A6" s="75" t="s">
        <v>82</v>
      </c>
      <c r="B6" s="76" t="s">
        <v>83</v>
      </c>
      <c r="C6" s="77" t="str">
        <f>'EE 221'!D15</f>
        <v>EE 221</v>
      </c>
      <c r="D6" s="77" t="str">
        <f>'EE 221'!E15</f>
        <v/>
      </c>
      <c r="E6" s="77" t="str">
        <f>'EE 221'!F15</f>
        <v>I</v>
      </c>
      <c r="F6" s="77" t="str">
        <f>'EE 221'!G15</f>
        <v>I</v>
      </c>
      <c r="G6" s="77" t="str">
        <f>'EE 221'!H15</f>
        <v>I</v>
      </c>
      <c r="H6" s="77" t="str">
        <f>'EE 221'!I15</f>
        <v>I</v>
      </c>
      <c r="I6" s="78" t="str">
        <f>'EE 221'!J15</f>
        <v/>
      </c>
      <c r="J6" s="77" t="str">
        <f>'EE 221'!K15</f>
        <v/>
      </c>
      <c r="K6" s="77" t="str">
        <f>'EE 221'!L15</f>
        <v/>
      </c>
      <c r="L6" s="77" t="str">
        <f>'EE 221'!M15</f>
        <v/>
      </c>
      <c r="M6" s="77" t="str">
        <f>'EE 221'!N15</f>
        <v/>
      </c>
      <c r="N6" s="77" t="str">
        <f>'EE 221'!O15</f>
        <v>I</v>
      </c>
      <c r="O6" s="77" t="str">
        <f>'EE 221'!P15</f>
        <v/>
      </c>
      <c r="P6" s="77" t="str">
        <f>'EE 221'!Q15</f>
        <v/>
      </c>
      <c r="Q6" s="77" t="str">
        <f>'EE 221'!R15</f>
        <v>I</v>
      </c>
      <c r="R6" s="77" t="str">
        <f>'EE 221'!S15</f>
        <v>I</v>
      </c>
      <c r="S6" s="78" t="str">
        <f>'EE 221'!T15</f>
        <v>I</v>
      </c>
      <c r="T6" s="77" t="str">
        <f>'EE 221'!U15</f>
        <v/>
      </c>
      <c r="U6" s="78" t="str">
        <f>'EE 221'!V15</f>
        <v/>
      </c>
      <c r="V6" s="67"/>
      <c r="W6" s="67"/>
      <c r="X6" s="67"/>
      <c r="Y6" s="67"/>
      <c r="Z6" s="67"/>
      <c r="AA6" s="67"/>
    </row>
    <row r="7" spans="1:27" ht="15.75" customHeight="1" x14ac:dyDescent="0.25">
      <c r="A7" s="75" t="s">
        <v>84</v>
      </c>
      <c r="B7" s="76" t="s">
        <v>85</v>
      </c>
      <c r="C7" s="77" t="str">
        <f>'EE 231'!D15</f>
        <v>EE 231</v>
      </c>
      <c r="D7" s="77" t="str">
        <f>'EE 231'!E15</f>
        <v/>
      </c>
      <c r="E7" s="77" t="str">
        <f>'EE 231'!F15</f>
        <v>I</v>
      </c>
      <c r="F7" s="77" t="str">
        <f>'EE 231'!G15</f>
        <v/>
      </c>
      <c r="G7" s="77" t="str">
        <f>'EE 231'!H15</f>
        <v/>
      </c>
      <c r="H7" s="77" t="str">
        <f>'EE 231'!I15</f>
        <v/>
      </c>
      <c r="I7" s="78" t="str">
        <f>'EE 231'!J15</f>
        <v/>
      </c>
      <c r="J7" s="77" t="str">
        <f>'EE 231'!K15</f>
        <v/>
      </c>
      <c r="K7" s="77" t="str">
        <f>'EE 231'!L15</f>
        <v/>
      </c>
      <c r="L7" s="77" t="str">
        <f>'EE 231'!M15</f>
        <v/>
      </c>
      <c r="M7" s="77" t="str">
        <f>'EE 231'!N15</f>
        <v/>
      </c>
      <c r="N7" s="77" t="str">
        <f>'EE 231'!O15</f>
        <v/>
      </c>
      <c r="O7" s="77" t="str">
        <f>'EE 231'!P15</f>
        <v/>
      </c>
      <c r="P7" s="77" t="str">
        <f>'EE 231'!Q15</f>
        <v/>
      </c>
      <c r="Q7" s="77" t="str">
        <f>'EE 231'!R15</f>
        <v/>
      </c>
      <c r="R7" s="77" t="str">
        <f>'EE 231'!S15</f>
        <v>I</v>
      </c>
      <c r="S7" s="78" t="str">
        <f>'EE 231'!T15</f>
        <v>I</v>
      </c>
      <c r="T7" s="77" t="str">
        <f>'EE 231'!U15</f>
        <v>I</v>
      </c>
      <c r="U7" s="78" t="str">
        <f>'EE 231'!V15</f>
        <v/>
      </c>
      <c r="V7" s="67"/>
      <c r="W7" s="67"/>
      <c r="X7" s="67"/>
      <c r="Y7" s="67"/>
      <c r="Z7" s="67"/>
      <c r="AA7" s="67"/>
    </row>
    <row r="8" spans="1:27" ht="15.75" customHeight="1" x14ac:dyDescent="0.25">
      <c r="A8" s="75" t="s">
        <v>86</v>
      </c>
      <c r="B8" s="76" t="s">
        <v>87</v>
      </c>
      <c r="C8" s="77" t="str">
        <f>'EE 202'!D15</f>
        <v>EE 202</v>
      </c>
      <c r="D8" s="77" t="s">
        <v>88</v>
      </c>
      <c r="E8" s="77" t="s">
        <v>88</v>
      </c>
      <c r="F8" s="77" t="str">
        <f>'EE 202'!G15</f>
        <v/>
      </c>
      <c r="G8" s="77" t="str">
        <f>'EE 202'!H15</f>
        <v/>
      </c>
      <c r="H8" s="77" t="str">
        <f>'EE 202'!I15</f>
        <v/>
      </c>
      <c r="I8" s="78" t="str">
        <f>'EE 202'!J15</f>
        <v/>
      </c>
      <c r="J8" s="77" t="str">
        <f>'EE 202'!K15</f>
        <v/>
      </c>
      <c r="K8" s="77" t="str">
        <f>'EE 202'!L15</f>
        <v/>
      </c>
      <c r="L8" s="77" t="str">
        <f>'EE 202'!M15</f>
        <v/>
      </c>
      <c r="M8" s="77" t="str">
        <f>'EE 202'!N15</f>
        <v/>
      </c>
      <c r="N8" s="77" t="str">
        <f>'EE 202'!O15</f>
        <v/>
      </c>
      <c r="O8" s="77" t="str">
        <f>'EE 202'!P15</f>
        <v/>
      </c>
      <c r="P8" s="77" t="str">
        <f>'EE 202'!Q15</f>
        <v/>
      </c>
      <c r="Q8" s="77" t="str">
        <f>'EE 202'!R15</f>
        <v/>
      </c>
      <c r="R8" s="77" t="s">
        <v>88</v>
      </c>
      <c r="S8" s="79" t="s">
        <v>88</v>
      </c>
      <c r="T8" s="77" t="s">
        <v>88</v>
      </c>
      <c r="U8" s="78" t="str">
        <f>'EE 202'!V15</f>
        <v/>
      </c>
      <c r="V8" s="67"/>
      <c r="W8" s="67"/>
      <c r="X8" s="67"/>
      <c r="Y8" s="67"/>
      <c r="Z8" s="67"/>
      <c r="AA8" s="67"/>
    </row>
    <row r="9" spans="1:27" ht="15.75" customHeight="1" x14ac:dyDescent="0.25">
      <c r="A9" s="75" t="s">
        <v>86</v>
      </c>
      <c r="B9" s="76" t="s">
        <v>89</v>
      </c>
      <c r="C9" s="77" t="str">
        <f>'EE 312'!D15</f>
        <v>EE 312</v>
      </c>
      <c r="D9" s="77" t="s">
        <v>90</v>
      </c>
      <c r="E9" s="77" t="s">
        <v>90</v>
      </c>
      <c r="F9" s="77" t="s">
        <v>88</v>
      </c>
      <c r="G9" s="77" t="s">
        <v>88</v>
      </c>
      <c r="H9" s="77" t="str">
        <f>'EE 312'!I15</f>
        <v/>
      </c>
      <c r="I9" s="78" t="str">
        <f>'EE 312'!J15</f>
        <v/>
      </c>
      <c r="J9" s="77" t="str">
        <f>'EE 312'!K15</f>
        <v/>
      </c>
      <c r="K9" s="77" t="str">
        <f>'EE 312'!L15</f>
        <v/>
      </c>
      <c r="L9" s="77" t="str">
        <f>'EE 312'!M15</f>
        <v/>
      </c>
      <c r="M9" s="77" t="str">
        <f>'EE 312'!N15</f>
        <v/>
      </c>
      <c r="N9" s="77" t="str">
        <f>'EE 312'!O15</f>
        <v/>
      </c>
      <c r="O9" s="77" t="str">
        <f>'EE 312'!P15</f>
        <v/>
      </c>
      <c r="P9" s="77" t="str">
        <f>'EE 312'!Q15</f>
        <v/>
      </c>
      <c r="Q9" s="77" t="str">
        <f>'EE 312'!R15</f>
        <v/>
      </c>
      <c r="R9" s="77" t="s">
        <v>88</v>
      </c>
      <c r="S9" s="79" t="s">
        <v>88</v>
      </c>
      <c r="T9" s="77" t="str">
        <f>'EE 312'!U15</f>
        <v/>
      </c>
      <c r="U9" s="78" t="str">
        <f>'EE 312'!V15</f>
        <v/>
      </c>
      <c r="V9" s="67"/>
      <c r="W9" s="67"/>
      <c r="X9" s="67"/>
      <c r="Y9" s="67"/>
      <c r="Z9" s="67"/>
      <c r="AA9" s="67"/>
    </row>
    <row r="10" spans="1:27" ht="15.75" customHeight="1" x14ac:dyDescent="0.25">
      <c r="A10" s="75" t="s">
        <v>82</v>
      </c>
      <c r="B10" s="76" t="s">
        <v>91</v>
      </c>
      <c r="C10" s="77" t="str">
        <f>'EE 322'!D15</f>
        <v>EE 322</v>
      </c>
      <c r="D10" s="77" t="str">
        <f>'EE 322'!E15</f>
        <v>P</v>
      </c>
      <c r="E10" s="77" t="str">
        <f>'EE 322'!F15</f>
        <v>P</v>
      </c>
      <c r="F10" s="77" t="str">
        <f>'EE 322'!G15</f>
        <v>P</v>
      </c>
      <c r="G10" s="77" t="str">
        <f>'EE 322'!H15</f>
        <v>P</v>
      </c>
      <c r="H10" s="77" t="str">
        <f>'EE 322'!I15</f>
        <v>P</v>
      </c>
      <c r="I10" s="78" t="str">
        <f>'EE 322'!J15</f>
        <v>P</v>
      </c>
      <c r="J10" s="77" t="str">
        <f>'EE 322'!K15</f>
        <v>P</v>
      </c>
      <c r="K10" s="77" t="str">
        <f>'EE 322'!L15</f>
        <v>P</v>
      </c>
      <c r="L10" s="77" t="str">
        <f>'EE 322'!M15</f>
        <v>P</v>
      </c>
      <c r="M10" s="77" t="str">
        <f>'EE 322'!N15</f>
        <v>P</v>
      </c>
      <c r="N10" s="77" t="str">
        <f>'EE 322'!O15</f>
        <v>P</v>
      </c>
      <c r="O10" s="77" t="str">
        <f>'EE 322'!P15</f>
        <v>P</v>
      </c>
      <c r="P10" s="77" t="str">
        <f>'EE 322'!Q15</f>
        <v>P</v>
      </c>
      <c r="Q10" s="77" t="str">
        <f>'EE 322'!R15</f>
        <v>P</v>
      </c>
      <c r="R10" s="77" t="str">
        <f>'EE 322'!S15</f>
        <v>P</v>
      </c>
      <c r="S10" s="78" t="str">
        <f>'EE 322'!T15</f>
        <v>P</v>
      </c>
      <c r="T10" s="77" t="str">
        <f>'EE 322'!U15</f>
        <v>P</v>
      </c>
      <c r="U10" s="78" t="str">
        <f>'EE 322'!V15</f>
        <v>P</v>
      </c>
      <c r="V10" s="67"/>
      <c r="W10" s="67"/>
      <c r="X10" s="67"/>
      <c r="Y10" s="67"/>
      <c r="Z10" s="67"/>
      <c r="AA10" s="67"/>
    </row>
    <row r="11" spans="1:27" ht="15.75" customHeight="1" x14ac:dyDescent="0.25">
      <c r="A11" s="75" t="s">
        <v>78</v>
      </c>
      <c r="B11" s="76" t="s">
        <v>92</v>
      </c>
      <c r="C11" s="77" t="str">
        <f>'EE 341'!D15</f>
        <v>EE 341</v>
      </c>
      <c r="D11" s="77" t="str">
        <f>'EE 341'!E15</f>
        <v/>
      </c>
      <c r="E11" s="77" t="str">
        <f>'EE 341'!F15</f>
        <v>P</v>
      </c>
      <c r="F11" s="77" t="str">
        <f>'EE 341'!G15</f>
        <v/>
      </c>
      <c r="G11" s="77" t="str">
        <f>'EE 341'!H15</f>
        <v/>
      </c>
      <c r="H11" s="77" t="str">
        <f>'EE 341'!I15</f>
        <v/>
      </c>
      <c r="I11" s="78" t="str">
        <f>'EE 341'!J15</f>
        <v/>
      </c>
      <c r="J11" s="77" t="str">
        <f>'EE 341'!K15</f>
        <v/>
      </c>
      <c r="K11" s="77" t="str">
        <f>'EE 341'!L15</f>
        <v>P</v>
      </c>
      <c r="L11" s="77" t="str">
        <f>'EE 341'!M15</f>
        <v/>
      </c>
      <c r="M11" s="77" t="str">
        <f>'EE 341'!N15</f>
        <v/>
      </c>
      <c r="N11" s="77" t="str">
        <f>'EE 341'!O15</f>
        <v/>
      </c>
      <c r="O11" s="77" t="str">
        <f>'EE 341'!P15</f>
        <v/>
      </c>
      <c r="P11" s="77" t="str">
        <f>'EE 341'!Q15</f>
        <v/>
      </c>
      <c r="Q11" s="77" t="str">
        <f>'EE 341'!R15</f>
        <v/>
      </c>
      <c r="R11" s="77" t="str">
        <f>'EE 341'!S15</f>
        <v/>
      </c>
      <c r="S11" s="78" t="str">
        <f>'EE 341'!T15</f>
        <v/>
      </c>
      <c r="T11" s="77" t="str">
        <f>'EE 341'!U15</f>
        <v>P</v>
      </c>
      <c r="U11" s="78" t="str">
        <f>'EE 341'!V15</f>
        <v/>
      </c>
      <c r="V11" s="67"/>
      <c r="W11" s="67"/>
      <c r="X11" s="67"/>
      <c r="Y11" s="67"/>
      <c r="Z11" s="67"/>
      <c r="AA11" s="67"/>
    </row>
    <row r="12" spans="1:27" ht="15.75" customHeight="1" x14ac:dyDescent="0.25">
      <c r="A12" s="75" t="s">
        <v>80</v>
      </c>
      <c r="B12" s="76" t="s">
        <v>93</v>
      </c>
      <c r="C12" s="77" t="str">
        <f>'EE 332'!D15</f>
        <v>EE 332</v>
      </c>
      <c r="D12" s="77" t="str">
        <f>'EE 332'!E15</f>
        <v>P</v>
      </c>
      <c r="E12" s="77" t="str">
        <f>'EE 332'!F15</f>
        <v>P</v>
      </c>
      <c r="F12" s="77" t="str">
        <f>'EE 332'!G15</f>
        <v>P</v>
      </c>
      <c r="G12" s="77" t="str">
        <f>'EE 332'!H15</f>
        <v/>
      </c>
      <c r="H12" s="77" t="str">
        <f>'EE 332'!I15</f>
        <v/>
      </c>
      <c r="I12" s="78" t="str">
        <f>'EE 332'!J15</f>
        <v/>
      </c>
      <c r="J12" s="77" t="str">
        <f>'EE 332'!K15</f>
        <v/>
      </c>
      <c r="K12" s="77" t="str">
        <f>'EE 332'!L15</f>
        <v/>
      </c>
      <c r="L12" s="77" t="str">
        <f>'EE 332'!M15</f>
        <v/>
      </c>
      <c r="M12" s="77" t="str">
        <f>'EE 332'!N15</f>
        <v/>
      </c>
      <c r="N12" s="77" t="str">
        <f>'EE 332'!O15</f>
        <v/>
      </c>
      <c r="O12" s="77" t="str">
        <f>'EE 332'!P15</f>
        <v/>
      </c>
      <c r="P12" s="77" t="str">
        <f>'EE 332'!Q15</f>
        <v/>
      </c>
      <c r="Q12" s="77" t="str">
        <f>'EE 332'!R15</f>
        <v/>
      </c>
      <c r="R12" s="77" t="str">
        <f>'EE 332'!S15</f>
        <v>P</v>
      </c>
      <c r="S12" s="78" t="str">
        <f>'EE 332'!T15</f>
        <v>P</v>
      </c>
      <c r="T12" s="77" t="str">
        <f>'EE 332'!U15</f>
        <v/>
      </c>
      <c r="U12" s="78" t="str">
        <f>'EE 332'!V15</f>
        <v/>
      </c>
      <c r="V12" s="67"/>
      <c r="W12" s="67"/>
      <c r="X12" s="67"/>
      <c r="Y12" s="67"/>
      <c r="Z12" s="67"/>
      <c r="AA12" s="67"/>
    </row>
    <row r="13" spans="1:27" ht="15.75" customHeight="1" x14ac:dyDescent="0.25">
      <c r="A13" s="75" t="s">
        <v>94</v>
      </c>
      <c r="B13" s="76" t="s">
        <v>95</v>
      </c>
      <c r="C13" s="77" t="str">
        <f>'EE 351'!D15</f>
        <v>EE 351</v>
      </c>
      <c r="D13" s="77" t="str">
        <f>'EE 351'!E15</f>
        <v>P</v>
      </c>
      <c r="E13" s="77" t="str">
        <f>'EE 351'!F15</f>
        <v>P</v>
      </c>
      <c r="F13" s="77" t="str">
        <f>'EE 351'!G15</f>
        <v>P</v>
      </c>
      <c r="G13" s="77" t="str">
        <f>'EE 351'!H15</f>
        <v>P</v>
      </c>
      <c r="H13" s="77" t="str">
        <f>'EE 351'!I15</f>
        <v>P</v>
      </c>
      <c r="I13" s="78" t="str">
        <f>'EE 351'!J15</f>
        <v>P</v>
      </c>
      <c r="J13" s="77" t="str">
        <f>'EE 351'!K15</f>
        <v>P</v>
      </c>
      <c r="K13" s="77" t="str">
        <f>'EE 351'!L15</f>
        <v>P</v>
      </c>
      <c r="L13" s="77" t="str">
        <f>'EE 351'!M15</f>
        <v/>
      </c>
      <c r="M13" s="77" t="str">
        <f>'EE 351'!N15</f>
        <v/>
      </c>
      <c r="N13" s="77" t="str">
        <f>'EE 351'!O15</f>
        <v>P</v>
      </c>
      <c r="O13" s="77" t="str">
        <f>'EE 351'!P15</f>
        <v>P</v>
      </c>
      <c r="P13" s="77" t="str">
        <f>'EE 351'!Q15</f>
        <v>P</v>
      </c>
      <c r="Q13" s="77" t="str">
        <f>'EE 351'!R15</f>
        <v>P</v>
      </c>
      <c r="R13" s="77" t="str">
        <f>'EE 351'!S15</f>
        <v>P</v>
      </c>
      <c r="S13" s="78" t="str">
        <f>'EE 351'!T15</f>
        <v>P</v>
      </c>
      <c r="T13" s="77" t="str">
        <f>'EE 351'!U15</f>
        <v/>
      </c>
      <c r="U13" s="78" t="str">
        <f>'EE 351'!V15</f>
        <v/>
      </c>
      <c r="V13" s="67"/>
      <c r="W13" s="67"/>
      <c r="X13" s="67"/>
      <c r="Y13" s="67"/>
      <c r="Z13" s="67"/>
      <c r="AA13" s="67"/>
    </row>
    <row r="14" spans="1:27" ht="15.75" customHeight="1" x14ac:dyDescent="0.25">
      <c r="A14" s="75" t="s">
        <v>96</v>
      </c>
      <c r="B14" s="76" t="s">
        <v>97</v>
      </c>
      <c r="C14" s="77" t="str">
        <f>'EE 305'!D15</f>
        <v>EE 305</v>
      </c>
      <c r="D14" s="77" t="str">
        <f>'EE 305'!E15</f>
        <v>P</v>
      </c>
      <c r="E14" s="77" t="str">
        <f>'EE 305'!F15</f>
        <v>P</v>
      </c>
      <c r="F14" s="77" t="str">
        <f>'EE 305'!G15</f>
        <v>P</v>
      </c>
      <c r="G14" s="77" t="str">
        <f>'EE 305'!H15</f>
        <v>P</v>
      </c>
      <c r="H14" s="77" t="str">
        <f>'EE 305'!I15</f>
        <v/>
      </c>
      <c r="I14" s="78" t="str">
        <f>'EE 305'!J15</f>
        <v>P</v>
      </c>
      <c r="J14" s="77" t="str">
        <f>'EE 305'!K15</f>
        <v>P</v>
      </c>
      <c r="K14" s="77" t="str">
        <f>'EE 305'!L15</f>
        <v>P</v>
      </c>
      <c r="L14" s="77" t="str">
        <f>'EE 305'!M15</f>
        <v>P</v>
      </c>
      <c r="M14" s="77" t="str">
        <f>'EE 305'!N15</f>
        <v>P</v>
      </c>
      <c r="N14" s="77" t="str">
        <f>'EE 305'!O15</f>
        <v>P</v>
      </c>
      <c r="O14" s="77" t="str">
        <f>'EE 305'!P15</f>
        <v>P</v>
      </c>
      <c r="P14" s="77" t="str">
        <f>'EE 305'!Q15</f>
        <v>P</v>
      </c>
      <c r="Q14" s="77" t="str">
        <f>'EE 305'!R15</f>
        <v/>
      </c>
      <c r="R14" s="77" t="str">
        <f>'EE 305'!S15</f>
        <v/>
      </c>
      <c r="S14" s="78" t="str">
        <f>'EE 305'!T15</f>
        <v/>
      </c>
      <c r="T14" s="77" t="str">
        <f>'EE 305'!U15</f>
        <v>P</v>
      </c>
      <c r="U14" s="78" t="str">
        <f>'EE 305'!V15</f>
        <v/>
      </c>
      <c r="V14" s="67"/>
      <c r="W14" s="67"/>
      <c r="X14" s="67"/>
      <c r="Y14" s="67"/>
      <c r="Z14" s="67"/>
      <c r="AA14" s="67"/>
    </row>
    <row r="15" spans="1:27" ht="15.75" customHeight="1" x14ac:dyDescent="0.25">
      <c r="A15" s="75" t="s">
        <v>86</v>
      </c>
      <c r="B15" s="76" t="s">
        <v>98</v>
      </c>
      <c r="C15" s="77" t="str">
        <f>'EE 304'!D15</f>
        <v>EE 304</v>
      </c>
      <c r="D15" s="77" t="s">
        <v>90</v>
      </c>
      <c r="E15" s="77" t="s">
        <v>90</v>
      </c>
      <c r="F15" s="77" t="s">
        <v>90</v>
      </c>
      <c r="G15" s="77" t="s">
        <v>90</v>
      </c>
      <c r="H15" s="77" t="s">
        <v>90</v>
      </c>
      <c r="I15" s="79" t="s">
        <v>90</v>
      </c>
      <c r="J15" s="77" t="str">
        <f>'EE 304'!K15</f>
        <v/>
      </c>
      <c r="K15" s="77" t="str">
        <f>'EE 304'!L15</f>
        <v/>
      </c>
      <c r="L15" s="77" t="str">
        <f>'EE 304'!M15</f>
        <v/>
      </c>
      <c r="M15" s="77" t="str">
        <f>'EE 304'!N15</f>
        <v/>
      </c>
      <c r="N15" s="77" t="str">
        <f>'EE 304'!O15</f>
        <v/>
      </c>
      <c r="O15" s="77" t="str">
        <f>'EE 304'!P15</f>
        <v/>
      </c>
      <c r="P15" s="77" t="str">
        <f>'EE 304'!Q15</f>
        <v/>
      </c>
      <c r="Q15" s="77" t="str">
        <f>'EE 304'!R15</f>
        <v/>
      </c>
      <c r="R15" s="77" t="str">
        <f>'EE 304'!S15</f>
        <v/>
      </c>
      <c r="S15" s="78" t="str">
        <f>'EE 304'!T15</f>
        <v/>
      </c>
      <c r="T15" s="77" t="s">
        <v>90</v>
      </c>
      <c r="U15" s="79" t="s">
        <v>90</v>
      </c>
      <c r="V15" s="67"/>
      <c r="W15" s="67"/>
      <c r="X15" s="67"/>
      <c r="Y15" s="67"/>
      <c r="Z15" s="67"/>
      <c r="AA15" s="67"/>
    </row>
    <row r="16" spans="1:27" ht="15.75" customHeight="1" x14ac:dyDescent="0.25">
      <c r="A16" s="75" t="s">
        <v>96</v>
      </c>
      <c r="B16" s="76" t="s">
        <v>99</v>
      </c>
      <c r="C16" s="77" t="str">
        <f>'EE 403'!D15</f>
        <v>EE 403</v>
      </c>
      <c r="D16" s="77" t="str">
        <f>'EE 403'!E15</f>
        <v>M</v>
      </c>
      <c r="E16" s="77" t="str">
        <f>'EE 403'!F15</f>
        <v/>
      </c>
      <c r="F16" s="77" t="str">
        <f>'EE 403'!G15</f>
        <v>M</v>
      </c>
      <c r="G16" s="77" t="str">
        <f>'EE 403'!H15</f>
        <v>M</v>
      </c>
      <c r="H16" s="77" t="str">
        <f>'EE 403'!I15</f>
        <v>M</v>
      </c>
      <c r="I16" s="78" t="str">
        <f>'EE 403'!J15</f>
        <v>M</v>
      </c>
      <c r="J16" s="77" t="str">
        <f>'EE 403'!K15</f>
        <v/>
      </c>
      <c r="K16" s="77" t="str">
        <f>'EE 403'!L15</f>
        <v/>
      </c>
      <c r="L16" s="77" t="str">
        <f>'EE 403'!M15</f>
        <v>M</v>
      </c>
      <c r="M16" s="77" t="str">
        <f>'EE 403'!N15</f>
        <v>M</v>
      </c>
      <c r="N16" s="77" t="str">
        <f>'EE 403'!O15</f>
        <v/>
      </c>
      <c r="O16" s="77" t="str">
        <f>'EE 403'!P15</f>
        <v/>
      </c>
      <c r="P16" s="77" t="str">
        <f>'EE 403'!Q15</f>
        <v/>
      </c>
      <c r="Q16" s="77" t="str">
        <f>'EE 403'!R15</f>
        <v/>
      </c>
      <c r="R16" s="77" t="str">
        <f>'EE 403'!S15</f>
        <v/>
      </c>
      <c r="S16" s="78" t="str">
        <f>'EE 403'!T15</f>
        <v/>
      </c>
      <c r="T16" s="77" t="str">
        <f>'EE 403'!U15</f>
        <v>M</v>
      </c>
      <c r="U16" s="78" t="str">
        <f>'EE 403'!V15</f>
        <v>M</v>
      </c>
      <c r="V16" s="67"/>
      <c r="W16" s="67"/>
      <c r="X16" s="67"/>
      <c r="Y16" s="67"/>
      <c r="Z16" s="67"/>
      <c r="AA16" s="67"/>
    </row>
    <row r="17" spans="1:27" ht="15.75" customHeight="1" x14ac:dyDescent="0.25">
      <c r="A17" s="75" t="s">
        <v>84</v>
      </c>
      <c r="B17" s="76" t="s">
        <v>100</v>
      </c>
      <c r="C17" s="77" t="str">
        <f>'EE 490'!D16</f>
        <v>EE 490</v>
      </c>
      <c r="D17" s="77" t="str">
        <f>'EE 490'!E16</f>
        <v>M</v>
      </c>
      <c r="E17" s="77" t="str">
        <f>'EE 490'!F16</f>
        <v>M</v>
      </c>
      <c r="F17" s="77" t="str">
        <f>'EE 490'!G16</f>
        <v>M</v>
      </c>
      <c r="G17" s="77" t="str">
        <f>'EE 490'!H16</f>
        <v>M</v>
      </c>
      <c r="H17" s="77" t="str">
        <f>'EE 490'!I16</f>
        <v>M</v>
      </c>
      <c r="I17" s="78" t="str">
        <f>'EE 490'!J16</f>
        <v>M</v>
      </c>
      <c r="J17" s="77" t="str">
        <f>'EE 490'!K16</f>
        <v>M</v>
      </c>
      <c r="K17" s="77" t="str">
        <f>'EE 490'!L16</f>
        <v>M</v>
      </c>
      <c r="L17" s="77" t="str">
        <f>'EE 490'!M16</f>
        <v>M</v>
      </c>
      <c r="M17" s="77" t="str">
        <f>'EE 490'!N16</f>
        <v>M</v>
      </c>
      <c r="N17" s="77" t="str">
        <f>'EE 490'!O16</f>
        <v>M</v>
      </c>
      <c r="O17" s="77" t="str">
        <f>'EE 490'!P16</f>
        <v>M</v>
      </c>
      <c r="P17" s="77" t="str">
        <f>'EE 490'!Q16</f>
        <v>M</v>
      </c>
      <c r="Q17" s="77" t="str">
        <f>'EE 490'!R16</f>
        <v>M</v>
      </c>
      <c r="R17" s="77" t="str">
        <f>'EE 490'!S16</f>
        <v>M</v>
      </c>
      <c r="S17" s="78" t="str">
        <f>'EE 490'!T16</f>
        <v>M</v>
      </c>
      <c r="T17" s="77" t="str">
        <f>'EE 490'!U16</f>
        <v>M</v>
      </c>
      <c r="U17" s="78" t="str">
        <f>'EE 490'!V16</f>
        <v>M</v>
      </c>
      <c r="V17" s="67"/>
      <c r="W17" s="67"/>
      <c r="X17" s="67"/>
      <c r="Y17" s="67"/>
      <c r="Z17" s="67"/>
      <c r="AA17" s="67"/>
    </row>
    <row r="18" spans="1:27" ht="15.75" customHeight="1" x14ac:dyDescent="0.25">
      <c r="A18" s="75" t="s">
        <v>84</v>
      </c>
      <c r="B18" s="76" t="s">
        <v>101</v>
      </c>
      <c r="C18" s="77" t="str">
        <f>'EE 492'!D15</f>
        <v>EE 492</v>
      </c>
      <c r="D18" s="77" t="str">
        <f>'EE 492'!E15</f>
        <v>M</v>
      </c>
      <c r="E18" s="77" t="str">
        <f>'EE 492'!F15</f>
        <v>M</v>
      </c>
      <c r="F18" s="77" t="str">
        <f>'EE 492'!G15</f>
        <v/>
      </c>
      <c r="G18" s="77" t="str">
        <f>'EE 492'!H15</f>
        <v/>
      </c>
      <c r="H18" s="77" t="str">
        <f>'EE 492'!I15</f>
        <v/>
      </c>
      <c r="I18" s="78" t="str">
        <f>'EE 492'!J15</f>
        <v/>
      </c>
      <c r="J18" s="77" t="str">
        <f>'EE 492'!K15</f>
        <v>M</v>
      </c>
      <c r="K18" s="77" t="str">
        <f>'EE 492'!L15</f>
        <v>M</v>
      </c>
      <c r="L18" s="77" t="str">
        <f>'EE 492'!M15</f>
        <v>M</v>
      </c>
      <c r="M18" s="77" t="str">
        <f>'EE 492'!N15</f>
        <v>M</v>
      </c>
      <c r="N18" s="77" t="str">
        <f>'EE 492'!O15</f>
        <v>M</v>
      </c>
      <c r="O18" s="77" t="str">
        <f>'EE 492'!P15</f>
        <v>M</v>
      </c>
      <c r="P18" s="77" t="str">
        <f>'EE 492'!Q15</f>
        <v/>
      </c>
      <c r="Q18" s="77" t="str">
        <f>'EE 492'!R15</f>
        <v/>
      </c>
      <c r="R18" s="77" t="str">
        <f>'EE 492'!S15</f>
        <v>M</v>
      </c>
      <c r="S18" s="78" t="str">
        <f>'EE 492'!T15</f>
        <v>M</v>
      </c>
      <c r="T18" s="77" t="str">
        <f>'EE 492'!U15</f>
        <v>M</v>
      </c>
      <c r="U18" s="78" t="str">
        <f>'EE 492'!V15</f>
        <v>M</v>
      </c>
      <c r="V18" s="67"/>
      <c r="W18" s="67"/>
      <c r="X18" s="67"/>
      <c r="Y18" s="67"/>
      <c r="Z18" s="67"/>
      <c r="AA18" s="67"/>
    </row>
    <row r="19" spans="1:27" ht="15.75" customHeight="1" x14ac:dyDescent="0.25">
      <c r="A19" s="80"/>
      <c r="B19" s="184" t="s">
        <v>102</v>
      </c>
      <c r="C19" s="129"/>
      <c r="D19" s="129"/>
      <c r="E19" s="129"/>
      <c r="F19" s="129"/>
      <c r="G19" s="129"/>
      <c r="H19" s="129"/>
      <c r="I19" s="129"/>
      <c r="J19" s="129"/>
      <c r="K19" s="129"/>
      <c r="L19" s="129"/>
      <c r="M19" s="129"/>
      <c r="N19" s="129"/>
      <c r="O19" s="129"/>
      <c r="P19" s="129"/>
      <c r="Q19" s="129"/>
      <c r="R19" s="129"/>
      <c r="S19" s="129"/>
      <c r="T19" s="129"/>
      <c r="U19" s="125"/>
      <c r="V19" s="67"/>
      <c r="W19" s="67"/>
      <c r="X19" s="67"/>
      <c r="Y19" s="67"/>
      <c r="Z19" s="67"/>
      <c r="AA19" s="67"/>
    </row>
    <row r="20" spans="1:27" ht="15.75" customHeight="1" x14ac:dyDescent="0.25">
      <c r="A20" s="75" t="s">
        <v>78</v>
      </c>
      <c r="B20" s="76" t="s">
        <v>103</v>
      </c>
      <c r="C20" s="77" t="str">
        <f>'EE 414'!D15</f>
        <v>EE 414</v>
      </c>
      <c r="D20" s="77" t="str">
        <f>'EE 414'!E15</f>
        <v/>
      </c>
      <c r="E20" s="77" t="str">
        <f>'EE 414'!F15</f>
        <v/>
      </c>
      <c r="F20" s="77" t="str">
        <f>'EE 414'!G15</f>
        <v/>
      </c>
      <c r="G20" s="77" t="str">
        <f>'EE 414'!H15</f>
        <v/>
      </c>
      <c r="H20" s="77" t="str">
        <f>'EE 414'!I15</f>
        <v/>
      </c>
      <c r="I20" s="78" t="str">
        <f>'EE 414'!J15</f>
        <v/>
      </c>
      <c r="J20" s="77" t="str">
        <f>'EE 414'!K15</f>
        <v/>
      </c>
      <c r="K20" s="77" t="str">
        <f>'EE 414'!L15</f>
        <v/>
      </c>
      <c r="L20" s="77" t="str">
        <f>'EE 414'!M15</f>
        <v/>
      </c>
      <c r="M20" s="77" t="str">
        <f>'EE 414'!N15</f>
        <v/>
      </c>
      <c r="N20" s="77" t="str">
        <f>'EE 414'!O15</f>
        <v/>
      </c>
      <c r="O20" s="77" t="str">
        <f>'EE 414'!P15</f>
        <v/>
      </c>
      <c r="P20" s="77" t="str">
        <f>'EE 414'!Q15</f>
        <v/>
      </c>
      <c r="Q20" s="77" t="str">
        <f>'EE 414'!R15</f>
        <v/>
      </c>
      <c r="R20" s="77" t="str">
        <f>'EE 414'!S15</f>
        <v/>
      </c>
      <c r="S20" s="78" t="str">
        <f>'EE 414'!T15</f>
        <v/>
      </c>
      <c r="T20" s="77" t="str">
        <f>'EE 414'!U15</f>
        <v/>
      </c>
      <c r="U20" s="78" t="str">
        <f>'EE 414'!V15</f>
        <v/>
      </c>
      <c r="V20" s="67"/>
      <c r="W20" s="67"/>
      <c r="X20" s="67"/>
      <c r="Y20" s="67"/>
      <c r="Z20" s="67"/>
      <c r="AA20" s="67"/>
    </row>
    <row r="21" spans="1:27" ht="15.75" customHeight="1" x14ac:dyDescent="0.25">
      <c r="A21" s="75" t="s">
        <v>78</v>
      </c>
      <c r="B21" s="76" t="s">
        <v>104</v>
      </c>
      <c r="C21" s="77" t="str">
        <f>'EE 415'!D15</f>
        <v>EE 415</v>
      </c>
      <c r="D21" s="77" t="str">
        <f>'EE 415'!E15</f>
        <v/>
      </c>
      <c r="E21" s="77" t="str">
        <f>'EE 415'!F15</f>
        <v/>
      </c>
      <c r="F21" s="77" t="str">
        <f>'EE 415'!G15</f>
        <v/>
      </c>
      <c r="G21" s="77" t="str">
        <f>'EE 415'!H15</f>
        <v/>
      </c>
      <c r="H21" s="77" t="str">
        <f>'EE 415'!I15</f>
        <v/>
      </c>
      <c r="I21" s="78" t="str">
        <f>'EE 415'!J15</f>
        <v/>
      </c>
      <c r="J21" s="77" t="str">
        <f>'EE 415'!K15</f>
        <v/>
      </c>
      <c r="K21" s="77" t="str">
        <f>'EE 415'!L15</f>
        <v/>
      </c>
      <c r="L21" s="77" t="str">
        <f>'EE 415'!M15</f>
        <v/>
      </c>
      <c r="M21" s="77" t="str">
        <f>'EE 415'!N15</f>
        <v/>
      </c>
      <c r="N21" s="77" t="str">
        <f>'EE 415'!O15</f>
        <v/>
      </c>
      <c r="O21" s="77" t="str">
        <f>'EE 415'!P15</f>
        <v/>
      </c>
      <c r="P21" s="77" t="str">
        <f>'EE 415'!Q15</f>
        <v/>
      </c>
      <c r="Q21" s="77" t="str">
        <f>'EE 415'!R15</f>
        <v/>
      </c>
      <c r="R21" s="77" t="str">
        <f>'EE 415'!S15</f>
        <v/>
      </c>
      <c r="S21" s="78" t="str">
        <f>'EE 415'!T15</f>
        <v/>
      </c>
      <c r="T21" s="77" t="str">
        <f>'EE 415'!U15</f>
        <v/>
      </c>
      <c r="U21" s="78" t="str">
        <f>'EE 415'!V15</f>
        <v/>
      </c>
      <c r="V21" s="67"/>
      <c r="W21" s="67"/>
      <c r="X21" s="67"/>
      <c r="Y21" s="67"/>
      <c r="Z21" s="67"/>
      <c r="AA21" s="67"/>
    </row>
    <row r="22" spans="1:27" ht="15.75" customHeight="1" x14ac:dyDescent="0.25">
      <c r="A22" s="75" t="s">
        <v>82</v>
      </c>
      <c r="B22" s="76" t="s">
        <v>105</v>
      </c>
      <c r="C22" s="77" t="str">
        <f>'EE 416'!D15</f>
        <v>EE 416</v>
      </c>
      <c r="D22" s="77" t="str">
        <f>'EE 416'!E15</f>
        <v>M</v>
      </c>
      <c r="E22" s="77" t="str">
        <f>'EE 416'!F15</f>
        <v>M</v>
      </c>
      <c r="F22" s="77" t="str">
        <f>'EE 416'!G15</f>
        <v>M</v>
      </c>
      <c r="G22" s="77" t="str">
        <f>'EE 416'!H15</f>
        <v>M</v>
      </c>
      <c r="H22" s="77" t="str">
        <f>'EE 416'!I15</f>
        <v>M</v>
      </c>
      <c r="I22" s="78" t="str">
        <f>'EE 416'!J15</f>
        <v>M</v>
      </c>
      <c r="J22" s="77" t="str">
        <f>'EE 416'!K15</f>
        <v>M</v>
      </c>
      <c r="K22" s="77" t="str">
        <f>'EE 416'!L15</f>
        <v>M</v>
      </c>
      <c r="L22" s="77" t="str">
        <f>'EE 416'!M15</f>
        <v>M</v>
      </c>
      <c r="M22" s="77" t="str">
        <f>'EE 416'!N15</f>
        <v>M</v>
      </c>
      <c r="N22" s="77" t="str">
        <f>'EE 416'!O15</f>
        <v/>
      </c>
      <c r="O22" s="77" t="str">
        <f>'EE 416'!P15</f>
        <v/>
      </c>
      <c r="P22" s="77" t="str">
        <f>'EE 416'!Q15</f>
        <v/>
      </c>
      <c r="Q22" s="77" t="str">
        <f>'EE 416'!R15</f>
        <v/>
      </c>
      <c r="R22" s="77" t="str">
        <f>'EE 416'!S15</f>
        <v/>
      </c>
      <c r="S22" s="78" t="str">
        <f>'EE 416'!T15</f>
        <v/>
      </c>
      <c r="T22" s="77" t="str">
        <f>'EE 416'!U15</f>
        <v>M</v>
      </c>
      <c r="U22" s="78" t="str">
        <f>'EE 416'!V15</f>
        <v>M</v>
      </c>
      <c r="V22" s="67"/>
      <c r="W22" s="67"/>
      <c r="X22" s="67"/>
      <c r="Y22" s="67"/>
      <c r="Z22" s="67"/>
      <c r="AA22" s="67"/>
    </row>
    <row r="23" spans="1:27" ht="15.75" customHeight="1" x14ac:dyDescent="0.25">
      <c r="A23" s="75" t="s">
        <v>84</v>
      </c>
      <c r="B23" s="123" t="s">
        <v>287</v>
      </c>
      <c r="C23" s="77" t="str">
        <f>'EE 417'!D15</f>
        <v>EE 417</v>
      </c>
      <c r="D23" s="77" t="str">
        <f>'EE 417'!E15</f>
        <v/>
      </c>
      <c r="E23" s="77" t="str">
        <f>'EE 417'!F15</f>
        <v/>
      </c>
      <c r="F23" s="77" t="str">
        <f>'EE 417'!G15</f>
        <v/>
      </c>
      <c r="G23" s="77" t="str">
        <f>'EE 417'!H15</f>
        <v/>
      </c>
      <c r="H23" s="77" t="str">
        <f>'EE 417'!I15</f>
        <v/>
      </c>
      <c r="I23" s="78" t="str">
        <f>'EE 417'!J15</f>
        <v/>
      </c>
      <c r="J23" s="77" t="str">
        <f>'EE 417'!K15</f>
        <v/>
      </c>
      <c r="K23" s="77" t="str">
        <f>'EE 417'!L15</f>
        <v/>
      </c>
      <c r="L23" s="77" t="str">
        <f>'EE 417'!M15</f>
        <v/>
      </c>
      <c r="M23" s="77" t="str">
        <f>'EE 417'!N15</f>
        <v/>
      </c>
      <c r="N23" s="77" t="str">
        <f>'EE 417'!O15</f>
        <v/>
      </c>
      <c r="O23" s="77" t="str">
        <f>'EE 417'!P15</f>
        <v/>
      </c>
      <c r="P23" s="77" t="str">
        <f>'EE 417'!Q15</f>
        <v/>
      </c>
      <c r="Q23" s="77" t="str">
        <f>'EE 417'!R15</f>
        <v/>
      </c>
      <c r="R23" s="77" t="str">
        <f>'EE 417'!S15</f>
        <v/>
      </c>
      <c r="S23" s="78" t="str">
        <f>'EE 417'!T15</f>
        <v/>
      </c>
      <c r="T23" s="77" t="str">
        <f>'EE 417'!U15</f>
        <v/>
      </c>
      <c r="U23" s="78" t="str">
        <f>'EE 417'!V15</f>
        <v/>
      </c>
      <c r="V23" s="67"/>
      <c r="W23" s="67"/>
      <c r="X23" s="67"/>
      <c r="Y23" s="67"/>
      <c r="Z23" s="67"/>
      <c r="AA23" s="67"/>
    </row>
    <row r="24" spans="1:27" ht="15.75" customHeight="1" x14ac:dyDescent="0.25">
      <c r="A24" s="75" t="s">
        <v>84</v>
      </c>
      <c r="B24" s="76" t="s">
        <v>106</v>
      </c>
      <c r="C24" s="77" t="str">
        <f>'EE 423'!D15</f>
        <v>EE 423</v>
      </c>
      <c r="D24" s="77" t="str">
        <f>'EE 423'!E15</f>
        <v/>
      </c>
      <c r="E24" s="77" t="str">
        <f>'EE 423'!F15</f>
        <v/>
      </c>
      <c r="F24" s="77" t="str">
        <f>'EE 423'!G15</f>
        <v/>
      </c>
      <c r="G24" s="77" t="str">
        <f>'EE 423'!H15</f>
        <v/>
      </c>
      <c r="H24" s="77" t="str">
        <f>'EE 423'!I15</f>
        <v/>
      </c>
      <c r="I24" s="78" t="str">
        <f>'EE 423'!J15</f>
        <v/>
      </c>
      <c r="J24" s="77" t="str">
        <f>'EE 423'!K15</f>
        <v/>
      </c>
      <c r="K24" s="77" t="str">
        <f>'EE 423'!L15</f>
        <v/>
      </c>
      <c r="L24" s="77" t="str">
        <f>'EE 423'!M15</f>
        <v/>
      </c>
      <c r="M24" s="77" t="str">
        <f>'EE 423'!N15</f>
        <v/>
      </c>
      <c r="N24" s="77" t="str">
        <f>'EE 423'!O15</f>
        <v/>
      </c>
      <c r="O24" s="77" t="str">
        <f>'EE 423'!P15</f>
        <v/>
      </c>
      <c r="P24" s="77" t="str">
        <f>'EE 423'!Q15</f>
        <v/>
      </c>
      <c r="Q24" s="77" t="str">
        <f>'EE 423'!R15</f>
        <v/>
      </c>
      <c r="R24" s="77" t="str">
        <f>'EE 423'!S15</f>
        <v/>
      </c>
      <c r="S24" s="78" t="str">
        <f>'EE 423'!T15</f>
        <v/>
      </c>
      <c r="T24" s="77" t="str">
        <f>'EE 423'!U15</f>
        <v/>
      </c>
      <c r="U24" s="78" t="str">
        <f>'EE 423'!V15</f>
        <v/>
      </c>
      <c r="V24" s="67"/>
      <c r="W24" s="67"/>
      <c r="X24" s="67"/>
      <c r="Y24" s="67"/>
      <c r="Z24" s="67"/>
      <c r="AA24" s="67"/>
    </row>
    <row r="25" spans="1:27" ht="15.75" customHeight="1" x14ac:dyDescent="0.25">
      <c r="A25" s="75" t="s">
        <v>82</v>
      </c>
      <c r="B25" s="76" t="s">
        <v>107</v>
      </c>
      <c r="C25" s="77" t="str">
        <f>'EE 424'!D15</f>
        <v>EE 424</v>
      </c>
      <c r="D25" s="77" t="str">
        <f>'EE 424'!E15</f>
        <v/>
      </c>
      <c r="E25" s="77" t="str">
        <f>'EE 424'!F15</f>
        <v/>
      </c>
      <c r="F25" s="77" t="str">
        <f>'EE 424'!G15</f>
        <v/>
      </c>
      <c r="G25" s="77" t="str">
        <f>'EE 424'!H15</f>
        <v/>
      </c>
      <c r="H25" s="77" t="str">
        <f>'EE 424'!I15</f>
        <v/>
      </c>
      <c r="I25" s="78" t="str">
        <f>'EE 424'!J15</f>
        <v/>
      </c>
      <c r="J25" s="77" t="str">
        <f>'EE 424'!K15</f>
        <v/>
      </c>
      <c r="K25" s="77" t="str">
        <f>'EE 424'!L15</f>
        <v/>
      </c>
      <c r="L25" s="77" t="str">
        <f>'EE 424'!M15</f>
        <v/>
      </c>
      <c r="M25" s="77" t="str">
        <f>'EE 424'!N15</f>
        <v/>
      </c>
      <c r="N25" s="77" t="str">
        <f>'EE 424'!O15</f>
        <v/>
      </c>
      <c r="O25" s="77" t="str">
        <f>'EE 424'!P15</f>
        <v/>
      </c>
      <c r="P25" s="77" t="str">
        <f>'EE 424'!Q15</f>
        <v/>
      </c>
      <c r="Q25" s="77" t="str">
        <f>'EE 424'!R15</f>
        <v/>
      </c>
      <c r="R25" s="77" t="str">
        <f>'EE 424'!S15</f>
        <v/>
      </c>
      <c r="S25" s="78" t="str">
        <f>'EE 424'!T15</f>
        <v/>
      </c>
      <c r="T25" s="77" t="str">
        <f>'EE 424'!U15</f>
        <v/>
      </c>
      <c r="U25" s="78" t="str">
        <f>'EE 424'!V15</f>
        <v/>
      </c>
      <c r="V25" s="67"/>
      <c r="W25" s="67"/>
      <c r="X25" s="67"/>
      <c r="Y25" s="67"/>
      <c r="Z25" s="67"/>
      <c r="AA25" s="67"/>
    </row>
    <row r="26" spans="1:27" ht="15.75" customHeight="1" x14ac:dyDescent="0.25">
      <c r="A26" s="75" t="s">
        <v>82</v>
      </c>
      <c r="B26" s="76" t="s">
        <v>108</v>
      </c>
      <c r="C26" s="77" t="str">
        <f>'EE 425'!D15</f>
        <v>EE 425</v>
      </c>
      <c r="D26" s="77" t="str">
        <f>'EE 425'!E15</f>
        <v/>
      </c>
      <c r="E26" s="77" t="str">
        <f>'EE 425'!F15</f>
        <v/>
      </c>
      <c r="F26" s="77" t="str">
        <f>'EE 425'!G15</f>
        <v/>
      </c>
      <c r="G26" s="77" t="str">
        <f>'EE 425'!H15</f>
        <v/>
      </c>
      <c r="H26" s="77" t="str">
        <f>'EE 425'!I15</f>
        <v/>
      </c>
      <c r="I26" s="78" t="str">
        <f>'EE 425'!J15</f>
        <v/>
      </c>
      <c r="J26" s="77" t="str">
        <f>'EE 425'!K15</f>
        <v/>
      </c>
      <c r="K26" s="77" t="str">
        <f>'EE 425'!L15</f>
        <v/>
      </c>
      <c r="L26" s="77" t="str">
        <f>'EE 425'!M15</f>
        <v/>
      </c>
      <c r="M26" s="77" t="str">
        <f>'EE 425'!N15</f>
        <v/>
      </c>
      <c r="N26" s="77" t="str">
        <f>'EE 425'!O15</f>
        <v/>
      </c>
      <c r="O26" s="77" t="str">
        <f>'EE 425'!P15</f>
        <v/>
      </c>
      <c r="P26" s="77" t="str">
        <f>'EE 425'!Q15</f>
        <v/>
      </c>
      <c r="Q26" s="77" t="str">
        <f>'EE 425'!R15</f>
        <v/>
      </c>
      <c r="R26" s="77" t="str">
        <f>'EE 425'!S15</f>
        <v/>
      </c>
      <c r="S26" s="78" t="str">
        <f>'EE 425'!T15</f>
        <v/>
      </c>
      <c r="T26" s="77" t="str">
        <f>'EE 425'!U15</f>
        <v/>
      </c>
      <c r="U26" s="78" t="str">
        <f>'EE 425'!V15</f>
        <v/>
      </c>
      <c r="V26" s="67"/>
      <c r="W26" s="67"/>
      <c r="X26" s="67"/>
      <c r="Y26" s="67"/>
      <c r="Z26" s="67"/>
      <c r="AA26" s="67"/>
    </row>
    <row r="27" spans="1:27" ht="15.75" customHeight="1" x14ac:dyDescent="0.25">
      <c r="A27" s="75" t="s">
        <v>82</v>
      </c>
      <c r="B27" s="76" t="s">
        <v>109</v>
      </c>
      <c r="C27" s="77" t="str">
        <f>'EE 426'!D15</f>
        <v>EE 426</v>
      </c>
      <c r="D27" s="77" t="str">
        <f>'EE 426'!E15</f>
        <v>M</v>
      </c>
      <c r="E27" s="77" t="str">
        <f>'EE 426'!F15</f>
        <v>M</v>
      </c>
      <c r="F27" s="77" t="str">
        <f>'EE 426'!G15</f>
        <v>M</v>
      </c>
      <c r="G27" s="77" t="str">
        <f>'EE 426'!H15</f>
        <v>M</v>
      </c>
      <c r="H27" s="77" t="str">
        <f>'EE 426'!I15</f>
        <v>M</v>
      </c>
      <c r="I27" s="78" t="str">
        <f>'EE 426'!J15</f>
        <v>M</v>
      </c>
      <c r="J27" s="77" t="str">
        <f>'EE 426'!K15</f>
        <v/>
      </c>
      <c r="K27" s="77" t="str">
        <f>'EE 426'!L15</f>
        <v/>
      </c>
      <c r="L27" s="77" t="str">
        <f>'EE 426'!M15</f>
        <v>M</v>
      </c>
      <c r="M27" s="77" t="str">
        <f>'EE 426'!N15</f>
        <v>M</v>
      </c>
      <c r="N27" s="77" t="str">
        <f>'EE 426'!O15</f>
        <v/>
      </c>
      <c r="O27" s="77" t="str">
        <f>'EE 426'!P15</f>
        <v/>
      </c>
      <c r="P27" s="77" t="str">
        <f>'EE 426'!Q15</f>
        <v/>
      </c>
      <c r="Q27" s="77" t="str">
        <f>'EE 426'!R15</f>
        <v/>
      </c>
      <c r="R27" s="77" t="str">
        <f>'EE 426'!S15</f>
        <v>M</v>
      </c>
      <c r="S27" s="78" t="str">
        <f>'EE 426'!T15</f>
        <v>M</v>
      </c>
      <c r="T27" s="77" t="str">
        <f>'EE 426'!U15</f>
        <v>M</v>
      </c>
      <c r="U27" s="78" t="str">
        <f>'EE 426'!V15</f>
        <v/>
      </c>
      <c r="V27" s="67"/>
      <c r="W27" s="67"/>
      <c r="X27" s="67"/>
      <c r="Y27" s="67"/>
      <c r="Z27" s="67"/>
      <c r="AA27" s="67"/>
    </row>
    <row r="28" spans="1:27" ht="15.75" customHeight="1" x14ac:dyDescent="0.25">
      <c r="A28" s="75" t="s">
        <v>80</v>
      </c>
      <c r="B28" s="76" t="s">
        <v>110</v>
      </c>
      <c r="C28" s="77" t="str">
        <f>'EE 433'!D15</f>
        <v>EE 433</v>
      </c>
      <c r="D28" s="77" t="str">
        <f>'EE 433'!E15</f>
        <v/>
      </c>
      <c r="E28" s="77" t="str">
        <f>'EE 433'!F15</f>
        <v/>
      </c>
      <c r="F28" s="77" t="str">
        <f>'EE 433'!G15</f>
        <v/>
      </c>
      <c r="G28" s="77" t="str">
        <f>'EE 433'!H15</f>
        <v/>
      </c>
      <c r="H28" s="77" t="str">
        <f>'EE 433'!I15</f>
        <v/>
      </c>
      <c r="I28" s="78" t="str">
        <f>'EE 433'!J15</f>
        <v/>
      </c>
      <c r="J28" s="77" t="str">
        <f>'EE 433'!K15</f>
        <v/>
      </c>
      <c r="K28" s="77" t="str">
        <f>'EE 433'!L15</f>
        <v/>
      </c>
      <c r="L28" s="77" t="str">
        <f>'EE 433'!M15</f>
        <v/>
      </c>
      <c r="M28" s="77" t="str">
        <f>'EE 433'!N15</f>
        <v/>
      </c>
      <c r="N28" s="77" t="str">
        <f>'EE 433'!O15</f>
        <v/>
      </c>
      <c r="O28" s="77" t="str">
        <f>'EE 433'!P15</f>
        <v/>
      </c>
      <c r="P28" s="77" t="str">
        <f>'EE 433'!Q15</f>
        <v/>
      </c>
      <c r="Q28" s="77" t="str">
        <f>'EE 433'!R15</f>
        <v/>
      </c>
      <c r="R28" s="77" t="str">
        <f>'EE 433'!S15</f>
        <v/>
      </c>
      <c r="S28" s="78" t="str">
        <f>'EE 433'!T15</f>
        <v/>
      </c>
      <c r="T28" s="77" t="str">
        <f>'EE 433'!U15</f>
        <v/>
      </c>
      <c r="U28" s="78" t="str">
        <f>'EE 433'!V15</f>
        <v/>
      </c>
      <c r="V28" s="67"/>
      <c r="W28" s="67"/>
      <c r="X28" s="67"/>
      <c r="Y28" s="67"/>
      <c r="Z28" s="67"/>
      <c r="AA28" s="67"/>
    </row>
    <row r="29" spans="1:27" ht="15.75" customHeight="1" x14ac:dyDescent="0.25">
      <c r="A29" s="122" t="s">
        <v>80</v>
      </c>
      <c r="B29" s="76" t="s">
        <v>111</v>
      </c>
      <c r="C29" s="77" t="str">
        <f>'EE 434'!D15</f>
        <v>EE 434</v>
      </c>
      <c r="D29" s="77" t="str">
        <f>'EE 434'!E15</f>
        <v>M</v>
      </c>
      <c r="E29" s="77" t="str">
        <f>'EE 434'!F15</f>
        <v>M</v>
      </c>
      <c r="F29" s="77" t="str">
        <f>'EE 434'!G15</f>
        <v/>
      </c>
      <c r="G29" s="77" t="str">
        <f>'EE 434'!H15</f>
        <v/>
      </c>
      <c r="H29" s="77" t="str">
        <f>'EE 434'!I15</f>
        <v/>
      </c>
      <c r="I29" s="78" t="str">
        <f>'EE 434'!J15</f>
        <v/>
      </c>
      <c r="J29" s="77" t="str">
        <f>'EE 434'!K15</f>
        <v>M</v>
      </c>
      <c r="K29" s="77" t="str">
        <f>'EE 434'!L15</f>
        <v>M</v>
      </c>
      <c r="L29" s="77" t="str">
        <f>'EE 434'!M15</f>
        <v/>
      </c>
      <c r="M29" s="77" t="str">
        <f>'EE 434'!N15</f>
        <v/>
      </c>
      <c r="N29" s="77" t="str">
        <f>'EE 434'!O15</f>
        <v/>
      </c>
      <c r="O29" s="77" t="str">
        <f>'EE 434'!P15</f>
        <v/>
      </c>
      <c r="P29" s="77" t="str">
        <f>'EE 434'!Q15</f>
        <v>M</v>
      </c>
      <c r="Q29" s="77" t="str">
        <f>'EE 434'!R15</f>
        <v>M</v>
      </c>
      <c r="R29" s="77" t="str">
        <f>'EE 434'!S15</f>
        <v>M</v>
      </c>
      <c r="S29" s="78" t="str">
        <f>'EE 434'!T15</f>
        <v>M</v>
      </c>
      <c r="T29" s="77" t="str">
        <f>'EE 434'!U15</f>
        <v>M</v>
      </c>
      <c r="U29" s="78" t="str">
        <f>'EE 434'!V15</f>
        <v>M</v>
      </c>
      <c r="V29" s="67"/>
      <c r="W29" s="67"/>
      <c r="X29" s="67"/>
      <c r="Y29" s="67"/>
      <c r="Z29" s="67"/>
      <c r="AA29" s="67"/>
    </row>
    <row r="30" spans="1:27" ht="15.75" customHeight="1" x14ac:dyDescent="0.25">
      <c r="A30" s="75" t="s">
        <v>76</v>
      </c>
      <c r="B30" s="76" t="s">
        <v>112</v>
      </c>
      <c r="C30" s="77" t="str">
        <f>'EE 435'!D15</f>
        <v>EE 435</v>
      </c>
      <c r="D30" s="77" t="str">
        <f>'EE 435'!E15</f>
        <v>M</v>
      </c>
      <c r="E30" s="77" t="str">
        <f>'EE 435'!F15</f>
        <v>M</v>
      </c>
      <c r="F30" s="77" t="str">
        <f>'EE 435'!G15</f>
        <v/>
      </c>
      <c r="G30" s="77" t="str">
        <f>'EE 435'!H15</f>
        <v/>
      </c>
      <c r="H30" s="77" t="str">
        <f>'EE 435'!I15</f>
        <v/>
      </c>
      <c r="I30" s="78" t="str">
        <f>'EE 435'!J15</f>
        <v/>
      </c>
      <c r="J30" s="77" t="str">
        <f>'EE 435'!K15</f>
        <v>M</v>
      </c>
      <c r="K30" s="77" t="str">
        <f>'EE 435'!L15</f>
        <v>M</v>
      </c>
      <c r="L30" s="77" t="str">
        <f>'EE 435'!M15</f>
        <v>M</v>
      </c>
      <c r="M30" s="77" t="str">
        <f>'EE 435'!N15</f>
        <v>M</v>
      </c>
      <c r="N30" s="77" t="str">
        <f>'EE 435'!O15</f>
        <v>M</v>
      </c>
      <c r="O30" s="77" t="str">
        <f>'EE 435'!P15</f>
        <v>M</v>
      </c>
      <c r="P30" s="77" t="str">
        <f>'EE 435'!Q15</f>
        <v>M</v>
      </c>
      <c r="Q30" s="77" t="str">
        <f>'EE 435'!R15</f>
        <v>M</v>
      </c>
      <c r="R30" s="77" t="str">
        <f>'EE 435'!S15</f>
        <v>M</v>
      </c>
      <c r="S30" s="78" t="str">
        <f>'EE 435'!T15</f>
        <v>M</v>
      </c>
      <c r="T30" s="77" t="str">
        <f>'EE 435'!U15</f>
        <v>M</v>
      </c>
      <c r="U30" s="78" t="str">
        <f>'EE 435'!V15</f>
        <v>M</v>
      </c>
      <c r="V30" s="67"/>
      <c r="W30" s="67"/>
      <c r="X30" s="67"/>
      <c r="Y30" s="67"/>
      <c r="Z30" s="67"/>
      <c r="AA30" s="67"/>
    </row>
    <row r="31" spans="1:27" ht="15.75" customHeight="1" x14ac:dyDescent="0.25">
      <c r="A31" s="75" t="s">
        <v>76</v>
      </c>
      <c r="B31" s="76" t="s">
        <v>113</v>
      </c>
      <c r="C31" s="77" t="str">
        <f>'EE 436'!D15</f>
        <v>EE 436</v>
      </c>
      <c r="D31" s="77" t="str">
        <f>'EE 436'!E15</f>
        <v>M</v>
      </c>
      <c r="E31" s="77" t="str">
        <f>'EE 436'!F15</f>
        <v>M</v>
      </c>
      <c r="F31" s="77" t="str">
        <f>'EE 436'!G15</f>
        <v/>
      </c>
      <c r="G31" s="77" t="str">
        <f>'EE 436'!H15</f>
        <v/>
      </c>
      <c r="H31" s="77" t="str">
        <f>'EE 436'!I15</f>
        <v/>
      </c>
      <c r="I31" s="78" t="str">
        <f>'EE 436'!J15</f>
        <v/>
      </c>
      <c r="J31" s="77" t="str">
        <f>'EE 436'!K15</f>
        <v>M</v>
      </c>
      <c r="K31" s="77" t="str">
        <f>'EE 436'!L15</f>
        <v>M</v>
      </c>
      <c r="L31" s="77" t="str">
        <f>'EE 436'!M15</f>
        <v>M</v>
      </c>
      <c r="M31" s="77" t="str">
        <f>'EE 436'!N15</f>
        <v>M</v>
      </c>
      <c r="N31" s="77" t="str">
        <f>'EE 436'!O15</f>
        <v/>
      </c>
      <c r="O31" s="77" t="str">
        <f>'EE 436'!P15</f>
        <v/>
      </c>
      <c r="P31" s="77" t="str">
        <f>'EE 436'!Q15</f>
        <v>M</v>
      </c>
      <c r="Q31" s="77" t="str">
        <f>'EE 436'!R15</f>
        <v>M</v>
      </c>
      <c r="R31" s="77" t="str">
        <f>'EE 436'!S15</f>
        <v>M</v>
      </c>
      <c r="S31" s="78" t="str">
        <f>'EE 436'!T15</f>
        <v>M</v>
      </c>
      <c r="T31" s="77" t="str">
        <f>'EE 436'!U15</f>
        <v>M</v>
      </c>
      <c r="U31" s="78" t="str">
        <f>'EE 436'!V15</f>
        <v>M</v>
      </c>
      <c r="V31" s="67"/>
      <c r="W31" s="67"/>
      <c r="X31" s="67"/>
      <c r="Y31" s="67"/>
      <c r="Z31" s="67"/>
      <c r="AA31" s="67"/>
    </row>
    <row r="32" spans="1:27" ht="15.75" customHeight="1" x14ac:dyDescent="0.25">
      <c r="A32" s="75" t="s">
        <v>82</v>
      </c>
      <c r="B32" s="76" t="s">
        <v>114</v>
      </c>
      <c r="C32" s="77" t="str">
        <f>'EE 442'!D15</f>
        <v>EE 442</v>
      </c>
      <c r="D32" s="77" t="str">
        <f>'EE 442'!E15</f>
        <v/>
      </c>
      <c r="E32" s="77" t="str">
        <f>'EE 442'!F15</f>
        <v/>
      </c>
      <c r="F32" s="77" t="str">
        <f>'EE 442'!G15</f>
        <v/>
      </c>
      <c r="G32" s="77" t="str">
        <f>'EE 442'!H15</f>
        <v/>
      </c>
      <c r="H32" s="77" t="str">
        <f>'EE 442'!I15</f>
        <v/>
      </c>
      <c r="I32" s="78" t="str">
        <f>'EE 442'!J15</f>
        <v/>
      </c>
      <c r="J32" s="77" t="str">
        <f>'EE 442'!K15</f>
        <v/>
      </c>
      <c r="K32" s="77" t="str">
        <f>'EE 442'!L15</f>
        <v/>
      </c>
      <c r="L32" s="77" t="str">
        <f>'EE 442'!M15</f>
        <v/>
      </c>
      <c r="M32" s="77" t="str">
        <f>'EE 442'!N15</f>
        <v/>
      </c>
      <c r="N32" s="77" t="str">
        <f>'EE 442'!O15</f>
        <v/>
      </c>
      <c r="O32" s="77" t="str">
        <f>'EE 442'!P15</f>
        <v/>
      </c>
      <c r="P32" s="77" t="str">
        <f>'EE 442'!Q15</f>
        <v/>
      </c>
      <c r="Q32" s="77" t="str">
        <f>'EE 442'!R15</f>
        <v/>
      </c>
      <c r="R32" s="77" t="str">
        <f>'EE 442'!S15</f>
        <v/>
      </c>
      <c r="S32" s="78" t="str">
        <f>'EE 442'!T15</f>
        <v/>
      </c>
      <c r="T32" s="77" t="str">
        <f>'EE 442'!U15</f>
        <v/>
      </c>
      <c r="U32" s="78" t="str">
        <f>'EE 442'!V15</f>
        <v/>
      </c>
      <c r="V32" s="67"/>
      <c r="W32" s="67"/>
      <c r="X32" s="67"/>
      <c r="Y32" s="67"/>
      <c r="Z32" s="67"/>
      <c r="AA32" s="67"/>
    </row>
    <row r="33" spans="1:27" ht="15.75" customHeight="1" x14ac:dyDescent="0.25">
      <c r="A33" s="75" t="s">
        <v>96</v>
      </c>
      <c r="B33" s="123" t="s">
        <v>289</v>
      </c>
      <c r="C33" s="77" t="str">
        <f>'EE 454'!D15</f>
        <v>EE 454</v>
      </c>
      <c r="D33" s="77" t="str">
        <f>'EE 454'!E15</f>
        <v/>
      </c>
      <c r="E33" s="77" t="str">
        <f>'EE 454'!F15</f>
        <v/>
      </c>
      <c r="F33" s="77" t="str">
        <f>'EE 454'!G15</f>
        <v/>
      </c>
      <c r="G33" s="77" t="str">
        <f>'EE 454'!H15</f>
        <v/>
      </c>
      <c r="H33" s="77" t="str">
        <f>'EE 454'!I15</f>
        <v/>
      </c>
      <c r="I33" s="78" t="str">
        <f>'EE 454'!J15</f>
        <v/>
      </c>
      <c r="J33" s="77" t="str">
        <f>'EE 454'!K15</f>
        <v/>
      </c>
      <c r="K33" s="77" t="str">
        <f>'EE 454'!L15</f>
        <v/>
      </c>
      <c r="L33" s="77" t="str">
        <f>'EE 454'!M15</f>
        <v/>
      </c>
      <c r="M33" s="77" t="str">
        <f>'EE 454'!N15</f>
        <v/>
      </c>
      <c r="N33" s="77" t="str">
        <f>'EE 454'!O15</f>
        <v/>
      </c>
      <c r="O33" s="77" t="str">
        <f>'EE 454'!P15</f>
        <v/>
      </c>
      <c r="P33" s="77" t="str">
        <f>'EE 454'!Q15</f>
        <v/>
      </c>
      <c r="Q33" s="77" t="str">
        <f>'EE 454'!R15</f>
        <v/>
      </c>
      <c r="R33" s="77" t="str">
        <f>'EE 454'!S15</f>
        <v/>
      </c>
      <c r="S33" s="78" t="str">
        <f>'EE 454'!T15</f>
        <v/>
      </c>
      <c r="T33" s="77" t="str">
        <f>'EE 454'!U15</f>
        <v/>
      </c>
      <c r="U33" s="78" t="str">
        <f>'EE 454'!V15</f>
        <v/>
      </c>
      <c r="V33" s="67"/>
      <c r="W33" s="67"/>
      <c r="X33" s="67"/>
      <c r="Y33" s="67"/>
      <c r="Z33" s="67"/>
      <c r="AA33" s="67"/>
    </row>
    <row r="34" spans="1:27" ht="15.75" customHeight="1" x14ac:dyDescent="0.25">
      <c r="A34" s="75" t="s">
        <v>96</v>
      </c>
      <c r="B34" s="76" t="s">
        <v>115</v>
      </c>
      <c r="C34" s="77" t="str">
        <f>'EE 456'!D15</f>
        <v>EE 456</v>
      </c>
      <c r="D34" s="77" t="str">
        <f>'EE 456'!E15</f>
        <v>M</v>
      </c>
      <c r="E34" s="77" t="str">
        <f>'EE 456'!F15</f>
        <v>M</v>
      </c>
      <c r="F34" s="77" t="str">
        <f>'EE 456'!G15</f>
        <v/>
      </c>
      <c r="G34" s="77" t="str">
        <f>'EE 456'!H15</f>
        <v/>
      </c>
      <c r="H34" s="77" t="str">
        <f>'EE 456'!I15</f>
        <v/>
      </c>
      <c r="I34" s="78" t="str">
        <f>'EE 456'!J15</f>
        <v/>
      </c>
      <c r="J34" s="77" t="str">
        <f>'EE 456'!K15</f>
        <v>M</v>
      </c>
      <c r="K34" s="77" t="str">
        <f>'EE 456'!L15</f>
        <v>M</v>
      </c>
      <c r="L34" s="77" t="str">
        <f>'EE 456'!M15</f>
        <v/>
      </c>
      <c r="M34" s="77" t="str">
        <f>'EE 456'!N15</f>
        <v/>
      </c>
      <c r="N34" s="77" t="str">
        <f>'EE 456'!O15</f>
        <v/>
      </c>
      <c r="O34" s="77" t="str">
        <f>'EE 456'!P15</f>
        <v/>
      </c>
      <c r="P34" s="77" t="str">
        <f>'EE 456'!Q15</f>
        <v/>
      </c>
      <c r="Q34" s="77" t="str">
        <f>'EE 456'!R15</f>
        <v/>
      </c>
      <c r="R34" s="77" t="str">
        <f>'EE 456'!S15</f>
        <v/>
      </c>
      <c r="S34" s="78" t="str">
        <f>'EE 456'!T15</f>
        <v/>
      </c>
      <c r="T34" s="77" t="str">
        <f>'EE 456'!U15</f>
        <v>M</v>
      </c>
      <c r="U34" s="78" t="str">
        <f>'EE 456'!V15</f>
        <v/>
      </c>
      <c r="V34" s="67"/>
      <c r="W34" s="67"/>
      <c r="X34" s="67"/>
      <c r="Y34" s="67"/>
      <c r="Z34" s="67"/>
      <c r="AA34" s="67"/>
    </row>
    <row r="35" spans="1:27" ht="15.75" customHeight="1" x14ac:dyDescent="0.25">
      <c r="A35" s="122" t="s">
        <v>82</v>
      </c>
      <c r="B35" s="76" t="s">
        <v>116</v>
      </c>
      <c r="C35" s="77" t="str">
        <f>'EE 499'!D15</f>
        <v>EE 499</v>
      </c>
      <c r="D35" s="77" t="str">
        <f>'EE 499'!E15</f>
        <v>M</v>
      </c>
      <c r="E35" s="77" t="str">
        <f>'EE 499'!F15</f>
        <v>M</v>
      </c>
      <c r="F35" s="77" t="str">
        <f>'EE 499'!G15</f>
        <v>M</v>
      </c>
      <c r="G35" s="77" t="str">
        <f>'EE 499'!H15</f>
        <v/>
      </c>
      <c r="H35" s="77" t="str">
        <f>'EE 499'!I15</f>
        <v/>
      </c>
      <c r="I35" s="78" t="str">
        <f>'EE 499'!J15</f>
        <v/>
      </c>
      <c r="J35" s="77" t="str">
        <f>'EE 499'!K15</f>
        <v>M</v>
      </c>
      <c r="K35" s="77" t="str">
        <f>'EE 499'!L15</f>
        <v>M</v>
      </c>
      <c r="L35" s="77" t="str">
        <f>'EE 499'!M15</f>
        <v/>
      </c>
      <c r="M35" s="77" t="str">
        <f>'EE 499'!N15</f>
        <v/>
      </c>
      <c r="N35" s="77" t="str">
        <f>'EE 499'!O15</f>
        <v/>
      </c>
      <c r="O35" s="77" t="str">
        <f>'EE 499'!P15</f>
        <v/>
      </c>
      <c r="P35" s="77" t="str">
        <f>'EE 499'!Q15</f>
        <v/>
      </c>
      <c r="Q35" s="77" t="str">
        <f>'EE 499'!R15</f>
        <v/>
      </c>
      <c r="R35" s="77" t="str">
        <f>'EE 499'!S15</f>
        <v/>
      </c>
      <c r="S35" s="78" t="str">
        <f>'EE 499'!T15</f>
        <v/>
      </c>
      <c r="T35" s="77" t="str">
        <f>'EE 499'!U15</f>
        <v>M</v>
      </c>
      <c r="U35" s="78" t="str">
        <f>'EE 499'!V15</f>
        <v>M</v>
      </c>
      <c r="V35" s="67"/>
      <c r="W35" s="67"/>
      <c r="X35" s="67"/>
      <c r="Y35" s="67"/>
      <c r="Z35" s="67"/>
      <c r="AA35" s="67"/>
    </row>
    <row r="36" spans="1:27" ht="15.75" customHeight="1" x14ac:dyDescent="0.25">
      <c r="A36" s="81"/>
      <c r="B36" s="81"/>
      <c r="C36" s="67"/>
      <c r="D36" s="67"/>
      <c r="E36" s="67"/>
      <c r="F36" s="67"/>
      <c r="G36" s="67"/>
      <c r="H36" s="67"/>
      <c r="I36" s="67"/>
      <c r="J36" s="67"/>
      <c r="K36" s="67"/>
      <c r="L36" s="67"/>
      <c r="M36" s="67"/>
      <c r="N36" s="67"/>
      <c r="O36" s="67"/>
      <c r="P36" s="67"/>
      <c r="Q36" s="67"/>
      <c r="R36" s="67"/>
      <c r="S36" s="67"/>
      <c r="T36" s="67"/>
      <c r="U36" s="67"/>
      <c r="V36" s="67"/>
      <c r="W36" s="67"/>
      <c r="X36" s="67"/>
      <c r="Y36" s="67"/>
      <c r="Z36" s="67"/>
      <c r="AA36" s="67"/>
    </row>
    <row r="37" spans="1:27" ht="15.75" customHeight="1" x14ac:dyDescent="0.25">
      <c r="A37" s="81"/>
      <c r="B37" s="81"/>
      <c r="C37" s="67"/>
      <c r="D37" s="67"/>
      <c r="E37" s="67"/>
      <c r="F37" s="67"/>
      <c r="G37" s="67"/>
      <c r="H37" s="67"/>
      <c r="I37" s="67"/>
      <c r="J37" s="67"/>
      <c r="K37" s="67"/>
      <c r="L37" s="67"/>
      <c r="M37" s="67"/>
      <c r="N37" s="67"/>
      <c r="O37" s="67"/>
      <c r="P37" s="67"/>
      <c r="Q37" s="67"/>
      <c r="R37" s="67"/>
      <c r="S37" s="67"/>
      <c r="T37" s="67"/>
      <c r="U37" s="67"/>
      <c r="V37" s="67"/>
      <c r="W37" s="67"/>
      <c r="X37" s="67"/>
      <c r="Y37" s="67"/>
      <c r="Z37" s="67"/>
      <c r="AA37" s="67"/>
    </row>
    <row r="38" spans="1:27" ht="15.75" customHeight="1" x14ac:dyDescent="0.25">
      <c r="A38" s="81"/>
      <c r="B38" s="81"/>
      <c r="C38" s="67"/>
      <c r="D38" s="67"/>
      <c r="E38" s="67"/>
      <c r="F38" s="67"/>
      <c r="G38" s="67"/>
      <c r="H38" s="67"/>
      <c r="I38" s="67"/>
      <c r="J38" s="67"/>
      <c r="K38" s="67"/>
      <c r="L38" s="67"/>
      <c r="M38" s="67"/>
      <c r="N38" s="67"/>
      <c r="O38" s="67"/>
      <c r="P38" s="67"/>
      <c r="Q38" s="67"/>
      <c r="R38" s="67"/>
      <c r="S38" s="67"/>
      <c r="T38" s="67"/>
      <c r="U38" s="67"/>
      <c r="V38" s="67"/>
      <c r="W38" s="67"/>
      <c r="X38" s="67"/>
      <c r="Y38" s="67"/>
      <c r="Z38" s="67"/>
      <c r="AA38" s="67"/>
    </row>
    <row r="39" spans="1:27" ht="15.75" customHeight="1" x14ac:dyDescent="0.25">
      <c r="A39" s="81"/>
      <c r="B39" s="81"/>
      <c r="C39" s="67"/>
      <c r="D39" s="67"/>
      <c r="E39" s="67"/>
      <c r="F39" s="67"/>
      <c r="G39" s="67"/>
      <c r="H39" s="67"/>
      <c r="I39" s="67"/>
      <c r="J39" s="67"/>
      <c r="K39" s="67"/>
      <c r="L39" s="67"/>
      <c r="M39" s="67"/>
      <c r="N39" s="67"/>
      <c r="O39" s="67"/>
      <c r="P39" s="67"/>
      <c r="Q39" s="67"/>
      <c r="R39" s="67"/>
      <c r="S39" s="67"/>
      <c r="T39" s="67"/>
      <c r="U39" s="67"/>
      <c r="V39" s="67"/>
      <c r="W39" s="67"/>
      <c r="X39" s="67"/>
      <c r="Y39" s="67"/>
      <c r="Z39" s="67"/>
      <c r="AA39" s="67"/>
    </row>
    <row r="40" spans="1:27" ht="15.75" customHeight="1" x14ac:dyDescent="0.25">
      <c r="A40" s="81"/>
      <c r="B40" s="81"/>
      <c r="C40" s="67"/>
      <c r="D40" s="67"/>
      <c r="E40" s="67"/>
      <c r="F40" s="67"/>
      <c r="G40" s="67"/>
      <c r="H40" s="67"/>
      <c r="I40" s="67"/>
      <c r="J40" s="67"/>
      <c r="K40" s="67"/>
      <c r="L40" s="67"/>
      <c r="M40" s="67"/>
      <c r="N40" s="67"/>
      <c r="O40" s="67"/>
      <c r="P40" s="67"/>
      <c r="Q40" s="67"/>
      <c r="R40" s="67"/>
      <c r="S40" s="67"/>
      <c r="T40" s="67"/>
      <c r="U40" s="67"/>
      <c r="V40" s="67"/>
      <c r="W40" s="67"/>
      <c r="X40" s="67"/>
      <c r="Y40" s="67"/>
      <c r="Z40" s="67"/>
      <c r="AA40" s="67"/>
    </row>
    <row r="41" spans="1:27" ht="15.75" customHeight="1" x14ac:dyDescent="0.25">
      <c r="A41" s="81"/>
      <c r="B41" s="81"/>
      <c r="C41" s="67"/>
      <c r="D41" s="67"/>
      <c r="E41" s="67"/>
      <c r="F41" s="67"/>
      <c r="G41" s="67"/>
      <c r="H41" s="67"/>
      <c r="I41" s="67"/>
      <c r="J41" s="67"/>
      <c r="K41" s="67"/>
      <c r="L41" s="67"/>
      <c r="M41" s="67"/>
      <c r="N41" s="67"/>
      <c r="O41" s="67"/>
      <c r="P41" s="67"/>
      <c r="Q41" s="67"/>
      <c r="R41" s="67"/>
      <c r="S41" s="67"/>
      <c r="T41" s="67"/>
      <c r="U41" s="67"/>
      <c r="V41" s="67"/>
      <c r="W41" s="67"/>
      <c r="X41" s="67"/>
      <c r="Y41" s="67"/>
      <c r="Z41" s="67"/>
      <c r="AA41" s="67"/>
    </row>
    <row r="42" spans="1:27" ht="15.75" customHeight="1" x14ac:dyDescent="0.25">
      <c r="A42" s="81"/>
      <c r="B42" s="81"/>
      <c r="C42" s="67"/>
      <c r="D42" s="67"/>
      <c r="E42" s="67"/>
      <c r="F42" s="67"/>
      <c r="G42" s="67"/>
      <c r="H42" s="67"/>
      <c r="I42" s="67"/>
      <c r="J42" s="67"/>
      <c r="K42" s="67"/>
      <c r="L42" s="67"/>
      <c r="M42" s="67"/>
      <c r="N42" s="67"/>
      <c r="O42" s="67"/>
      <c r="P42" s="67"/>
      <c r="Q42" s="67"/>
      <c r="R42" s="67"/>
      <c r="S42" s="67"/>
      <c r="T42" s="67"/>
      <c r="U42" s="67"/>
      <c r="V42" s="67"/>
      <c r="W42" s="67"/>
      <c r="X42" s="67"/>
      <c r="Y42" s="67"/>
      <c r="Z42" s="67"/>
      <c r="AA42" s="67"/>
    </row>
    <row r="43" spans="1:27" ht="15.75" customHeight="1" x14ac:dyDescent="0.25">
      <c r="A43" s="81"/>
      <c r="B43" s="81"/>
      <c r="C43" s="67"/>
      <c r="D43" s="67"/>
      <c r="E43" s="67"/>
      <c r="F43" s="67"/>
      <c r="G43" s="67"/>
      <c r="H43" s="67"/>
      <c r="I43" s="67"/>
      <c r="J43" s="67"/>
      <c r="K43" s="67"/>
      <c r="L43" s="67"/>
      <c r="M43" s="67"/>
      <c r="N43" s="67"/>
      <c r="O43" s="67"/>
      <c r="P43" s="67"/>
      <c r="Q43" s="67"/>
      <c r="R43" s="67"/>
      <c r="S43" s="67"/>
      <c r="T43" s="67"/>
      <c r="U43" s="67"/>
      <c r="V43" s="67"/>
      <c r="W43" s="67"/>
      <c r="X43" s="67"/>
      <c r="Y43" s="67"/>
      <c r="Z43" s="67"/>
      <c r="AA43" s="67"/>
    </row>
    <row r="44" spans="1:27" ht="15.75" customHeight="1" x14ac:dyDescent="0.25">
      <c r="A44" s="81"/>
      <c r="B44" s="81"/>
      <c r="C44" s="67"/>
      <c r="D44" s="67"/>
      <c r="E44" s="67"/>
      <c r="F44" s="67"/>
      <c r="G44" s="67"/>
      <c r="H44" s="67"/>
      <c r="I44" s="67"/>
      <c r="J44" s="67"/>
      <c r="K44" s="67"/>
      <c r="L44" s="67"/>
      <c r="M44" s="67"/>
      <c r="N44" s="67"/>
      <c r="O44" s="67"/>
      <c r="P44" s="67"/>
      <c r="Q44" s="67"/>
      <c r="R44" s="67"/>
      <c r="S44" s="67"/>
      <c r="T44" s="67"/>
      <c r="U44" s="67"/>
      <c r="V44" s="67"/>
      <c r="W44" s="67"/>
      <c r="X44" s="67"/>
      <c r="Y44" s="67"/>
      <c r="Z44" s="67"/>
      <c r="AA44" s="67"/>
    </row>
    <row r="45" spans="1:27" ht="15.75" customHeight="1" x14ac:dyDescent="0.25">
      <c r="A45" s="81"/>
      <c r="B45" s="81"/>
      <c r="C45" s="67"/>
      <c r="D45" s="67"/>
      <c r="E45" s="67"/>
      <c r="F45" s="67"/>
      <c r="G45" s="67"/>
      <c r="H45" s="67"/>
      <c r="I45" s="67"/>
      <c r="J45" s="67"/>
      <c r="K45" s="67"/>
      <c r="L45" s="67"/>
      <c r="M45" s="67"/>
      <c r="N45" s="67"/>
      <c r="O45" s="67"/>
      <c r="P45" s="67"/>
      <c r="Q45" s="67"/>
      <c r="R45" s="67"/>
      <c r="S45" s="67"/>
      <c r="T45" s="67"/>
      <c r="U45" s="67"/>
      <c r="V45" s="67"/>
      <c r="W45" s="67"/>
      <c r="X45" s="67"/>
      <c r="Y45" s="67"/>
      <c r="Z45" s="67"/>
      <c r="AA45" s="67"/>
    </row>
    <row r="46" spans="1:27" ht="15.75" customHeight="1" x14ac:dyDescent="0.25">
      <c r="A46" s="81"/>
      <c r="B46" s="81"/>
      <c r="C46" s="67"/>
      <c r="D46" s="67"/>
      <c r="E46" s="67"/>
      <c r="F46" s="67"/>
      <c r="G46" s="67"/>
      <c r="H46" s="67"/>
      <c r="I46" s="67"/>
      <c r="J46" s="67"/>
      <c r="K46" s="67"/>
      <c r="L46" s="67"/>
      <c r="M46" s="67"/>
      <c r="N46" s="67"/>
      <c r="O46" s="67"/>
      <c r="P46" s="67"/>
      <c r="Q46" s="67"/>
      <c r="R46" s="67"/>
      <c r="S46" s="67"/>
      <c r="T46" s="67"/>
      <c r="U46" s="67"/>
      <c r="V46" s="67"/>
      <c r="W46" s="67"/>
      <c r="X46" s="67"/>
      <c r="Y46" s="67"/>
      <c r="Z46" s="67"/>
      <c r="AA46" s="67"/>
    </row>
    <row r="47" spans="1:27" ht="15.75" customHeight="1" x14ac:dyDescent="0.25">
      <c r="A47" s="81"/>
      <c r="B47" s="81"/>
      <c r="C47" s="67"/>
      <c r="D47" s="67"/>
      <c r="E47" s="67"/>
      <c r="F47" s="67"/>
      <c r="G47" s="67"/>
      <c r="H47" s="67"/>
      <c r="I47" s="67"/>
      <c r="J47" s="67"/>
      <c r="K47" s="67"/>
      <c r="L47" s="67"/>
      <c r="M47" s="67"/>
      <c r="N47" s="67"/>
      <c r="O47" s="67"/>
      <c r="P47" s="67"/>
      <c r="Q47" s="67"/>
      <c r="R47" s="67"/>
      <c r="S47" s="67"/>
      <c r="T47" s="67"/>
      <c r="U47" s="67"/>
      <c r="V47" s="67"/>
      <c r="W47" s="67"/>
      <c r="X47" s="67"/>
      <c r="Y47" s="67"/>
      <c r="Z47" s="67"/>
      <c r="AA47" s="67"/>
    </row>
    <row r="48" spans="1:27" ht="15.75" customHeight="1" x14ac:dyDescent="0.25">
      <c r="A48" s="81"/>
      <c r="B48" s="81"/>
      <c r="C48" s="67"/>
      <c r="D48" s="67"/>
      <c r="E48" s="67"/>
      <c r="F48" s="67"/>
      <c r="G48" s="67"/>
      <c r="H48" s="67"/>
      <c r="I48" s="67"/>
      <c r="J48" s="67"/>
      <c r="K48" s="67"/>
      <c r="L48" s="67"/>
      <c r="M48" s="67"/>
      <c r="N48" s="67"/>
      <c r="O48" s="67"/>
      <c r="P48" s="67"/>
      <c r="Q48" s="67"/>
      <c r="R48" s="67"/>
      <c r="S48" s="67"/>
      <c r="T48" s="67"/>
      <c r="U48" s="67"/>
      <c r="V48" s="67"/>
      <c r="W48" s="67"/>
      <c r="X48" s="67"/>
      <c r="Y48" s="67"/>
      <c r="Z48" s="67"/>
      <c r="AA48" s="67"/>
    </row>
    <row r="49" spans="1:27" ht="15.75" customHeight="1" x14ac:dyDescent="0.25">
      <c r="A49" s="81"/>
      <c r="B49" s="81"/>
      <c r="C49" s="67"/>
      <c r="D49" s="67"/>
      <c r="E49" s="67"/>
      <c r="F49" s="67"/>
      <c r="G49" s="67"/>
      <c r="H49" s="67"/>
      <c r="I49" s="67"/>
      <c r="J49" s="67"/>
      <c r="K49" s="67"/>
      <c r="L49" s="67"/>
      <c r="M49" s="67"/>
      <c r="N49" s="67"/>
      <c r="O49" s="67"/>
      <c r="P49" s="67"/>
      <c r="Q49" s="67"/>
      <c r="R49" s="67"/>
      <c r="S49" s="67"/>
      <c r="T49" s="67"/>
      <c r="U49" s="67"/>
      <c r="V49" s="67"/>
      <c r="W49" s="67"/>
      <c r="X49" s="67"/>
      <c r="Y49" s="67"/>
      <c r="Z49" s="67"/>
      <c r="AA49" s="67"/>
    </row>
    <row r="50" spans="1:27" ht="15.75" customHeight="1" x14ac:dyDescent="0.25">
      <c r="A50" s="81"/>
      <c r="B50" s="81"/>
      <c r="C50" s="67"/>
      <c r="D50" s="67"/>
      <c r="E50" s="67"/>
      <c r="F50" s="67"/>
      <c r="G50" s="67"/>
      <c r="H50" s="67"/>
      <c r="I50" s="67"/>
      <c r="J50" s="67"/>
      <c r="K50" s="67"/>
      <c r="L50" s="67"/>
      <c r="M50" s="67"/>
      <c r="N50" s="67"/>
      <c r="O50" s="67"/>
      <c r="P50" s="67"/>
      <c r="Q50" s="67"/>
      <c r="R50" s="67"/>
      <c r="S50" s="67"/>
      <c r="T50" s="67"/>
      <c r="U50" s="67"/>
      <c r="V50" s="67"/>
      <c r="W50" s="67"/>
      <c r="X50" s="67"/>
      <c r="Y50" s="67"/>
      <c r="Z50" s="67"/>
      <c r="AA50" s="67"/>
    </row>
    <row r="51" spans="1:27" ht="15.75" customHeight="1" x14ac:dyDescent="0.25">
      <c r="A51" s="81"/>
      <c r="B51" s="81"/>
      <c r="C51" s="67"/>
      <c r="D51" s="67"/>
      <c r="E51" s="67"/>
      <c r="F51" s="67"/>
      <c r="G51" s="67"/>
      <c r="H51" s="67"/>
      <c r="I51" s="67"/>
      <c r="J51" s="67"/>
      <c r="K51" s="67"/>
      <c r="L51" s="67"/>
      <c r="M51" s="67"/>
      <c r="N51" s="67"/>
      <c r="O51" s="67"/>
      <c r="P51" s="67"/>
      <c r="Q51" s="67"/>
      <c r="R51" s="67"/>
      <c r="S51" s="67"/>
      <c r="T51" s="67"/>
      <c r="U51" s="67"/>
      <c r="V51" s="67"/>
      <c r="W51" s="67"/>
      <c r="X51" s="67"/>
      <c r="Y51" s="67"/>
      <c r="Z51" s="67"/>
      <c r="AA51" s="67"/>
    </row>
    <row r="52" spans="1:27" ht="15.75" customHeight="1" x14ac:dyDescent="0.25">
      <c r="A52" s="81"/>
      <c r="B52" s="81"/>
      <c r="C52" s="67"/>
      <c r="D52" s="67"/>
      <c r="E52" s="67"/>
      <c r="F52" s="67"/>
      <c r="G52" s="67"/>
      <c r="H52" s="67"/>
      <c r="I52" s="67"/>
      <c r="J52" s="67"/>
      <c r="K52" s="67"/>
      <c r="L52" s="67"/>
      <c r="M52" s="67"/>
      <c r="N52" s="67"/>
      <c r="O52" s="67"/>
      <c r="P52" s="67"/>
      <c r="Q52" s="67"/>
      <c r="R52" s="67"/>
      <c r="S52" s="67"/>
      <c r="T52" s="67"/>
      <c r="U52" s="67"/>
      <c r="V52" s="67"/>
      <c r="W52" s="67"/>
      <c r="X52" s="67"/>
      <c r="Y52" s="67"/>
      <c r="Z52" s="67"/>
      <c r="AA52" s="67"/>
    </row>
    <row r="53" spans="1:27" ht="15.75" customHeight="1" x14ac:dyDescent="0.25">
      <c r="A53" s="81"/>
      <c r="B53" s="81"/>
      <c r="C53" s="67"/>
      <c r="D53" s="67"/>
      <c r="E53" s="67"/>
      <c r="F53" s="67"/>
      <c r="G53" s="67"/>
      <c r="H53" s="67"/>
      <c r="I53" s="67"/>
      <c r="J53" s="67"/>
      <c r="K53" s="67"/>
      <c r="L53" s="67"/>
      <c r="M53" s="67"/>
      <c r="N53" s="67"/>
      <c r="O53" s="67"/>
      <c r="P53" s="67"/>
      <c r="Q53" s="67"/>
      <c r="R53" s="67"/>
      <c r="S53" s="67"/>
      <c r="T53" s="67"/>
      <c r="U53" s="67"/>
      <c r="V53" s="67"/>
      <c r="W53" s="67"/>
      <c r="X53" s="67"/>
      <c r="Y53" s="67"/>
      <c r="Z53" s="67"/>
      <c r="AA53" s="67"/>
    </row>
    <row r="54" spans="1:27" ht="15.75" customHeight="1" x14ac:dyDescent="0.25">
      <c r="A54" s="81"/>
      <c r="B54" s="81"/>
      <c r="C54" s="67"/>
      <c r="D54" s="67"/>
      <c r="E54" s="67"/>
      <c r="F54" s="67"/>
      <c r="G54" s="67"/>
      <c r="H54" s="67"/>
      <c r="I54" s="67"/>
      <c r="J54" s="67"/>
      <c r="K54" s="67"/>
      <c r="L54" s="67"/>
      <c r="M54" s="67"/>
      <c r="N54" s="67"/>
      <c r="O54" s="67"/>
      <c r="P54" s="67"/>
      <c r="Q54" s="67"/>
      <c r="R54" s="67"/>
      <c r="S54" s="67"/>
      <c r="T54" s="67"/>
      <c r="U54" s="67"/>
      <c r="V54" s="67"/>
      <c r="W54" s="67"/>
      <c r="X54" s="67"/>
      <c r="Y54" s="67"/>
      <c r="Z54" s="67"/>
      <c r="AA54" s="67"/>
    </row>
    <row r="55" spans="1:27" ht="15.75" customHeight="1" x14ac:dyDescent="0.25">
      <c r="A55" s="81"/>
      <c r="B55" s="81"/>
      <c r="C55" s="67"/>
      <c r="D55" s="67"/>
      <c r="E55" s="67"/>
      <c r="F55" s="67"/>
      <c r="G55" s="67"/>
      <c r="H55" s="67"/>
      <c r="I55" s="67"/>
      <c r="J55" s="67"/>
      <c r="K55" s="67"/>
      <c r="L55" s="67"/>
      <c r="M55" s="67"/>
      <c r="N55" s="67"/>
      <c r="O55" s="67"/>
      <c r="P55" s="67"/>
      <c r="Q55" s="67"/>
      <c r="R55" s="67"/>
      <c r="S55" s="67"/>
      <c r="T55" s="67"/>
      <c r="U55" s="67"/>
      <c r="V55" s="67"/>
      <c r="W55" s="67"/>
      <c r="X55" s="67"/>
      <c r="Y55" s="67"/>
      <c r="Z55" s="67"/>
      <c r="AA55" s="67"/>
    </row>
    <row r="56" spans="1:27" ht="15.75" customHeight="1" x14ac:dyDescent="0.25">
      <c r="A56" s="81"/>
      <c r="B56" s="81"/>
      <c r="C56" s="67"/>
      <c r="D56" s="67"/>
      <c r="E56" s="67"/>
      <c r="F56" s="67"/>
      <c r="G56" s="67"/>
      <c r="H56" s="67"/>
      <c r="I56" s="67"/>
      <c r="J56" s="67"/>
      <c r="K56" s="67"/>
      <c r="L56" s="67"/>
      <c r="M56" s="67"/>
      <c r="N56" s="67"/>
      <c r="O56" s="67"/>
      <c r="P56" s="67"/>
      <c r="Q56" s="67"/>
      <c r="R56" s="67"/>
      <c r="S56" s="67"/>
      <c r="T56" s="67"/>
      <c r="U56" s="67"/>
      <c r="V56" s="67"/>
      <c r="W56" s="67"/>
      <c r="X56" s="67"/>
      <c r="Y56" s="67"/>
      <c r="Z56" s="67"/>
      <c r="AA56" s="67"/>
    </row>
    <row r="57" spans="1:27" ht="15.75" customHeight="1" x14ac:dyDescent="0.25">
      <c r="A57" s="81"/>
      <c r="B57" s="81"/>
      <c r="C57" s="67"/>
      <c r="D57" s="67"/>
      <c r="E57" s="67"/>
      <c r="F57" s="67"/>
      <c r="G57" s="67"/>
      <c r="H57" s="67"/>
      <c r="I57" s="67"/>
      <c r="J57" s="67"/>
      <c r="K57" s="67"/>
      <c r="L57" s="67"/>
      <c r="M57" s="67"/>
      <c r="N57" s="67"/>
      <c r="O57" s="67"/>
      <c r="P57" s="67"/>
      <c r="Q57" s="67"/>
      <c r="R57" s="67"/>
      <c r="S57" s="67"/>
      <c r="T57" s="67"/>
      <c r="U57" s="67"/>
      <c r="V57" s="67"/>
      <c r="W57" s="67"/>
      <c r="X57" s="67"/>
      <c r="Y57" s="67"/>
      <c r="Z57" s="67"/>
      <c r="AA57" s="67"/>
    </row>
    <row r="58" spans="1:27" ht="15.75" customHeight="1" x14ac:dyDescent="0.25">
      <c r="A58" s="81"/>
      <c r="B58" s="81"/>
      <c r="C58" s="67"/>
      <c r="D58" s="67"/>
      <c r="E58" s="67"/>
      <c r="F58" s="67"/>
      <c r="G58" s="67"/>
      <c r="H58" s="67"/>
      <c r="I58" s="67"/>
      <c r="J58" s="67"/>
      <c r="K58" s="67"/>
      <c r="L58" s="67"/>
      <c r="M58" s="67"/>
      <c r="N58" s="67"/>
      <c r="O58" s="67"/>
      <c r="P58" s="67"/>
      <c r="Q58" s="67"/>
      <c r="R58" s="67"/>
      <c r="S58" s="67"/>
      <c r="T58" s="67"/>
      <c r="U58" s="67"/>
      <c r="V58" s="67"/>
      <c r="W58" s="67"/>
      <c r="X58" s="67"/>
      <c r="Y58" s="67"/>
      <c r="Z58" s="67"/>
      <c r="AA58" s="67"/>
    </row>
    <row r="59" spans="1:27" ht="15.75" customHeight="1" x14ac:dyDescent="0.25">
      <c r="A59" s="81"/>
      <c r="B59" s="81"/>
      <c r="C59" s="67"/>
      <c r="D59" s="67"/>
      <c r="E59" s="67"/>
      <c r="F59" s="67"/>
      <c r="G59" s="67"/>
      <c r="H59" s="67"/>
      <c r="I59" s="67"/>
      <c r="J59" s="67"/>
      <c r="K59" s="67"/>
      <c r="L59" s="67"/>
      <c r="M59" s="67"/>
      <c r="N59" s="67"/>
      <c r="O59" s="67"/>
      <c r="P59" s="67"/>
      <c r="Q59" s="67"/>
      <c r="R59" s="67"/>
      <c r="S59" s="67"/>
      <c r="T59" s="67"/>
      <c r="U59" s="67"/>
      <c r="V59" s="67"/>
      <c r="W59" s="67"/>
      <c r="X59" s="67"/>
      <c r="Y59" s="67"/>
      <c r="Z59" s="67"/>
      <c r="AA59" s="67"/>
    </row>
    <row r="60" spans="1:27" ht="15.75" customHeight="1" x14ac:dyDescent="0.25">
      <c r="A60" s="81"/>
      <c r="B60" s="81"/>
      <c r="C60" s="67"/>
      <c r="D60" s="67"/>
      <c r="E60" s="67"/>
      <c r="F60" s="67"/>
      <c r="G60" s="67"/>
      <c r="H60" s="67"/>
      <c r="I60" s="67"/>
      <c r="J60" s="67"/>
      <c r="K60" s="67"/>
      <c r="L60" s="67"/>
      <c r="M60" s="67"/>
      <c r="N60" s="67"/>
      <c r="O60" s="67"/>
      <c r="P60" s="67"/>
      <c r="Q60" s="67"/>
      <c r="R60" s="67"/>
      <c r="S60" s="67"/>
      <c r="T60" s="67"/>
      <c r="U60" s="67"/>
      <c r="V60" s="67"/>
      <c r="W60" s="67"/>
      <c r="X60" s="67"/>
      <c r="Y60" s="67"/>
      <c r="Z60" s="67"/>
      <c r="AA60" s="67"/>
    </row>
    <row r="61" spans="1:27" ht="15.75" customHeight="1" x14ac:dyDescent="0.25">
      <c r="A61" s="81"/>
      <c r="B61" s="81"/>
      <c r="C61" s="67"/>
      <c r="D61" s="67"/>
      <c r="E61" s="67"/>
      <c r="F61" s="67"/>
      <c r="G61" s="67"/>
      <c r="H61" s="67"/>
      <c r="I61" s="67"/>
      <c r="J61" s="67"/>
      <c r="K61" s="67"/>
      <c r="L61" s="67"/>
      <c r="M61" s="67"/>
      <c r="N61" s="67"/>
      <c r="O61" s="67"/>
      <c r="P61" s="67"/>
      <c r="Q61" s="67"/>
      <c r="R61" s="67"/>
      <c r="S61" s="67"/>
      <c r="T61" s="67"/>
      <c r="U61" s="67"/>
      <c r="V61" s="67"/>
      <c r="W61" s="67"/>
      <c r="X61" s="67"/>
      <c r="Y61" s="67"/>
      <c r="Z61" s="67"/>
      <c r="AA61" s="67"/>
    </row>
    <row r="62" spans="1:27" ht="15.75" customHeight="1" x14ac:dyDescent="0.25">
      <c r="A62" s="81"/>
      <c r="B62" s="81"/>
      <c r="C62" s="67"/>
      <c r="D62" s="67"/>
      <c r="E62" s="67"/>
      <c r="F62" s="67"/>
      <c r="G62" s="67"/>
      <c r="H62" s="67"/>
      <c r="I62" s="67"/>
      <c r="J62" s="67"/>
      <c r="K62" s="67"/>
      <c r="L62" s="67"/>
      <c r="M62" s="67"/>
      <c r="N62" s="67"/>
      <c r="O62" s="67"/>
      <c r="P62" s="67"/>
      <c r="Q62" s="67"/>
      <c r="R62" s="67"/>
      <c r="S62" s="67"/>
      <c r="T62" s="67"/>
      <c r="U62" s="67"/>
      <c r="V62" s="67"/>
      <c r="W62" s="67"/>
      <c r="X62" s="67"/>
      <c r="Y62" s="67"/>
      <c r="Z62" s="67"/>
      <c r="AA62" s="67"/>
    </row>
    <row r="63" spans="1:27" ht="15.75" customHeight="1" x14ac:dyDescent="0.25">
      <c r="A63" s="81"/>
      <c r="B63" s="81"/>
      <c r="C63" s="67"/>
      <c r="D63" s="67"/>
      <c r="E63" s="67"/>
      <c r="F63" s="67"/>
      <c r="G63" s="67"/>
      <c r="H63" s="67"/>
      <c r="I63" s="67"/>
      <c r="J63" s="67"/>
      <c r="K63" s="67"/>
      <c r="L63" s="67"/>
      <c r="M63" s="67"/>
      <c r="N63" s="67"/>
      <c r="O63" s="67"/>
      <c r="P63" s="67"/>
      <c r="Q63" s="67"/>
      <c r="R63" s="67"/>
      <c r="S63" s="67"/>
      <c r="T63" s="67"/>
      <c r="U63" s="67"/>
      <c r="V63" s="67"/>
      <c r="W63" s="67"/>
      <c r="X63" s="67"/>
      <c r="Y63" s="67"/>
      <c r="Z63" s="67"/>
      <c r="AA63" s="67"/>
    </row>
    <row r="64" spans="1:27" ht="15.75" customHeight="1" x14ac:dyDescent="0.25">
      <c r="A64" s="81"/>
      <c r="B64" s="81"/>
      <c r="C64" s="67"/>
      <c r="D64" s="67"/>
      <c r="E64" s="67"/>
      <c r="F64" s="67"/>
      <c r="G64" s="67"/>
      <c r="H64" s="67"/>
      <c r="I64" s="67"/>
      <c r="J64" s="67"/>
      <c r="K64" s="67"/>
      <c r="L64" s="67"/>
      <c r="M64" s="67"/>
      <c r="N64" s="67"/>
      <c r="O64" s="67"/>
      <c r="P64" s="67"/>
      <c r="Q64" s="67"/>
      <c r="R64" s="67"/>
      <c r="S64" s="67"/>
      <c r="T64" s="67"/>
      <c r="U64" s="67"/>
      <c r="V64" s="67"/>
      <c r="W64" s="67"/>
      <c r="X64" s="67"/>
      <c r="Y64" s="67"/>
      <c r="Z64" s="67"/>
      <c r="AA64" s="67"/>
    </row>
    <row r="65" spans="1:27" ht="15.75" customHeight="1" x14ac:dyDescent="0.25">
      <c r="A65" s="81"/>
      <c r="B65" s="81"/>
      <c r="C65" s="67"/>
      <c r="D65" s="67"/>
      <c r="E65" s="67"/>
      <c r="F65" s="67"/>
      <c r="G65" s="67"/>
      <c r="H65" s="67"/>
      <c r="I65" s="67"/>
      <c r="J65" s="67"/>
      <c r="K65" s="67"/>
      <c r="L65" s="67"/>
      <c r="M65" s="67"/>
      <c r="N65" s="67"/>
      <c r="O65" s="67"/>
      <c r="P65" s="67"/>
      <c r="Q65" s="67"/>
      <c r="R65" s="67"/>
      <c r="S65" s="67"/>
      <c r="T65" s="67"/>
      <c r="U65" s="67"/>
      <c r="V65" s="67"/>
      <c r="W65" s="67"/>
      <c r="X65" s="67"/>
      <c r="Y65" s="67"/>
      <c r="Z65" s="67"/>
      <c r="AA65" s="67"/>
    </row>
    <row r="66" spans="1:27" ht="15.75" customHeight="1" x14ac:dyDescent="0.25">
      <c r="A66" s="81"/>
      <c r="B66" s="81"/>
      <c r="C66" s="67"/>
      <c r="D66" s="67"/>
      <c r="E66" s="67"/>
      <c r="F66" s="67"/>
      <c r="G66" s="67"/>
      <c r="H66" s="67"/>
      <c r="I66" s="67"/>
      <c r="J66" s="67"/>
      <c r="K66" s="67"/>
      <c r="L66" s="67"/>
      <c r="M66" s="67"/>
      <c r="N66" s="67"/>
      <c r="O66" s="67"/>
      <c r="P66" s="67"/>
      <c r="Q66" s="67"/>
      <c r="R66" s="67"/>
      <c r="S66" s="67"/>
      <c r="T66" s="67"/>
      <c r="U66" s="67"/>
      <c r="V66" s="67"/>
      <c r="W66" s="67"/>
      <c r="X66" s="67"/>
      <c r="Y66" s="67"/>
      <c r="Z66" s="67"/>
      <c r="AA66" s="67"/>
    </row>
    <row r="67" spans="1:27" ht="15.75" customHeight="1" x14ac:dyDescent="0.25">
      <c r="A67" s="81"/>
      <c r="B67" s="81"/>
      <c r="C67" s="67"/>
      <c r="D67" s="67"/>
      <c r="E67" s="67"/>
      <c r="F67" s="67"/>
      <c r="G67" s="67"/>
      <c r="H67" s="67"/>
      <c r="I67" s="67"/>
      <c r="J67" s="67"/>
      <c r="K67" s="67"/>
      <c r="L67" s="67"/>
      <c r="M67" s="67"/>
      <c r="N67" s="67"/>
      <c r="O67" s="67"/>
      <c r="P67" s="67"/>
      <c r="Q67" s="67"/>
      <c r="R67" s="67"/>
      <c r="S67" s="67"/>
      <c r="T67" s="67"/>
      <c r="U67" s="67"/>
      <c r="V67" s="67"/>
      <c r="W67" s="67"/>
      <c r="X67" s="67"/>
      <c r="Y67" s="67"/>
      <c r="Z67" s="67"/>
      <c r="AA67" s="67"/>
    </row>
    <row r="68" spans="1:27" ht="15.75" customHeight="1" x14ac:dyDescent="0.25">
      <c r="A68" s="81"/>
      <c r="B68" s="81"/>
      <c r="C68" s="67"/>
      <c r="D68" s="67"/>
      <c r="E68" s="67"/>
      <c r="F68" s="67"/>
      <c r="G68" s="67"/>
      <c r="H68" s="67"/>
      <c r="I68" s="67"/>
      <c r="J68" s="67"/>
      <c r="K68" s="67"/>
      <c r="L68" s="67"/>
      <c r="M68" s="67"/>
      <c r="N68" s="67"/>
      <c r="O68" s="67"/>
      <c r="P68" s="67"/>
      <c r="Q68" s="67"/>
      <c r="R68" s="67"/>
      <c r="S68" s="67"/>
      <c r="T68" s="67"/>
      <c r="U68" s="67"/>
      <c r="V68" s="67"/>
      <c r="W68" s="67"/>
      <c r="X68" s="67"/>
      <c r="Y68" s="67"/>
      <c r="Z68" s="67"/>
      <c r="AA68" s="67"/>
    </row>
    <row r="69" spans="1:27" ht="15.75" customHeight="1" x14ac:dyDescent="0.25">
      <c r="A69" s="81"/>
      <c r="B69" s="81"/>
      <c r="C69" s="67"/>
      <c r="D69" s="67"/>
      <c r="E69" s="67"/>
      <c r="F69" s="67"/>
      <c r="G69" s="67"/>
      <c r="H69" s="67"/>
      <c r="I69" s="67"/>
      <c r="J69" s="67"/>
      <c r="K69" s="67"/>
      <c r="L69" s="67"/>
      <c r="M69" s="67"/>
      <c r="N69" s="67"/>
      <c r="O69" s="67"/>
      <c r="P69" s="67"/>
      <c r="Q69" s="67"/>
      <c r="R69" s="67"/>
      <c r="S69" s="67"/>
      <c r="T69" s="67"/>
      <c r="U69" s="67"/>
      <c r="V69" s="67"/>
      <c r="W69" s="67"/>
      <c r="X69" s="67"/>
      <c r="Y69" s="67"/>
      <c r="Z69" s="67"/>
      <c r="AA69" s="67"/>
    </row>
    <row r="70" spans="1:27" ht="15.75" customHeight="1" x14ac:dyDescent="0.25">
      <c r="A70" s="81"/>
      <c r="B70" s="81"/>
      <c r="C70" s="67"/>
      <c r="D70" s="67"/>
      <c r="E70" s="67"/>
      <c r="F70" s="67"/>
      <c r="G70" s="67"/>
      <c r="H70" s="67"/>
      <c r="I70" s="67"/>
      <c r="J70" s="67"/>
      <c r="K70" s="67"/>
      <c r="L70" s="67"/>
      <c r="M70" s="67"/>
      <c r="N70" s="67"/>
      <c r="O70" s="67"/>
      <c r="P70" s="67"/>
      <c r="Q70" s="67"/>
      <c r="R70" s="67"/>
      <c r="S70" s="67"/>
      <c r="T70" s="67"/>
      <c r="U70" s="67"/>
      <c r="V70" s="67"/>
      <c r="W70" s="67"/>
      <c r="X70" s="67"/>
      <c r="Y70" s="67"/>
      <c r="Z70" s="67"/>
      <c r="AA70" s="67"/>
    </row>
    <row r="71" spans="1:27" ht="15.75" customHeight="1" x14ac:dyDescent="0.25">
      <c r="A71" s="81"/>
      <c r="B71" s="81"/>
      <c r="C71" s="67"/>
      <c r="D71" s="67"/>
      <c r="E71" s="67"/>
      <c r="F71" s="67"/>
      <c r="G71" s="67"/>
      <c r="H71" s="67"/>
      <c r="I71" s="67"/>
      <c r="J71" s="67"/>
      <c r="K71" s="67"/>
      <c r="L71" s="67"/>
      <c r="M71" s="67"/>
      <c r="N71" s="67"/>
      <c r="O71" s="67"/>
      <c r="P71" s="67"/>
      <c r="Q71" s="67"/>
      <c r="R71" s="67"/>
      <c r="S71" s="67"/>
      <c r="T71" s="67"/>
      <c r="U71" s="67"/>
      <c r="V71" s="67"/>
      <c r="W71" s="67"/>
      <c r="X71" s="67"/>
      <c r="Y71" s="67"/>
      <c r="Z71" s="67"/>
      <c r="AA71" s="67"/>
    </row>
    <row r="72" spans="1:27" ht="15.75" customHeight="1" x14ac:dyDescent="0.25">
      <c r="A72" s="81"/>
      <c r="B72" s="81"/>
      <c r="C72" s="67"/>
      <c r="D72" s="67"/>
      <c r="E72" s="67"/>
      <c r="F72" s="67"/>
      <c r="G72" s="67"/>
      <c r="H72" s="67"/>
      <c r="I72" s="67"/>
      <c r="J72" s="67"/>
      <c r="K72" s="67"/>
      <c r="L72" s="67"/>
      <c r="M72" s="67"/>
      <c r="N72" s="67"/>
      <c r="O72" s="67"/>
      <c r="P72" s="67"/>
      <c r="Q72" s="67"/>
      <c r="R72" s="67"/>
      <c r="S72" s="67"/>
      <c r="T72" s="67"/>
      <c r="U72" s="67"/>
      <c r="V72" s="67"/>
      <c r="W72" s="67"/>
      <c r="X72" s="67"/>
      <c r="Y72" s="67"/>
      <c r="Z72" s="67"/>
      <c r="AA72" s="67"/>
    </row>
    <row r="73" spans="1:27" ht="15.75" customHeight="1" x14ac:dyDescent="0.25">
      <c r="A73" s="81"/>
      <c r="B73" s="81"/>
      <c r="C73" s="67"/>
      <c r="D73" s="67"/>
      <c r="E73" s="67"/>
      <c r="F73" s="67"/>
      <c r="G73" s="67"/>
      <c r="H73" s="67"/>
      <c r="I73" s="67"/>
      <c r="J73" s="67"/>
      <c r="K73" s="67"/>
      <c r="L73" s="67"/>
      <c r="M73" s="67"/>
      <c r="N73" s="67"/>
      <c r="O73" s="67"/>
      <c r="P73" s="67"/>
      <c r="Q73" s="67"/>
      <c r="R73" s="67"/>
      <c r="S73" s="67"/>
      <c r="T73" s="67"/>
      <c r="U73" s="67"/>
      <c r="V73" s="67"/>
      <c r="W73" s="67"/>
      <c r="X73" s="67"/>
      <c r="Y73" s="67"/>
      <c r="Z73" s="67"/>
      <c r="AA73" s="67"/>
    </row>
    <row r="74" spans="1:27" ht="15.75" customHeight="1" x14ac:dyDescent="0.25">
      <c r="A74" s="81"/>
      <c r="B74" s="81"/>
      <c r="C74" s="67"/>
      <c r="D74" s="67"/>
      <c r="E74" s="67"/>
      <c r="F74" s="67"/>
      <c r="G74" s="67"/>
      <c r="H74" s="67"/>
      <c r="I74" s="67"/>
      <c r="J74" s="67"/>
      <c r="K74" s="67"/>
      <c r="L74" s="67"/>
      <c r="M74" s="67"/>
      <c r="N74" s="67"/>
      <c r="O74" s="67"/>
      <c r="P74" s="67"/>
      <c r="Q74" s="67"/>
      <c r="R74" s="67"/>
      <c r="S74" s="67"/>
      <c r="T74" s="67"/>
      <c r="U74" s="67"/>
      <c r="V74" s="67"/>
      <c r="W74" s="67"/>
      <c r="X74" s="67"/>
      <c r="Y74" s="67"/>
      <c r="Z74" s="67"/>
      <c r="AA74" s="67"/>
    </row>
    <row r="75" spans="1:27" ht="15.75" customHeight="1" x14ac:dyDescent="0.25">
      <c r="A75" s="81"/>
      <c r="B75" s="81"/>
      <c r="C75" s="67"/>
      <c r="D75" s="67"/>
      <c r="E75" s="67"/>
      <c r="F75" s="67"/>
      <c r="G75" s="67"/>
      <c r="H75" s="67"/>
      <c r="I75" s="67"/>
      <c r="J75" s="67"/>
      <c r="K75" s="67"/>
      <c r="L75" s="67"/>
      <c r="M75" s="67"/>
      <c r="N75" s="67"/>
      <c r="O75" s="67"/>
      <c r="P75" s="67"/>
      <c r="Q75" s="67"/>
      <c r="R75" s="67"/>
      <c r="S75" s="67"/>
      <c r="T75" s="67"/>
      <c r="U75" s="67"/>
      <c r="V75" s="67"/>
      <c r="W75" s="67"/>
      <c r="X75" s="67"/>
      <c r="Y75" s="67"/>
      <c r="Z75" s="67"/>
      <c r="AA75" s="67"/>
    </row>
    <row r="76" spans="1:27" ht="15.75" customHeight="1" x14ac:dyDescent="0.25">
      <c r="A76" s="81"/>
      <c r="B76" s="81"/>
      <c r="C76" s="67"/>
      <c r="D76" s="67"/>
      <c r="E76" s="67"/>
      <c r="F76" s="67"/>
      <c r="G76" s="67"/>
      <c r="H76" s="67"/>
      <c r="I76" s="67"/>
      <c r="J76" s="67"/>
      <c r="K76" s="67"/>
      <c r="L76" s="67"/>
      <c r="M76" s="67"/>
      <c r="N76" s="67"/>
      <c r="O76" s="67"/>
      <c r="P76" s="67"/>
      <c r="Q76" s="67"/>
      <c r="R76" s="67"/>
      <c r="S76" s="67"/>
      <c r="T76" s="67"/>
      <c r="U76" s="67"/>
      <c r="V76" s="67"/>
      <c r="W76" s="67"/>
      <c r="X76" s="67"/>
      <c r="Y76" s="67"/>
      <c r="Z76" s="67"/>
      <c r="AA76" s="67"/>
    </row>
    <row r="77" spans="1:27" ht="15.75" customHeight="1" x14ac:dyDescent="0.25">
      <c r="A77" s="81"/>
      <c r="B77" s="81"/>
      <c r="C77" s="67"/>
      <c r="D77" s="67"/>
      <c r="E77" s="67"/>
      <c r="F77" s="67"/>
      <c r="G77" s="67"/>
      <c r="H77" s="67"/>
      <c r="I77" s="67"/>
      <c r="J77" s="67"/>
      <c r="K77" s="67"/>
      <c r="L77" s="67"/>
      <c r="M77" s="67"/>
      <c r="N77" s="67"/>
      <c r="O77" s="67"/>
      <c r="P77" s="67"/>
      <c r="Q77" s="67"/>
      <c r="R77" s="67"/>
      <c r="S77" s="67"/>
      <c r="T77" s="67"/>
      <c r="U77" s="67"/>
      <c r="V77" s="67"/>
      <c r="W77" s="67"/>
      <c r="X77" s="67"/>
      <c r="Y77" s="67"/>
      <c r="Z77" s="67"/>
      <c r="AA77" s="67"/>
    </row>
    <row r="78" spans="1:27" ht="15.75" customHeight="1" x14ac:dyDescent="0.25">
      <c r="A78" s="81"/>
      <c r="B78" s="81"/>
      <c r="C78" s="67"/>
      <c r="D78" s="67"/>
      <c r="E78" s="67"/>
      <c r="F78" s="67"/>
      <c r="G78" s="67"/>
      <c r="H78" s="67"/>
      <c r="I78" s="67"/>
      <c r="J78" s="67"/>
      <c r="K78" s="67"/>
      <c r="L78" s="67"/>
      <c r="M78" s="67"/>
      <c r="N78" s="67"/>
      <c r="O78" s="67"/>
      <c r="P78" s="67"/>
      <c r="Q78" s="67"/>
      <c r="R78" s="67"/>
      <c r="S78" s="67"/>
      <c r="T78" s="67"/>
      <c r="U78" s="67"/>
      <c r="V78" s="67"/>
      <c r="W78" s="67"/>
      <c r="X78" s="67"/>
      <c r="Y78" s="67"/>
      <c r="Z78" s="67"/>
      <c r="AA78" s="67"/>
    </row>
    <row r="79" spans="1:27" ht="15.75" customHeight="1" x14ac:dyDescent="0.25">
      <c r="A79" s="81"/>
      <c r="B79" s="81"/>
      <c r="C79" s="67"/>
      <c r="D79" s="67"/>
      <c r="E79" s="67"/>
      <c r="F79" s="67"/>
      <c r="G79" s="67"/>
      <c r="H79" s="67"/>
      <c r="I79" s="67"/>
      <c r="J79" s="67"/>
      <c r="K79" s="67"/>
      <c r="L79" s="67"/>
      <c r="M79" s="67"/>
      <c r="N79" s="67"/>
      <c r="O79" s="67"/>
      <c r="P79" s="67"/>
      <c r="Q79" s="67"/>
      <c r="R79" s="67"/>
      <c r="S79" s="67"/>
      <c r="T79" s="67"/>
      <c r="U79" s="67"/>
      <c r="V79" s="67"/>
      <c r="W79" s="67"/>
      <c r="X79" s="67"/>
      <c r="Y79" s="67"/>
      <c r="Z79" s="67"/>
      <c r="AA79" s="67"/>
    </row>
    <row r="80" spans="1:27" ht="15.75" customHeight="1" x14ac:dyDescent="0.25">
      <c r="A80" s="81"/>
      <c r="B80" s="81"/>
      <c r="C80" s="67"/>
      <c r="D80" s="67"/>
      <c r="E80" s="67"/>
      <c r="F80" s="67"/>
      <c r="G80" s="67"/>
      <c r="H80" s="67"/>
      <c r="I80" s="67"/>
      <c r="J80" s="67"/>
      <c r="K80" s="67"/>
      <c r="L80" s="67"/>
      <c r="M80" s="67"/>
      <c r="N80" s="67"/>
      <c r="O80" s="67"/>
      <c r="P80" s="67"/>
      <c r="Q80" s="67"/>
      <c r="R80" s="67"/>
      <c r="S80" s="67"/>
      <c r="T80" s="67"/>
      <c r="U80" s="67"/>
      <c r="V80" s="67"/>
      <c r="W80" s="67"/>
      <c r="X80" s="67"/>
      <c r="Y80" s="67"/>
      <c r="Z80" s="67"/>
      <c r="AA80" s="67"/>
    </row>
    <row r="81" spans="1:27" ht="15.75" customHeight="1" x14ac:dyDescent="0.25">
      <c r="A81" s="81"/>
      <c r="B81" s="81"/>
      <c r="C81" s="67"/>
      <c r="D81" s="67"/>
      <c r="E81" s="67"/>
      <c r="F81" s="67"/>
      <c r="G81" s="67"/>
      <c r="H81" s="67"/>
      <c r="I81" s="67"/>
      <c r="J81" s="67"/>
      <c r="K81" s="67"/>
      <c r="L81" s="67"/>
      <c r="M81" s="67"/>
      <c r="N81" s="67"/>
      <c r="O81" s="67"/>
      <c r="P81" s="67"/>
      <c r="Q81" s="67"/>
      <c r="R81" s="67"/>
      <c r="S81" s="67"/>
      <c r="T81" s="67"/>
      <c r="U81" s="67"/>
      <c r="V81" s="67"/>
      <c r="W81" s="67"/>
      <c r="X81" s="67"/>
      <c r="Y81" s="67"/>
      <c r="Z81" s="67"/>
      <c r="AA81" s="67"/>
    </row>
    <row r="82" spans="1:27" ht="15.75" customHeight="1" x14ac:dyDescent="0.25">
      <c r="A82" s="81"/>
      <c r="B82" s="81"/>
      <c r="C82" s="67"/>
      <c r="D82" s="67"/>
      <c r="E82" s="67"/>
      <c r="F82" s="67"/>
      <c r="G82" s="67"/>
      <c r="H82" s="67"/>
      <c r="I82" s="67"/>
      <c r="J82" s="67"/>
      <c r="K82" s="67"/>
      <c r="L82" s="67"/>
      <c r="M82" s="67"/>
      <c r="N82" s="67"/>
      <c r="O82" s="67"/>
      <c r="P82" s="67"/>
      <c r="Q82" s="67"/>
      <c r="R82" s="67"/>
      <c r="S82" s="67"/>
      <c r="T82" s="67"/>
      <c r="U82" s="67"/>
      <c r="V82" s="67"/>
      <c r="W82" s="67"/>
      <c r="X82" s="67"/>
      <c r="Y82" s="67"/>
      <c r="Z82" s="67"/>
      <c r="AA82" s="67"/>
    </row>
    <row r="83" spans="1:27" ht="15.75" customHeight="1" x14ac:dyDescent="0.25">
      <c r="A83" s="81"/>
      <c r="B83" s="81"/>
      <c r="C83" s="67"/>
      <c r="D83" s="67"/>
      <c r="E83" s="67"/>
      <c r="F83" s="67"/>
      <c r="G83" s="67"/>
      <c r="H83" s="67"/>
      <c r="I83" s="67"/>
      <c r="J83" s="67"/>
      <c r="K83" s="67"/>
      <c r="L83" s="67"/>
      <c r="M83" s="67"/>
      <c r="N83" s="67"/>
      <c r="O83" s="67"/>
      <c r="P83" s="67"/>
      <c r="Q83" s="67"/>
      <c r="R83" s="67"/>
      <c r="S83" s="67"/>
      <c r="T83" s="67"/>
      <c r="U83" s="67"/>
      <c r="V83" s="67"/>
      <c r="W83" s="67"/>
      <c r="X83" s="67"/>
      <c r="Y83" s="67"/>
      <c r="Z83" s="67"/>
      <c r="AA83" s="67"/>
    </row>
    <row r="84" spans="1:27" ht="15.75" customHeight="1" x14ac:dyDescent="0.25">
      <c r="A84" s="81"/>
      <c r="B84" s="81"/>
      <c r="C84" s="67"/>
      <c r="D84" s="67"/>
      <c r="E84" s="67"/>
      <c r="F84" s="67"/>
      <c r="G84" s="67"/>
      <c r="H84" s="67"/>
      <c r="I84" s="67"/>
      <c r="J84" s="67"/>
      <c r="K84" s="67"/>
      <c r="L84" s="67"/>
      <c r="M84" s="67"/>
      <c r="N84" s="67"/>
      <c r="O84" s="67"/>
      <c r="P84" s="67"/>
      <c r="Q84" s="67"/>
      <c r="R84" s="67"/>
      <c r="S84" s="67"/>
      <c r="T84" s="67"/>
      <c r="U84" s="67"/>
      <c r="V84" s="67"/>
      <c r="W84" s="67"/>
      <c r="X84" s="67"/>
      <c r="Y84" s="67"/>
      <c r="Z84" s="67"/>
      <c r="AA84" s="67"/>
    </row>
    <row r="85" spans="1:27" ht="15.75" customHeight="1" x14ac:dyDescent="0.25">
      <c r="A85" s="81"/>
      <c r="B85" s="81"/>
      <c r="C85" s="67"/>
      <c r="D85" s="67"/>
      <c r="E85" s="67"/>
      <c r="F85" s="67"/>
      <c r="G85" s="67"/>
      <c r="H85" s="67"/>
      <c r="I85" s="67"/>
      <c r="J85" s="67"/>
      <c r="K85" s="67"/>
      <c r="L85" s="67"/>
      <c r="M85" s="67"/>
      <c r="N85" s="67"/>
      <c r="O85" s="67"/>
      <c r="P85" s="67"/>
      <c r="Q85" s="67"/>
      <c r="R85" s="67"/>
      <c r="S85" s="67"/>
      <c r="T85" s="67"/>
      <c r="U85" s="67"/>
      <c r="V85" s="67"/>
      <c r="W85" s="67"/>
      <c r="X85" s="67"/>
      <c r="Y85" s="67"/>
      <c r="Z85" s="67"/>
      <c r="AA85" s="67"/>
    </row>
    <row r="86" spans="1:27" ht="15.75" customHeight="1" x14ac:dyDescent="0.25">
      <c r="A86" s="81"/>
      <c r="B86" s="81"/>
      <c r="C86" s="67"/>
      <c r="D86" s="67"/>
      <c r="E86" s="67"/>
      <c r="F86" s="67"/>
      <c r="G86" s="67"/>
      <c r="H86" s="67"/>
      <c r="I86" s="67"/>
      <c r="J86" s="67"/>
      <c r="K86" s="67"/>
      <c r="L86" s="67"/>
      <c r="M86" s="67"/>
      <c r="N86" s="67"/>
      <c r="O86" s="67"/>
      <c r="P86" s="67"/>
      <c r="Q86" s="67"/>
      <c r="R86" s="67"/>
      <c r="S86" s="67"/>
      <c r="T86" s="67"/>
      <c r="U86" s="67"/>
      <c r="V86" s="67"/>
      <c r="W86" s="67"/>
      <c r="X86" s="67"/>
      <c r="Y86" s="67"/>
      <c r="Z86" s="67"/>
      <c r="AA86" s="67"/>
    </row>
    <row r="87" spans="1:27" ht="15.75" customHeight="1" x14ac:dyDescent="0.25">
      <c r="A87" s="81"/>
      <c r="B87" s="81"/>
      <c r="C87" s="67"/>
      <c r="D87" s="67"/>
      <c r="E87" s="67"/>
      <c r="F87" s="67"/>
      <c r="G87" s="67"/>
      <c r="H87" s="67"/>
      <c r="I87" s="67"/>
      <c r="J87" s="67"/>
      <c r="K87" s="67"/>
      <c r="L87" s="67"/>
      <c r="M87" s="67"/>
      <c r="N87" s="67"/>
      <c r="O87" s="67"/>
      <c r="P87" s="67"/>
      <c r="Q87" s="67"/>
      <c r="R87" s="67"/>
      <c r="S87" s="67"/>
      <c r="T87" s="67"/>
      <c r="U87" s="67"/>
      <c r="V87" s="67"/>
      <c r="W87" s="67"/>
      <c r="X87" s="67"/>
      <c r="Y87" s="67"/>
      <c r="Z87" s="67"/>
      <c r="AA87" s="67"/>
    </row>
    <row r="88" spans="1:27" ht="15.75" customHeight="1" x14ac:dyDescent="0.25">
      <c r="A88" s="81"/>
      <c r="B88" s="81"/>
      <c r="C88" s="67"/>
      <c r="D88" s="67"/>
      <c r="E88" s="67"/>
      <c r="F88" s="67"/>
      <c r="G88" s="67"/>
      <c r="H88" s="67"/>
      <c r="I88" s="67"/>
      <c r="J88" s="67"/>
      <c r="K88" s="67"/>
      <c r="L88" s="67"/>
      <c r="M88" s="67"/>
      <c r="N88" s="67"/>
      <c r="O88" s="67"/>
      <c r="P88" s="67"/>
      <c r="Q88" s="67"/>
      <c r="R88" s="67"/>
      <c r="S88" s="67"/>
      <c r="T88" s="67"/>
      <c r="U88" s="67"/>
      <c r="V88" s="67"/>
      <c r="W88" s="67"/>
      <c r="X88" s="67"/>
      <c r="Y88" s="67"/>
      <c r="Z88" s="67"/>
      <c r="AA88" s="67"/>
    </row>
    <row r="89" spans="1:27" ht="15.75" customHeight="1" x14ac:dyDescent="0.25">
      <c r="A89" s="81"/>
      <c r="B89" s="81"/>
      <c r="C89" s="67"/>
      <c r="D89" s="67"/>
      <c r="E89" s="67"/>
      <c r="F89" s="67"/>
      <c r="G89" s="67"/>
      <c r="H89" s="67"/>
      <c r="I89" s="67"/>
      <c r="J89" s="67"/>
      <c r="K89" s="67"/>
      <c r="L89" s="67"/>
      <c r="M89" s="67"/>
      <c r="N89" s="67"/>
      <c r="O89" s="67"/>
      <c r="P89" s="67"/>
      <c r="Q89" s="67"/>
      <c r="R89" s="67"/>
      <c r="S89" s="67"/>
      <c r="T89" s="67"/>
      <c r="U89" s="67"/>
      <c r="V89" s="67"/>
      <c r="W89" s="67"/>
      <c r="X89" s="67"/>
      <c r="Y89" s="67"/>
      <c r="Z89" s="67"/>
      <c r="AA89" s="67"/>
    </row>
    <row r="90" spans="1:27" ht="15.75" customHeight="1" x14ac:dyDescent="0.25">
      <c r="A90" s="81"/>
      <c r="B90" s="81"/>
      <c r="C90" s="67"/>
      <c r="D90" s="67"/>
      <c r="E90" s="67"/>
      <c r="F90" s="67"/>
      <c r="G90" s="67"/>
      <c r="H90" s="67"/>
      <c r="I90" s="67"/>
      <c r="J90" s="67"/>
      <c r="K90" s="67"/>
      <c r="L90" s="67"/>
      <c r="M90" s="67"/>
      <c r="N90" s="67"/>
      <c r="O90" s="67"/>
      <c r="P90" s="67"/>
      <c r="Q90" s="67"/>
      <c r="R90" s="67"/>
      <c r="S90" s="67"/>
      <c r="T90" s="67"/>
      <c r="U90" s="67"/>
      <c r="V90" s="67"/>
      <c r="W90" s="67"/>
      <c r="X90" s="67"/>
      <c r="Y90" s="67"/>
      <c r="Z90" s="67"/>
      <c r="AA90" s="67"/>
    </row>
    <row r="91" spans="1:27" ht="15.75" customHeight="1" x14ac:dyDescent="0.25">
      <c r="A91" s="81"/>
      <c r="B91" s="81"/>
      <c r="C91" s="67"/>
      <c r="D91" s="67"/>
      <c r="E91" s="67"/>
      <c r="F91" s="67"/>
      <c r="G91" s="67"/>
      <c r="H91" s="67"/>
      <c r="I91" s="67"/>
      <c r="J91" s="67"/>
      <c r="K91" s="67"/>
      <c r="L91" s="67"/>
      <c r="M91" s="67"/>
      <c r="N91" s="67"/>
      <c r="O91" s="67"/>
      <c r="P91" s="67"/>
      <c r="Q91" s="67"/>
      <c r="R91" s="67"/>
      <c r="S91" s="67"/>
      <c r="T91" s="67"/>
      <c r="U91" s="67"/>
      <c r="V91" s="67"/>
      <c r="W91" s="67"/>
      <c r="X91" s="67"/>
      <c r="Y91" s="67"/>
      <c r="Z91" s="67"/>
      <c r="AA91" s="67"/>
    </row>
    <row r="92" spans="1:27" ht="15.75" customHeight="1" x14ac:dyDescent="0.25">
      <c r="A92" s="81"/>
      <c r="B92" s="81"/>
      <c r="C92" s="67"/>
      <c r="D92" s="67"/>
      <c r="E92" s="67"/>
      <c r="F92" s="67"/>
      <c r="G92" s="67"/>
      <c r="H92" s="67"/>
      <c r="I92" s="67"/>
      <c r="J92" s="67"/>
      <c r="K92" s="67"/>
      <c r="L92" s="67"/>
      <c r="M92" s="67"/>
      <c r="N92" s="67"/>
      <c r="O92" s="67"/>
      <c r="P92" s="67"/>
      <c r="Q92" s="67"/>
      <c r="R92" s="67"/>
      <c r="S92" s="67"/>
      <c r="T92" s="67"/>
      <c r="U92" s="67"/>
      <c r="V92" s="67"/>
      <c r="W92" s="67"/>
      <c r="X92" s="67"/>
      <c r="Y92" s="67"/>
      <c r="Z92" s="67"/>
      <c r="AA92" s="67"/>
    </row>
    <row r="93" spans="1:27" ht="15.75" customHeight="1" x14ac:dyDescent="0.25">
      <c r="A93" s="81"/>
      <c r="B93" s="81"/>
      <c r="C93" s="67"/>
      <c r="D93" s="67"/>
      <c r="E93" s="67"/>
      <c r="F93" s="67"/>
      <c r="G93" s="67"/>
      <c r="H93" s="67"/>
      <c r="I93" s="67"/>
      <c r="J93" s="67"/>
      <c r="K93" s="67"/>
      <c r="L93" s="67"/>
      <c r="M93" s="67"/>
      <c r="N93" s="67"/>
      <c r="O93" s="67"/>
      <c r="P93" s="67"/>
      <c r="Q93" s="67"/>
      <c r="R93" s="67"/>
      <c r="S93" s="67"/>
      <c r="T93" s="67"/>
      <c r="U93" s="67"/>
      <c r="V93" s="67"/>
      <c r="W93" s="67"/>
      <c r="X93" s="67"/>
      <c r="Y93" s="67"/>
      <c r="Z93" s="67"/>
      <c r="AA93" s="67"/>
    </row>
    <row r="94" spans="1:27" ht="15.75" customHeight="1" x14ac:dyDescent="0.25">
      <c r="A94" s="81"/>
      <c r="B94" s="81"/>
      <c r="C94" s="67"/>
      <c r="D94" s="67"/>
      <c r="E94" s="67"/>
      <c r="F94" s="67"/>
      <c r="G94" s="67"/>
      <c r="H94" s="67"/>
      <c r="I94" s="67"/>
      <c r="J94" s="67"/>
      <c r="K94" s="67"/>
      <c r="L94" s="67"/>
      <c r="M94" s="67"/>
      <c r="N94" s="67"/>
      <c r="O94" s="67"/>
      <c r="P94" s="67"/>
      <c r="Q94" s="67"/>
      <c r="R94" s="67"/>
      <c r="S94" s="67"/>
      <c r="T94" s="67"/>
      <c r="U94" s="67"/>
      <c r="V94" s="67"/>
      <c r="W94" s="67"/>
      <c r="X94" s="67"/>
      <c r="Y94" s="67"/>
      <c r="Z94" s="67"/>
      <c r="AA94" s="67"/>
    </row>
    <row r="95" spans="1:27" ht="15.75" customHeight="1" x14ac:dyDescent="0.25">
      <c r="A95" s="81"/>
      <c r="B95" s="81"/>
      <c r="C95" s="67"/>
      <c r="D95" s="67"/>
      <c r="E95" s="67"/>
      <c r="F95" s="67"/>
      <c r="G95" s="67"/>
      <c r="H95" s="67"/>
      <c r="I95" s="67"/>
      <c r="J95" s="67"/>
      <c r="K95" s="67"/>
      <c r="L95" s="67"/>
      <c r="M95" s="67"/>
      <c r="N95" s="67"/>
      <c r="O95" s="67"/>
      <c r="P95" s="67"/>
      <c r="Q95" s="67"/>
      <c r="R95" s="67"/>
      <c r="S95" s="67"/>
      <c r="T95" s="67"/>
      <c r="U95" s="67"/>
      <c r="V95" s="67"/>
      <c r="W95" s="67"/>
      <c r="X95" s="67"/>
      <c r="Y95" s="67"/>
      <c r="Z95" s="67"/>
      <c r="AA95" s="67"/>
    </row>
    <row r="96" spans="1:27" ht="15.75" customHeight="1" x14ac:dyDescent="0.25">
      <c r="A96" s="81"/>
      <c r="B96" s="81"/>
      <c r="C96" s="67"/>
      <c r="D96" s="67"/>
      <c r="E96" s="67"/>
      <c r="F96" s="67"/>
      <c r="G96" s="67"/>
      <c r="H96" s="67"/>
      <c r="I96" s="67"/>
      <c r="J96" s="67"/>
      <c r="K96" s="67"/>
      <c r="L96" s="67"/>
      <c r="M96" s="67"/>
      <c r="N96" s="67"/>
      <c r="O96" s="67"/>
      <c r="P96" s="67"/>
      <c r="Q96" s="67"/>
      <c r="R96" s="67"/>
      <c r="S96" s="67"/>
      <c r="T96" s="67"/>
      <c r="U96" s="67"/>
      <c r="V96" s="67"/>
      <c r="W96" s="67"/>
      <c r="X96" s="67"/>
      <c r="Y96" s="67"/>
      <c r="Z96" s="67"/>
      <c r="AA96" s="67"/>
    </row>
    <row r="97" spans="1:27" ht="15.75" customHeight="1" x14ac:dyDescent="0.25">
      <c r="A97" s="81"/>
      <c r="B97" s="81"/>
      <c r="C97" s="67"/>
      <c r="D97" s="67"/>
      <c r="E97" s="67"/>
      <c r="F97" s="67"/>
      <c r="G97" s="67"/>
      <c r="H97" s="67"/>
      <c r="I97" s="67"/>
      <c r="J97" s="67"/>
      <c r="K97" s="67"/>
      <c r="L97" s="67"/>
      <c r="M97" s="67"/>
      <c r="N97" s="67"/>
      <c r="O97" s="67"/>
      <c r="P97" s="67"/>
      <c r="Q97" s="67"/>
      <c r="R97" s="67"/>
      <c r="S97" s="67"/>
      <c r="T97" s="67"/>
      <c r="U97" s="67"/>
      <c r="V97" s="67"/>
      <c r="W97" s="67"/>
      <c r="X97" s="67"/>
      <c r="Y97" s="67"/>
      <c r="Z97" s="67"/>
      <c r="AA97" s="67"/>
    </row>
    <row r="98" spans="1:27" ht="15.75" customHeight="1" x14ac:dyDescent="0.25">
      <c r="A98" s="81"/>
      <c r="B98" s="81"/>
      <c r="C98" s="67"/>
      <c r="D98" s="67"/>
      <c r="E98" s="67"/>
      <c r="F98" s="67"/>
      <c r="G98" s="67"/>
      <c r="H98" s="67"/>
      <c r="I98" s="67"/>
      <c r="J98" s="67"/>
      <c r="K98" s="67"/>
      <c r="L98" s="67"/>
      <c r="M98" s="67"/>
      <c r="N98" s="67"/>
      <c r="O98" s="67"/>
      <c r="P98" s="67"/>
      <c r="Q98" s="67"/>
      <c r="R98" s="67"/>
      <c r="S98" s="67"/>
      <c r="T98" s="67"/>
      <c r="U98" s="67"/>
      <c r="V98" s="67"/>
      <c r="W98" s="67"/>
      <c r="X98" s="67"/>
      <c r="Y98" s="67"/>
      <c r="Z98" s="67"/>
      <c r="AA98" s="67"/>
    </row>
    <row r="99" spans="1:27" ht="15.75" customHeight="1" x14ac:dyDescent="0.25">
      <c r="A99" s="81"/>
      <c r="B99" s="81"/>
      <c r="C99" s="67"/>
      <c r="D99" s="67"/>
      <c r="E99" s="67"/>
      <c r="F99" s="67"/>
      <c r="G99" s="67"/>
      <c r="H99" s="67"/>
      <c r="I99" s="67"/>
      <c r="J99" s="67"/>
      <c r="K99" s="67"/>
      <c r="L99" s="67"/>
      <c r="M99" s="67"/>
      <c r="N99" s="67"/>
      <c r="O99" s="67"/>
      <c r="P99" s="67"/>
      <c r="Q99" s="67"/>
      <c r="R99" s="67"/>
      <c r="S99" s="67"/>
      <c r="T99" s="67"/>
      <c r="U99" s="67"/>
      <c r="V99" s="67"/>
      <c r="W99" s="67"/>
      <c r="X99" s="67"/>
      <c r="Y99" s="67"/>
      <c r="Z99" s="67"/>
      <c r="AA99" s="67"/>
    </row>
    <row r="100" spans="1:27" ht="15.75" customHeight="1" x14ac:dyDescent="0.25">
      <c r="A100" s="81"/>
      <c r="B100" s="81"/>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row>
    <row r="101" spans="1:27" ht="15.75" customHeight="1" x14ac:dyDescent="0.25">
      <c r="A101" s="81"/>
      <c r="B101" s="81"/>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row>
    <row r="102" spans="1:27" ht="15.75" customHeight="1" x14ac:dyDescent="0.25">
      <c r="A102" s="81"/>
      <c r="B102" s="81"/>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row>
    <row r="103" spans="1:27" ht="15.75" customHeight="1" x14ac:dyDescent="0.25">
      <c r="A103" s="81"/>
      <c r="B103" s="81"/>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row>
    <row r="104" spans="1:27" ht="15.75" customHeight="1" x14ac:dyDescent="0.25">
      <c r="A104" s="81"/>
      <c r="B104" s="81"/>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row>
    <row r="105" spans="1:27" ht="15.75" customHeight="1" x14ac:dyDescent="0.25">
      <c r="A105" s="81"/>
      <c r="B105" s="81"/>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row>
    <row r="106" spans="1:27" ht="15.75" customHeight="1" x14ac:dyDescent="0.25">
      <c r="A106" s="81"/>
      <c r="B106" s="81"/>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row>
    <row r="107" spans="1:27" ht="15.75" customHeight="1" x14ac:dyDescent="0.25">
      <c r="A107" s="81"/>
      <c r="B107" s="81"/>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row>
    <row r="108" spans="1:27" ht="15.75" customHeight="1" x14ac:dyDescent="0.25">
      <c r="A108" s="81"/>
      <c r="B108" s="81"/>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row>
    <row r="109" spans="1:27" ht="15.75" customHeight="1" x14ac:dyDescent="0.25">
      <c r="A109" s="81"/>
      <c r="B109" s="81"/>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row>
    <row r="110" spans="1:27" ht="15.75" customHeight="1" x14ac:dyDescent="0.25">
      <c r="A110" s="81"/>
      <c r="B110" s="81"/>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row>
    <row r="111" spans="1:27" ht="15.75" customHeight="1" x14ac:dyDescent="0.25">
      <c r="A111" s="81"/>
      <c r="B111" s="81"/>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row>
    <row r="112" spans="1:27" ht="15.75" customHeight="1" x14ac:dyDescent="0.25">
      <c r="A112" s="81"/>
      <c r="B112" s="81"/>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row>
    <row r="113" spans="1:27" ht="15.75" customHeight="1" x14ac:dyDescent="0.25">
      <c r="A113" s="81"/>
      <c r="B113" s="81"/>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row>
    <row r="114" spans="1:27" ht="15.75" customHeight="1" x14ac:dyDescent="0.25">
      <c r="A114" s="81"/>
      <c r="B114" s="81"/>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row>
    <row r="115" spans="1:27" ht="15.75" customHeight="1" x14ac:dyDescent="0.25">
      <c r="A115" s="81"/>
      <c r="B115" s="81"/>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row>
    <row r="116" spans="1:27" ht="15.75" customHeight="1" x14ac:dyDescent="0.25">
      <c r="A116" s="81"/>
      <c r="B116" s="81"/>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row>
    <row r="117" spans="1:27" ht="15.75" customHeight="1" x14ac:dyDescent="0.25">
      <c r="A117" s="81"/>
      <c r="B117" s="81"/>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row>
    <row r="118" spans="1:27" ht="15.75" customHeight="1" x14ac:dyDescent="0.25">
      <c r="A118" s="81"/>
      <c r="B118" s="81"/>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row>
    <row r="119" spans="1:27" ht="15.75" customHeight="1" x14ac:dyDescent="0.25">
      <c r="A119" s="81"/>
      <c r="B119" s="81"/>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row>
    <row r="120" spans="1:27" ht="15.75" customHeight="1" x14ac:dyDescent="0.25">
      <c r="A120" s="81"/>
      <c r="B120" s="81"/>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row>
    <row r="121" spans="1:27" ht="15.75" customHeight="1" x14ac:dyDescent="0.25">
      <c r="A121" s="81"/>
      <c r="B121" s="81"/>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row>
    <row r="122" spans="1:27" ht="15.75" customHeight="1" x14ac:dyDescent="0.25">
      <c r="A122" s="81"/>
      <c r="B122" s="81"/>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row>
    <row r="123" spans="1:27" ht="15.75" customHeight="1" x14ac:dyDescent="0.25">
      <c r="A123" s="81"/>
      <c r="B123" s="81"/>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row>
    <row r="124" spans="1:27" ht="15.75" customHeight="1" x14ac:dyDescent="0.25">
      <c r="A124" s="81"/>
      <c r="B124" s="81"/>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row>
    <row r="125" spans="1:27" ht="15.75" customHeight="1" x14ac:dyDescent="0.25">
      <c r="A125" s="81"/>
      <c r="B125" s="81"/>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row>
    <row r="126" spans="1:27" ht="15.75" customHeight="1" x14ac:dyDescent="0.25">
      <c r="A126" s="81"/>
      <c r="B126" s="81"/>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row>
    <row r="127" spans="1:27" ht="15.75" customHeight="1" x14ac:dyDescent="0.25">
      <c r="A127" s="81"/>
      <c r="B127" s="81"/>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row>
    <row r="128" spans="1:27" ht="15.75" customHeight="1" x14ac:dyDescent="0.25">
      <c r="A128" s="81"/>
      <c r="B128" s="81"/>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row>
    <row r="129" spans="1:27" ht="15.75" customHeight="1" x14ac:dyDescent="0.25">
      <c r="A129" s="81"/>
      <c r="B129" s="81"/>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row>
    <row r="130" spans="1:27" ht="15.75" customHeight="1" x14ac:dyDescent="0.25">
      <c r="A130" s="81"/>
      <c r="B130" s="81"/>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row>
    <row r="131" spans="1:27" ht="15.75" customHeight="1" x14ac:dyDescent="0.25">
      <c r="A131" s="81"/>
      <c r="B131" s="81"/>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row>
    <row r="132" spans="1:27" ht="15.75" customHeight="1" x14ac:dyDescent="0.25">
      <c r="A132" s="81"/>
      <c r="B132" s="81"/>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row>
    <row r="133" spans="1:27" ht="15.75" customHeight="1" x14ac:dyDescent="0.25">
      <c r="A133" s="81"/>
      <c r="B133" s="81"/>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row>
    <row r="134" spans="1:27" ht="15.75" customHeight="1" x14ac:dyDescent="0.25">
      <c r="A134" s="81"/>
      <c r="B134" s="81"/>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row>
    <row r="135" spans="1:27" ht="15.75" customHeight="1" x14ac:dyDescent="0.25">
      <c r="A135" s="81"/>
      <c r="B135" s="81"/>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row>
    <row r="136" spans="1:27" ht="15.75" customHeight="1" x14ac:dyDescent="0.25">
      <c r="A136" s="81"/>
      <c r="B136" s="81"/>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row>
    <row r="137" spans="1:27" ht="15.75" customHeight="1" x14ac:dyDescent="0.25">
      <c r="A137" s="81"/>
      <c r="B137" s="81"/>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row>
    <row r="138" spans="1:27" ht="15.75" customHeight="1" x14ac:dyDescent="0.25">
      <c r="A138" s="81"/>
      <c r="B138" s="81"/>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row>
    <row r="139" spans="1:27" ht="15.75" customHeight="1" x14ac:dyDescent="0.25">
      <c r="A139" s="81"/>
      <c r="B139" s="81"/>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row>
    <row r="140" spans="1:27" ht="15.75" customHeight="1" x14ac:dyDescent="0.25">
      <c r="A140" s="81"/>
      <c r="B140" s="81"/>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row>
    <row r="141" spans="1:27" ht="15.75" customHeight="1" x14ac:dyDescent="0.25">
      <c r="A141" s="81"/>
      <c r="B141" s="81"/>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row>
    <row r="142" spans="1:27" ht="15.75" customHeight="1" x14ac:dyDescent="0.25">
      <c r="A142" s="81"/>
      <c r="B142" s="81"/>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row>
    <row r="143" spans="1:27" ht="15.75" customHeight="1" x14ac:dyDescent="0.25">
      <c r="A143" s="81"/>
      <c r="B143" s="81"/>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row>
    <row r="144" spans="1:27" ht="15.75" customHeight="1" x14ac:dyDescent="0.25">
      <c r="A144" s="81"/>
      <c r="B144" s="81"/>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row>
    <row r="145" spans="1:27" ht="15.75" customHeight="1" x14ac:dyDescent="0.25">
      <c r="A145" s="81"/>
      <c r="B145" s="81"/>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row>
    <row r="146" spans="1:27" ht="15.75" customHeight="1" x14ac:dyDescent="0.25">
      <c r="A146" s="81"/>
      <c r="B146" s="81"/>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row>
    <row r="147" spans="1:27" ht="15.75" customHeight="1" x14ac:dyDescent="0.25">
      <c r="A147" s="81"/>
      <c r="B147" s="81"/>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row>
    <row r="148" spans="1:27" ht="15.75" customHeight="1" x14ac:dyDescent="0.25">
      <c r="A148" s="81"/>
      <c r="B148" s="81"/>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row>
    <row r="149" spans="1:27" ht="15.75" customHeight="1" x14ac:dyDescent="0.25">
      <c r="A149" s="81"/>
      <c r="B149" s="81"/>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row>
    <row r="150" spans="1:27" ht="15.75" customHeight="1" x14ac:dyDescent="0.25">
      <c r="A150" s="81"/>
      <c r="B150" s="81"/>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row>
    <row r="151" spans="1:27" ht="15.75" customHeight="1" x14ac:dyDescent="0.25">
      <c r="A151" s="81"/>
      <c r="B151" s="81"/>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row>
    <row r="152" spans="1:27" ht="15.75" customHeight="1" x14ac:dyDescent="0.25">
      <c r="A152" s="81"/>
      <c r="B152" s="81"/>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row>
    <row r="153" spans="1:27" ht="15.75" customHeight="1" x14ac:dyDescent="0.25">
      <c r="A153" s="81"/>
      <c r="B153" s="81"/>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row>
    <row r="154" spans="1:27" ht="15.75" customHeight="1" x14ac:dyDescent="0.25">
      <c r="A154" s="81"/>
      <c r="B154" s="81"/>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row>
    <row r="155" spans="1:27" ht="15.75" customHeight="1" x14ac:dyDescent="0.25">
      <c r="A155" s="81"/>
      <c r="B155" s="81"/>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row>
    <row r="156" spans="1:27" ht="15.75" customHeight="1" x14ac:dyDescent="0.25">
      <c r="A156" s="81"/>
      <c r="B156" s="81"/>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row>
    <row r="157" spans="1:27" ht="15.75" customHeight="1" x14ac:dyDescent="0.25">
      <c r="A157" s="81"/>
      <c r="B157" s="81"/>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row>
    <row r="158" spans="1:27" ht="15.75" customHeight="1" x14ac:dyDescent="0.25">
      <c r="A158" s="81"/>
      <c r="B158" s="81"/>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row>
    <row r="159" spans="1:27" ht="15.75" customHeight="1" x14ac:dyDescent="0.25">
      <c r="A159" s="81"/>
      <c r="B159" s="81"/>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row>
    <row r="160" spans="1:27" ht="15.75" customHeight="1" x14ac:dyDescent="0.25">
      <c r="A160" s="81"/>
      <c r="B160" s="81"/>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row>
    <row r="161" spans="1:27" ht="15.75" customHeight="1" x14ac:dyDescent="0.25">
      <c r="A161" s="81"/>
      <c r="B161" s="81"/>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row>
    <row r="162" spans="1:27" ht="15.75" customHeight="1" x14ac:dyDescent="0.25">
      <c r="A162" s="81"/>
      <c r="B162" s="81"/>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row>
    <row r="163" spans="1:27" ht="15.75" customHeight="1" x14ac:dyDescent="0.25">
      <c r="A163" s="81"/>
      <c r="B163" s="81"/>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spans="1:27" ht="15.75" customHeight="1" x14ac:dyDescent="0.25">
      <c r="A164" s="81"/>
      <c r="B164" s="81"/>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row>
    <row r="165" spans="1:27" ht="15.75" customHeight="1" x14ac:dyDescent="0.25">
      <c r="A165" s="81"/>
      <c r="B165" s="81"/>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row>
    <row r="166" spans="1:27" ht="15.75" customHeight="1" x14ac:dyDescent="0.25">
      <c r="A166" s="81"/>
      <c r="B166" s="81"/>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row>
    <row r="167" spans="1:27" ht="15.75" customHeight="1" x14ac:dyDescent="0.25">
      <c r="A167" s="81"/>
      <c r="B167" s="81"/>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row>
    <row r="168" spans="1:27" ht="15.75" customHeight="1" x14ac:dyDescent="0.25">
      <c r="A168" s="81"/>
      <c r="B168" s="81"/>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row>
    <row r="169" spans="1:27" ht="15.75" customHeight="1" x14ac:dyDescent="0.25">
      <c r="A169" s="81"/>
      <c r="B169" s="81"/>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row>
    <row r="170" spans="1:27" ht="15.75" customHeight="1" x14ac:dyDescent="0.25">
      <c r="A170" s="81"/>
      <c r="B170" s="81"/>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row>
    <row r="171" spans="1:27" ht="15.75" customHeight="1" x14ac:dyDescent="0.25">
      <c r="A171" s="81"/>
      <c r="B171" s="81"/>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row>
    <row r="172" spans="1:27" ht="15.75" customHeight="1" x14ac:dyDescent="0.25">
      <c r="A172" s="81"/>
      <c r="B172" s="81"/>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row>
    <row r="173" spans="1:27" ht="15.75" customHeight="1" x14ac:dyDescent="0.25">
      <c r="A173" s="81"/>
      <c r="B173" s="81"/>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row>
    <row r="174" spans="1:27" ht="15.75" customHeight="1" x14ac:dyDescent="0.25">
      <c r="A174" s="81"/>
      <c r="B174" s="81"/>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row>
    <row r="175" spans="1:27" ht="15.75" customHeight="1" x14ac:dyDescent="0.25">
      <c r="A175" s="81"/>
      <c r="B175" s="81"/>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row>
    <row r="176" spans="1:27" ht="15.75" customHeight="1" x14ac:dyDescent="0.25">
      <c r="A176" s="81"/>
      <c r="B176" s="81"/>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spans="1:27" ht="15.75" customHeight="1" x14ac:dyDescent="0.25">
      <c r="A177" s="81"/>
      <c r="B177" s="81"/>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spans="1:27" ht="15.75" customHeight="1" x14ac:dyDescent="0.25">
      <c r="A178" s="81"/>
      <c r="B178" s="81"/>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spans="1:27" ht="15.75" customHeight="1" x14ac:dyDescent="0.25">
      <c r="A179" s="81"/>
      <c r="B179" s="81"/>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spans="1:27" ht="15.75" customHeight="1" x14ac:dyDescent="0.25">
      <c r="A180" s="81"/>
      <c r="B180" s="81"/>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spans="1:27" ht="15.75" customHeight="1" x14ac:dyDescent="0.25">
      <c r="A181" s="81"/>
      <c r="B181" s="81"/>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spans="1:27" ht="15.75" customHeight="1" x14ac:dyDescent="0.25">
      <c r="A182" s="81"/>
      <c r="B182" s="81"/>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spans="1:27" ht="15.75" customHeight="1" x14ac:dyDescent="0.25">
      <c r="A183" s="81"/>
      <c r="B183" s="81"/>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spans="1:27" ht="15.75" customHeight="1" x14ac:dyDescent="0.25">
      <c r="A184" s="81"/>
      <c r="B184" s="81"/>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spans="1:27" ht="15.75" customHeight="1" x14ac:dyDescent="0.25">
      <c r="A185" s="81"/>
      <c r="B185" s="81"/>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spans="1:27" ht="15.75" customHeight="1" x14ac:dyDescent="0.25">
      <c r="A186" s="81"/>
      <c r="B186" s="81"/>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spans="1:27" ht="15.75" customHeight="1" x14ac:dyDescent="0.25">
      <c r="A187" s="81"/>
      <c r="B187" s="81"/>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spans="1:27" ht="15.75" customHeight="1" x14ac:dyDescent="0.25">
      <c r="A188" s="81"/>
      <c r="B188" s="81"/>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spans="1:27" ht="15.75" customHeight="1" x14ac:dyDescent="0.25">
      <c r="A189" s="81"/>
      <c r="B189" s="81"/>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spans="1:27" ht="15.75" customHeight="1" x14ac:dyDescent="0.25">
      <c r="A190" s="81"/>
      <c r="B190" s="81"/>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spans="1:27" ht="15.75" customHeight="1" x14ac:dyDescent="0.25">
      <c r="A191" s="81"/>
      <c r="B191" s="81"/>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spans="1:27" ht="15.75" customHeight="1" x14ac:dyDescent="0.25">
      <c r="A192" s="81"/>
      <c r="B192" s="81"/>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spans="1:27" ht="15.75" customHeight="1" x14ac:dyDescent="0.25">
      <c r="A193" s="81"/>
      <c r="B193" s="81"/>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spans="1:27" ht="15.75" customHeight="1" x14ac:dyDescent="0.25">
      <c r="A194" s="81"/>
      <c r="B194" s="81"/>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spans="1:27" ht="15.75" customHeight="1" x14ac:dyDescent="0.25">
      <c r="A195" s="81"/>
      <c r="B195" s="81"/>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spans="1:27" ht="15.75" customHeight="1" x14ac:dyDescent="0.25">
      <c r="A196" s="81"/>
      <c r="B196" s="81"/>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spans="1:27" ht="15.75" customHeight="1" x14ac:dyDescent="0.25">
      <c r="A197" s="81"/>
      <c r="B197" s="81"/>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spans="1:27" ht="15.75" customHeight="1" x14ac:dyDescent="0.25">
      <c r="A198" s="81"/>
      <c r="B198" s="81"/>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spans="1:27" ht="15.75" customHeight="1" x14ac:dyDescent="0.25">
      <c r="A199" s="81"/>
      <c r="B199" s="81"/>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spans="1:27" ht="15.75" customHeight="1" x14ac:dyDescent="0.25">
      <c r="A200" s="81"/>
      <c r="B200" s="81"/>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spans="1:27" ht="15.75" customHeight="1" x14ac:dyDescent="0.25">
      <c r="A201" s="81"/>
      <c r="B201" s="81"/>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spans="1:27" ht="15.75" customHeight="1" x14ac:dyDescent="0.25">
      <c r="A202" s="81"/>
      <c r="B202" s="81"/>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spans="1:27" ht="15.75" customHeight="1" x14ac:dyDescent="0.25">
      <c r="A203" s="81"/>
      <c r="B203" s="81"/>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spans="1:27" ht="15.75" customHeight="1" x14ac:dyDescent="0.25">
      <c r="A204" s="81"/>
      <c r="B204" s="81"/>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spans="1:27" ht="15.75" customHeight="1" x14ac:dyDescent="0.25">
      <c r="A205" s="81"/>
      <c r="B205" s="81"/>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spans="1:27" ht="15.75" customHeight="1" x14ac:dyDescent="0.25">
      <c r="A206" s="81"/>
      <c r="B206" s="81"/>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spans="1:27" ht="15.75" customHeight="1" x14ac:dyDescent="0.25">
      <c r="A207" s="81"/>
      <c r="B207" s="81"/>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spans="1:27" ht="15.75" customHeight="1" x14ac:dyDescent="0.25">
      <c r="A208" s="81"/>
      <c r="B208" s="81"/>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spans="1:27" ht="15.75" customHeight="1" x14ac:dyDescent="0.25">
      <c r="A209" s="81"/>
      <c r="B209" s="81"/>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spans="1:27" ht="15.75" customHeight="1" x14ac:dyDescent="0.25">
      <c r="A210" s="81"/>
      <c r="B210" s="81"/>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spans="1:27" ht="15.75" customHeight="1" x14ac:dyDescent="0.25">
      <c r="A211" s="81"/>
      <c r="B211" s="81"/>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spans="1:27" ht="15.75" customHeight="1" x14ac:dyDescent="0.25">
      <c r="A212" s="81"/>
      <c r="B212" s="81"/>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spans="1:27" ht="15.75" customHeight="1" x14ac:dyDescent="0.25">
      <c r="A213" s="81"/>
      <c r="B213" s="81"/>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spans="1:27" ht="15.75" customHeight="1" x14ac:dyDescent="0.25">
      <c r="A214" s="81"/>
      <c r="B214" s="81"/>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spans="1:27" ht="15.75" customHeight="1" x14ac:dyDescent="0.25">
      <c r="A215" s="81"/>
      <c r="B215" s="81"/>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spans="1:27" ht="15.75" customHeight="1" x14ac:dyDescent="0.25">
      <c r="A216" s="81"/>
      <c r="B216" s="81"/>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spans="1:27" ht="15.75" customHeight="1" x14ac:dyDescent="0.25">
      <c r="A217" s="81"/>
      <c r="B217" s="81"/>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spans="1:27" ht="15.75" customHeight="1" x14ac:dyDescent="0.25">
      <c r="A218" s="81"/>
      <c r="B218" s="81"/>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spans="1:27" ht="15.75" customHeight="1" x14ac:dyDescent="0.25">
      <c r="A219" s="81"/>
      <c r="B219" s="81"/>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spans="1:27" ht="15.75" customHeight="1" x14ac:dyDescent="0.25">
      <c r="A220" s="81"/>
      <c r="B220" s="81"/>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spans="1:27" ht="15.75" customHeight="1" x14ac:dyDescent="0.25">
      <c r="A221" s="81"/>
      <c r="B221" s="81"/>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spans="1:27" ht="15.75" customHeight="1" x14ac:dyDescent="0.25">
      <c r="A222" s="81"/>
      <c r="B222" s="81"/>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spans="1:27" ht="15.75" customHeight="1" x14ac:dyDescent="0.25">
      <c r="A223" s="81"/>
      <c r="B223" s="81"/>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spans="1:27" ht="15.75" customHeight="1" x14ac:dyDescent="0.25">
      <c r="A224" s="81"/>
      <c r="B224" s="81"/>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spans="1:27" ht="15.75" customHeight="1" x14ac:dyDescent="0.25">
      <c r="A225" s="81"/>
      <c r="B225" s="81"/>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spans="1:27" ht="15.75" customHeight="1" x14ac:dyDescent="0.25">
      <c r="A226" s="81"/>
      <c r="B226" s="81"/>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spans="1:27" ht="15.75" customHeight="1" x14ac:dyDescent="0.25">
      <c r="A227" s="81"/>
      <c r="B227" s="81"/>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spans="1:27" ht="15.75" customHeight="1" x14ac:dyDescent="0.25">
      <c r="A228" s="81"/>
      <c r="B228" s="81"/>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spans="1:27" ht="15.75" customHeight="1" x14ac:dyDescent="0.25">
      <c r="A229" s="81"/>
      <c r="B229" s="81"/>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spans="1:27" ht="15.75" customHeight="1" x14ac:dyDescent="0.25">
      <c r="A230" s="81"/>
      <c r="B230" s="81"/>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spans="1:27" ht="15.75" customHeight="1" x14ac:dyDescent="0.25">
      <c r="A231" s="81"/>
      <c r="B231" s="81"/>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spans="1:27" ht="15.75" customHeight="1" x14ac:dyDescent="0.25">
      <c r="A232" s="81"/>
      <c r="B232" s="81"/>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spans="1:27" ht="15.75" customHeight="1" x14ac:dyDescent="0.25">
      <c r="A233" s="81"/>
      <c r="B233" s="81"/>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spans="1:27" ht="15.75" customHeight="1" x14ac:dyDescent="0.25">
      <c r="A234" s="81"/>
      <c r="B234" s="81"/>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spans="1:27" ht="15.75" customHeight="1" x14ac:dyDescent="0.25">
      <c r="A235" s="81"/>
      <c r="B235" s="81"/>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spans="1:27" ht="15.75" customHeight="1" x14ac:dyDescent="0.25">
      <c r="A236" s="81"/>
      <c r="B236" s="81"/>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spans="1:27" ht="15.75" customHeight="1" x14ac:dyDescent="0.25">
      <c r="A237" s="81"/>
      <c r="B237" s="81"/>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spans="1:27" ht="15.75" customHeight="1" x14ac:dyDescent="0.25">
      <c r="A238" s="81"/>
      <c r="B238" s="81"/>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spans="1:27" ht="15.75" customHeight="1" x14ac:dyDescent="0.25">
      <c r="A239" s="81"/>
      <c r="B239" s="81"/>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spans="1:27" ht="15.75" customHeight="1" x14ac:dyDescent="0.25">
      <c r="A240" s="81"/>
      <c r="B240" s="81"/>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spans="1:27" ht="15.75" customHeight="1" x14ac:dyDescent="0.25">
      <c r="A241" s="81"/>
      <c r="B241" s="81"/>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spans="1:27" ht="15.75" customHeight="1" x14ac:dyDescent="0.25">
      <c r="A242" s="81"/>
      <c r="B242" s="81"/>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spans="1:27" ht="15.75" customHeight="1" x14ac:dyDescent="0.25">
      <c r="A243" s="81"/>
      <c r="B243" s="81"/>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spans="1:27" ht="15.75" customHeight="1" x14ac:dyDescent="0.25">
      <c r="A244" s="81"/>
      <c r="B244" s="81"/>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spans="1:27" ht="15.75" customHeight="1" x14ac:dyDescent="0.25">
      <c r="A245" s="81"/>
      <c r="B245" s="81"/>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spans="1:27" ht="15.75" customHeight="1" x14ac:dyDescent="0.25">
      <c r="A246" s="81"/>
      <c r="B246" s="81"/>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spans="1:27" ht="15.75" customHeight="1" x14ac:dyDescent="0.25">
      <c r="A247" s="81"/>
      <c r="B247" s="81"/>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spans="1:27" ht="15.75" customHeight="1" x14ac:dyDescent="0.25">
      <c r="A248" s="81"/>
      <c r="B248" s="81"/>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spans="1:27" ht="15.75" customHeight="1" x14ac:dyDescent="0.25">
      <c r="A249" s="81"/>
      <c r="B249" s="81"/>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spans="1:27" ht="15.75" customHeight="1" x14ac:dyDescent="0.25">
      <c r="A250" s="81"/>
      <c r="B250" s="81"/>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spans="1:27" ht="15.75" customHeight="1" x14ac:dyDescent="0.25">
      <c r="A251" s="81"/>
      <c r="B251" s="81"/>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spans="1:27" ht="15.75" customHeight="1" x14ac:dyDescent="0.25">
      <c r="A252" s="81"/>
      <c r="B252" s="81"/>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spans="1:27" ht="15.75" customHeight="1" x14ac:dyDescent="0.25">
      <c r="A253" s="81"/>
      <c r="B253" s="81"/>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spans="1:27" ht="15.75" customHeight="1" x14ac:dyDescent="0.25">
      <c r="A254" s="81"/>
      <c r="B254" s="81"/>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spans="1:27" ht="15.75" customHeight="1" x14ac:dyDescent="0.25">
      <c r="A255" s="81"/>
      <c r="B255" s="81"/>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spans="1:27" ht="15.75" customHeight="1" x14ac:dyDescent="0.25">
      <c r="A256" s="81"/>
      <c r="B256" s="81"/>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spans="1:27" ht="15.75" customHeight="1" x14ac:dyDescent="0.25">
      <c r="A257" s="81"/>
      <c r="B257" s="81"/>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spans="1:27" ht="15.75" customHeight="1" x14ac:dyDescent="0.25">
      <c r="A258" s="81"/>
      <c r="B258" s="81"/>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spans="1:27" ht="15.75" customHeight="1" x14ac:dyDescent="0.25">
      <c r="A259" s="81"/>
      <c r="B259" s="81"/>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spans="1:27" ht="15.75" customHeight="1" x14ac:dyDescent="0.25">
      <c r="A260" s="81"/>
      <c r="B260" s="81"/>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spans="1:27" ht="15.75" customHeight="1" x14ac:dyDescent="0.25">
      <c r="A261" s="81"/>
      <c r="B261" s="81"/>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spans="1:27" ht="15.75" customHeight="1" x14ac:dyDescent="0.25">
      <c r="A262" s="81"/>
      <c r="B262" s="81"/>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spans="1:27" ht="15.75" customHeight="1" x14ac:dyDescent="0.25">
      <c r="A263" s="81"/>
      <c r="B263" s="81"/>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spans="1:27" ht="15.75" customHeight="1" x14ac:dyDescent="0.25">
      <c r="A264" s="81"/>
      <c r="B264" s="81"/>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spans="1:27" ht="15.75" customHeight="1" x14ac:dyDescent="0.25">
      <c r="A265" s="81"/>
      <c r="B265" s="81"/>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spans="1:27" ht="15.75" customHeight="1" x14ac:dyDescent="0.25">
      <c r="A266" s="81"/>
      <c r="B266" s="81"/>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spans="1:27" ht="15.75" customHeight="1" x14ac:dyDescent="0.25">
      <c r="A267" s="81"/>
      <c r="B267" s="81"/>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spans="1:27" ht="15.75" customHeight="1" x14ac:dyDescent="0.25">
      <c r="A268" s="81"/>
      <c r="B268" s="81"/>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spans="1:27" ht="15.75" customHeight="1" x14ac:dyDescent="0.25">
      <c r="A269" s="81"/>
      <c r="B269" s="81"/>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spans="1:27" ht="15.75" customHeight="1" x14ac:dyDescent="0.25">
      <c r="A270" s="81"/>
      <c r="B270" s="81"/>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spans="1:27" ht="15.75" customHeight="1" x14ac:dyDescent="0.25">
      <c r="A271" s="81"/>
      <c r="B271" s="81"/>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spans="1:27" ht="15.75" customHeight="1" x14ac:dyDescent="0.25">
      <c r="A272" s="81"/>
      <c r="B272" s="81"/>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spans="1:27" ht="15.75" customHeight="1" x14ac:dyDescent="0.25">
      <c r="A273" s="81"/>
      <c r="B273" s="81"/>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spans="1:27" ht="15.75" customHeight="1" x14ac:dyDescent="0.25">
      <c r="A274" s="81"/>
      <c r="B274" s="81"/>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spans="1:27" ht="15.75" customHeight="1" x14ac:dyDescent="0.25">
      <c r="A275" s="81"/>
      <c r="B275" s="81"/>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spans="1:27" ht="15.75" customHeight="1" x14ac:dyDescent="0.25">
      <c r="A276" s="81"/>
      <c r="B276" s="81"/>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spans="1:27" ht="15.75" customHeight="1" x14ac:dyDescent="0.25">
      <c r="A277" s="81"/>
      <c r="B277" s="81"/>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spans="1:27" ht="15.75" customHeight="1" x14ac:dyDescent="0.25">
      <c r="A278" s="81"/>
      <c r="B278" s="81"/>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spans="1:27" ht="15.75" customHeight="1" x14ac:dyDescent="0.25">
      <c r="A279" s="81"/>
      <c r="B279" s="81"/>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spans="1:27" ht="15.75" customHeight="1" x14ac:dyDescent="0.25">
      <c r="A280" s="81"/>
      <c r="B280" s="81"/>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spans="1:27" ht="15.75" customHeight="1" x14ac:dyDescent="0.25">
      <c r="A281" s="81"/>
      <c r="B281" s="81"/>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spans="1:27" ht="15.75" customHeight="1" x14ac:dyDescent="0.25">
      <c r="A282" s="81"/>
      <c r="B282" s="81"/>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spans="1:27" ht="15.75" customHeight="1" x14ac:dyDescent="0.25">
      <c r="A283" s="81"/>
      <c r="B283" s="81"/>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spans="1:27" ht="15.75" customHeight="1" x14ac:dyDescent="0.25">
      <c r="A284" s="81"/>
      <c r="B284" s="81"/>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spans="1:27" ht="15.75" customHeight="1" x14ac:dyDescent="0.25">
      <c r="A285" s="81"/>
      <c r="B285" s="81"/>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spans="1:27" ht="15.75" customHeight="1" x14ac:dyDescent="0.25">
      <c r="A286" s="81"/>
      <c r="B286" s="81"/>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spans="1:27" ht="15.75" customHeight="1" x14ac:dyDescent="0.25">
      <c r="A287" s="81"/>
      <c r="B287" s="81"/>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spans="1:27" ht="15.75" customHeight="1" x14ac:dyDescent="0.25">
      <c r="A288" s="81"/>
      <c r="B288" s="81"/>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spans="1:27" ht="15.75" customHeight="1" x14ac:dyDescent="0.25">
      <c r="A289" s="81"/>
      <c r="B289" s="81"/>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spans="1:27" ht="15.75" customHeight="1" x14ac:dyDescent="0.25">
      <c r="A290" s="81"/>
      <c r="B290" s="81"/>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spans="1:27" ht="15.75" customHeight="1" x14ac:dyDescent="0.25">
      <c r="A291" s="81"/>
      <c r="B291" s="81"/>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spans="1:27" ht="15.75" customHeight="1" x14ac:dyDescent="0.25">
      <c r="A292" s="81"/>
      <c r="B292" s="81"/>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spans="1:27" ht="15.75" customHeight="1" x14ac:dyDescent="0.25">
      <c r="A293" s="81"/>
      <c r="B293" s="81"/>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spans="1:27" ht="15.75" customHeight="1" x14ac:dyDescent="0.25">
      <c r="A294" s="81"/>
      <c r="B294" s="81"/>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spans="1:27" ht="15.75" customHeight="1" x14ac:dyDescent="0.25">
      <c r="A295" s="81"/>
      <c r="B295" s="81"/>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spans="1:27" ht="15.75" customHeight="1" x14ac:dyDescent="0.25">
      <c r="A296" s="81"/>
      <c r="B296" s="81"/>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spans="1:27" ht="15.75" customHeight="1" x14ac:dyDescent="0.25">
      <c r="A297" s="81"/>
      <c r="B297" s="81"/>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spans="1:27" ht="15.75" customHeight="1" x14ac:dyDescent="0.25">
      <c r="A298" s="81"/>
      <c r="B298" s="81"/>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spans="1:27" ht="15.75" customHeight="1" x14ac:dyDescent="0.25">
      <c r="A299" s="81"/>
      <c r="B299" s="81"/>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spans="1:27" ht="15.75" customHeight="1" x14ac:dyDescent="0.25">
      <c r="A300" s="81"/>
      <c r="B300" s="81"/>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spans="1:27" ht="15.75" customHeight="1" x14ac:dyDescent="0.25">
      <c r="A301" s="81"/>
      <c r="B301" s="81"/>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spans="1:27" ht="15.75" customHeight="1" x14ac:dyDescent="0.25">
      <c r="A302" s="81"/>
      <c r="B302" s="81"/>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spans="1:27" ht="15.75" customHeight="1" x14ac:dyDescent="0.25">
      <c r="A303" s="81"/>
      <c r="B303" s="81"/>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spans="1:27" ht="15.75" customHeight="1" x14ac:dyDescent="0.25">
      <c r="A304" s="81"/>
      <c r="B304" s="81"/>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spans="1:27" ht="15.75" customHeight="1" x14ac:dyDescent="0.25">
      <c r="A305" s="81"/>
      <c r="B305" s="81"/>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spans="1:27" ht="15.75" customHeight="1" x14ac:dyDescent="0.25">
      <c r="A306" s="81"/>
      <c r="B306" s="81"/>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spans="1:27" ht="15.75" customHeight="1" x14ac:dyDescent="0.25">
      <c r="A307" s="81"/>
      <c r="B307" s="81"/>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spans="1:27" ht="15.75" customHeight="1" x14ac:dyDescent="0.25">
      <c r="A308" s="81"/>
      <c r="B308" s="81"/>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spans="1:27" ht="15.75" customHeight="1" x14ac:dyDescent="0.25">
      <c r="A309" s="81"/>
      <c r="B309" s="81"/>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spans="1:27" ht="15.75" customHeight="1" x14ac:dyDescent="0.25">
      <c r="A310" s="81"/>
      <c r="B310" s="81"/>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spans="1:27" ht="15.75" customHeight="1" x14ac:dyDescent="0.25">
      <c r="A311" s="81"/>
      <c r="B311" s="81"/>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spans="1:27" ht="15.75" customHeight="1" x14ac:dyDescent="0.25">
      <c r="A312" s="81"/>
      <c r="B312" s="81"/>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spans="1:27" ht="15.75" customHeight="1" x14ac:dyDescent="0.25">
      <c r="A313" s="81"/>
      <c r="B313" s="81"/>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spans="1:27" ht="15.75" customHeight="1" x14ac:dyDescent="0.25">
      <c r="A314" s="81"/>
      <c r="B314" s="81"/>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spans="1:27" ht="15.75" customHeight="1" x14ac:dyDescent="0.25">
      <c r="A315" s="81"/>
      <c r="B315" s="81"/>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spans="1:27" ht="15.75" customHeight="1" x14ac:dyDescent="0.25">
      <c r="A316" s="81"/>
      <c r="B316" s="81"/>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spans="1:27" ht="15.75" customHeight="1" x14ac:dyDescent="0.25">
      <c r="A317" s="81"/>
      <c r="B317" s="81"/>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spans="1:27" ht="15.75" customHeight="1" x14ac:dyDescent="0.25">
      <c r="A318" s="81"/>
      <c r="B318" s="81"/>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spans="1:27" ht="15.75" customHeight="1" x14ac:dyDescent="0.25">
      <c r="A319" s="81"/>
      <c r="B319" s="81"/>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spans="1:27" ht="15.75" customHeight="1" x14ac:dyDescent="0.25">
      <c r="A320" s="81"/>
      <c r="B320" s="81"/>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spans="1:27" ht="15.75" customHeight="1" x14ac:dyDescent="0.25">
      <c r="A321" s="81"/>
      <c r="B321" s="81"/>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spans="1:27" ht="15.75" customHeight="1" x14ac:dyDescent="0.25">
      <c r="A322" s="81"/>
      <c r="B322" s="81"/>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spans="1:27" ht="15.75" customHeight="1" x14ac:dyDescent="0.25">
      <c r="A323" s="81"/>
      <c r="B323" s="81"/>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spans="1:27" ht="15.75" customHeight="1" x14ac:dyDescent="0.25">
      <c r="A324" s="81"/>
      <c r="B324" s="81"/>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spans="1:27" ht="15.75" customHeight="1" x14ac:dyDescent="0.25">
      <c r="A325" s="81"/>
      <c r="B325" s="81"/>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spans="1:27" ht="15.75" customHeight="1" x14ac:dyDescent="0.25">
      <c r="A326" s="81"/>
      <c r="B326" s="81"/>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spans="1:27" ht="15.75" customHeight="1" x14ac:dyDescent="0.25">
      <c r="A327" s="81"/>
      <c r="B327" s="81"/>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spans="1:27" ht="15.75" customHeight="1" x14ac:dyDescent="0.25">
      <c r="A328" s="81"/>
      <c r="B328" s="81"/>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spans="1:27" ht="15.75" customHeight="1" x14ac:dyDescent="0.25">
      <c r="A329" s="81"/>
      <c r="B329" s="81"/>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spans="1:27" ht="15.75" customHeight="1" x14ac:dyDescent="0.25">
      <c r="A330" s="81"/>
      <c r="B330" s="81"/>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spans="1:27" ht="15.75" customHeight="1" x14ac:dyDescent="0.25">
      <c r="A331" s="81"/>
      <c r="B331" s="81"/>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spans="1:27" ht="15.75" customHeight="1" x14ac:dyDescent="0.25">
      <c r="A332" s="81"/>
      <c r="B332" s="81"/>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spans="1:27" ht="15.75" customHeight="1" x14ac:dyDescent="0.25">
      <c r="A333" s="81"/>
      <c r="B333" s="81"/>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spans="1:27" ht="15.75" customHeight="1" x14ac:dyDescent="0.25">
      <c r="A334" s="81"/>
      <c r="B334" s="81"/>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spans="1:27" ht="15.75" customHeight="1" x14ac:dyDescent="0.25">
      <c r="A335" s="81"/>
      <c r="B335" s="81"/>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spans="1:27" ht="15.75" customHeight="1" x14ac:dyDescent="0.25">
      <c r="A336" s="81"/>
      <c r="B336" s="81"/>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spans="1:27" ht="15.75" customHeight="1" x14ac:dyDescent="0.25">
      <c r="A337" s="81"/>
      <c r="B337" s="81"/>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spans="1:27" ht="15.75" customHeight="1" x14ac:dyDescent="0.25">
      <c r="A338" s="81"/>
      <c r="B338" s="81"/>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spans="1:27" ht="15.75" customHeight="1" x14ac:dyDescent="0.25">
      <c r="A339" s="81"/>
      <c r="B339" s="81"/>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spans="1:27" ht="15.75" customHeight="1" x14ac:dyDescent="0.25">
      <c r="A340" s="81"/>
      <c r="B340" s="81"/>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spans="1:27" ht="15.75" customHeight="1" x14ac:dyDescent="0.25">
      <c r="A341" s="81"/>
      <c r="B341" s="81"/>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spans="1:27" ht="15.75" customHeight="1" x14ac:dyDescent="0.25">
      <c r="A342" s="81"/>
      <c r="B342" s="81"/>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spans="1:27" ht="15.75" customHeight="1" x14ac:dyDescent="0.25">
      <c r="A343" s="81"/>
      <c r="B343" s="81"/>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spans="1:27" ht="15.75" customHeight="1" x14ac:dyDescent="0.25">
      <c r="A344" s="81"/>
      <c r="B344" s="81"/>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spans="1:27" ht="15.75" customHeight="1" x14ac:dyDescent="0.25">
      <c r="A345" s="81"/>
      <c r="B345" s="81"/>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spans="1:27" ht="15.75" customHeight="1" x14ac:dyDescent="0.25">
      <c r="A346" s="81"/>
      <c r="B346" s="81"/>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spans="1:27" ht="15.75" customHeight="1" x14ac:dyDescent="0.25">
      <c r="A347" s="81"/>
      <c r="B347" s="81"/>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spans="1:27" ht="15.75" customHeight="1" x14ac:dyDescent="0.25">
      <c r="A348" s="81"/>
      <c r="B348" s="81"/>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spans="1:27" ht="15.75" customHeight="1" x14ac:dyDescent="0.25">
      <c r="A349" s="81"/>
      <c r="B349" s="81"/>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spans="1:27" ht="15.75" customHeight="1" x14ac:dyDescent="0.25">
      <c r="A350" s="81"/>
      <c r="B350" s="81"/>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spans="1:27" ht="15.75" customHeight="1" x14ac:dyDescent="0.25">
      <c r="A351" s="81"/>
      <c r="B351" s="81"/>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spans="1:27" ht="15.75" customHeight="1" x14ac:dyDescent="0.25">
      <c r="A352" s="81"/>
      <c r="B352" s="81"/>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spans="1:27" ht="15.75" customHeight="1" x14ac:dyDescent="0.25">
      <c r="A353" s="81"/>
      <c r="B353" s="81"/>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spans="1:27" ht="15.75" customHeight="1" x14ac:dyDescent="0.25">
      <c r="A354" s="81"/>
      <c r="B354" s="81"/>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spans="1:27" ht="15.75" customHeight="1" x14ac:dyDescent="0.25">
      <c r="A355" s="81"/>
      <c r="B355" s="81"/>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spans="1:27" ht="15.75" customHeight="1" x14ac:dyDescent="0.25">
      <c r="A356" s="81"/>
      <c r="B356" s="81"/>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spans="1:27" ht="15.75" customHeight="1" x14ac:dyDescent="0.25">
      <c r="A357" s="81"/>
      <c r="B357" s="81"/>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spans="1:27" ht="15.75" customHeight="1" x14ac:dyDescent="0.25">
      <c r="A358" s="81"/>
      <c r="B358" s="81"/>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spans="1:27" ht="15.75" customHeight="1" x14ac:dyDescent="0.25">
      <c r="A359" s="81"/>
      <c r="B359" s="81"/>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spans="1:27" ht="15.75" customHeight="1" x14ac:dyDescent="0.25">
      <c r="A360" s="81"/>
      <c r="B360" s="81"/>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spans="1:27" ht="15.75" customHeight="1" x14ac:dyDescent="0.25">
      <c r="A361" s="81"/>
      <c r="B361" s="81"/>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spans="1:27" ht="15.75" customHeight="1" x14ac:dyDescent="0.25">
      <c r="A362" s="81"/>
      <c r="B362" s="81"/>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spans="1:27" ht="15.75" customHeight="1" x14ac:dyDescent="0.25">
      <c r="A363" s="81"/>
      <c r="B363" s="81"/>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spans="1:27" ht="15.75" customHeight="1" x14ac:dyDescent="0.25">
      <c r="A364" s="81"/>
      <c r="B364" s="81"/>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spans="1:27" ht="15.75" customHeight="1" x14ac:dyDescent="0.25">
      <c r="A365" s="81"/>
      <c r="B365" s="81"/>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spans="1:27" ht="15.75" customHeight="1" x14ac:dyDescent="0.25">
      <c r="A366" s="81"/>
      <c r="B366" s="81"/>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spans="1:27" ht="15.75" customHeight="1" x14ac:dyDescent="0.25">
      <c r="A367" s="81"/>
      <c r="B367" s="81"/>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spans="1:27" ht="15.75" customHeight="1" x14ac:dyDescent="0.25">
      <c r="A368" s="81"/>
      <c r="B368" s="81"/>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spans="1:27" ht="15.75" customHeight="1" x14ac:dyDescent="0.25">
      <c r="A369" s="81"/>
      <c r="B369" s="81"/>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spans="1:27" ht="15.75" customHeight="1" x14ac:dyDescent="0.25">
      <c r="A370" s="81"/>
      <c r="B370" s="81"/>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spans="1:27" ht="15.75" customHeight="1" x14ac:dyDescent="0.25">
      <c r="A371" s="81"/>
      <c r="B371" s="81"/>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spans="1:27" ht="15.75" customHeight="1" x14ac:dyDescent="0.25">
      <c r="A372" s="81"/>
      <c r="B372" s="81"/>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spans="1:27" ht="15.75" customHeight="1" x14ac:dyDescent="0.25">
      <c r="A373" s="81"/>
      <c r="B373" s="81"/>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spans="1:27" ht="15.75" customHeight="1" x14ac:dyDescent="0.25">
      <c r="A374" s="81"/>
      <c r="B374" s="81"/>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spans="1:27" ht="15.75" customHeight="1" x14ac:dyDescent="0.25">
      <c r="A375" s="81"/>
      <c r="B375" s="81"/>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spans="1:27" ht="15.75" customHeight="1" x14ac:dyDescent="0.25">
      <c r="A376" s="81"/>
      <c r="B376" s="81"/>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spans="1:27" ht="15.75" customHeight="1" x14ac:dyDescent="0.25">
      <c r="A377" s="81"/>
      <c r="B377" s="81"/>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spans="1:27" ht="15.75" customHeight="1" x14ac:dyDescent="0.25">
      <c r="A378" s="81"/>
      <c r="B378" s="81"/>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spans="1:27" ht="15.75" customHeight="1" x14ac:dyDescent="0.25">
      <c r="A379" s="81"/>
      <c r="B379" s="81"/>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spans="1:27" ht="15.75" customHeight="1" x14ac:dyDescent="0.25">
      <c r="A380" s="81"/>
      <c r="B380" s="81"/>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spans="1:27" ht="15.75" customHeight="1" x14ac:dyDescent="0.25">
      <c r="A381" s="81"/>
      <c r="B381" s="81"/>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spans="1:27" ht="15.75" customHeight="1" x14ac:dyDescent="0.25">
      <c r="A382" s="81"/>
      <c r="B382" s="81"/>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spans="1:27" ht="15.75" customHeight="1" x14ac:dyDescent="0.25">
      <c r="A383" s="81"/>
      <c r="B383" s="81"/>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spans="1:27" ht="15.75" customHeight="1" x14ac:dyDescent="0.25">
      <c r="A384" s="81"/>
      <c r="B384" s="81"/>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spans="1:27" ht="15.75" customHeight="1" x14ac:dyDescent="0.25">
      <c r="A385" s="81"/>
      <c r="B385" s="81"/>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spans="1:27" ht="15.75" customHeight="1" x14ac:dyDescent="0.25">
      <c r="A386" s="81"/>
      <c r="B386" s="81"/>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spans="1:27" ht="15.75" customHeight="1" x14ac:dyDescent="0.25">
      <c r="A387" s="81"/>
      <c r="B387" s="81"/>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spans="1:27" ht="15.75" customHeight="1" x14ac:dyDescent="0.25">
      <c r="A388" s="81"/>
      <c r="B388" s="81"/>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spans="1:27" ht="15.75" customHeight="1" x14ac:dyDescent="0.25">
      <c r="A389" s="81"/>
      <c r="B389" s="81"/>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spans="1:27" ht="15.75" customHeight="1" x14ac:dyDescent="0.25">
      <c r="A390" s="81"/>
      <c r="B390" s="81"/>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spans="1:27" ht="15.75" customHeight="1" x14ac:dyDescent="0.25">
      <c r="A391" s="81"/>
      <c r="B391" s="81"/>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spans="1:27" ht="15.75" customHeight="1" x14ac:dyDescent="0.25">
      <c r="A392" s="81"/>
      <c r="B392" s="81"/>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spans="1:27" ht="15.75" customHeight="1" x14ac:dyDescent="0.25">
      <c r="A393" s="81"/>
      <c r="B393" s="81"/>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spans="1:27" ht="15.75" customHeight="1" x14ac:dyDescent="0.25">
      <c r="A394" s="81"/>
      <c r="B394" s="81"/>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spans="1:27" ht="15.75" customHeight="1" x14ac:dyDescent="0.25">
      <c r="A395" s="81"/>
      <c r="B395" s="81"/>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spans="1:27" ht="15.75" customHeight="1" x14ac:dyDescent="0.25">
      <c r="A396" s="81"/>
      <c r="B396" s="81"/>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spans="1:27" ht="15.75" customHeight="1" x14ac:dyDescent="0.25">
      <c r="A397" s="81"/>
      <c r="B397" s="81"/>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spans="1:27" ht="15.75" customHeight="1" x14ac:dyDescent="0.25">
      <c r="A398" s="81"/>
      <c r="B398" s="81"/>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spans="1:27" ht="15.75" customHeight="1" x14ac:dyDescent="0.25">
      <c r="A399" s="81"/>
      <c r="B399" s="81"/>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spans="1:27" ht="15.75" customHeight="1" x14ac:dyDescent="0.25">
      <c r="A400" s="81"/>
      <c r="B400" s="81"/>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spans="1:27" ht="15.75" customHeight="1" x14ac:dyDescent="0.25">
      <c r="A401" s="81"/>
      <c r="B401" s="81"/>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spans="1:27" ht="15.75" customHeight="1" x14ac:dyDescent="0.25">
      <c r="A402" s="81"/>
      <c r="B402" s="81"/>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spans="1:27" ht="15.75" customHeight="1" x14ac:dyDescent="0.25">
      <c r="A403" s="81"/>
      <c r="B403" s="81"/>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spans="1:27" ht="15.75" customHeight="1" x14ac:dyDescent="0.25">
      <c r="A404" s="81"/>
      <c r="B404" s="81"/>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spans="1:27" ht="15.75" customHeight="1" x14ac:dyDescent="0.25">
      <c r="A405" s="81"/>
      <c r="B405" s="81"/>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spans="1:27" ht="15.75" customHeight="1" x14ac:dyDescent="0.25">
      <c r="A406" s="81"/>
      <c r="B406" s="81"/>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spans="1:27" ht="15.75" customHeight="1" x14ac:dyDescent="0.25">
      <c r="A407" s="81"/>
      <c r="B407" s="81"/>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spans="1:27" ht="15.75" customHeight="1" x14ac:dyDescent="0.25">
      <c r="A408" s="81"/>
      <c r="B408" s="81"/>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spans="1:27" ht="15.75" customHeight="1" x14ac:dyDescent="0.25">
      <c r="A409" s="81"/>
      <c r="B409" s="81"/>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spans="1:27" ht="15.75" customHeight="1" x14ac:dyDescent="0.25">
      <c r="A410" s="81"/>
      <c r="B410" s="81"/>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spans="1:27" ht="15.75" customHeight="1" x14ac:dyDescent="0.25">
      <c r="A411" s="81"/>
      <c r="B411" s="81"/>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spans="1:27" ht="15.75" customHeight="1" x14ac:dyDescent="0.25">
      <c r="A412" s="81"/>
      <c r="B412" s="81"/>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spans="1:27" ht="15.75" customHeight="1" x14ac:dyDescent="0.25">
      <c r="A413" s="81"/>
      <c r="B413" s="81"/>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spans="1:27" ht="15.75" customHeight="1" x14ac:dyDescent="0.25">
      <c r="A414" s="81"/>
      <c r="B414" s="81"/>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spans="1:27" ht="15.75" customHeight="1" x14ac:dyDescent="0.25">
      <c r="A415" s="81"/>
      <c r="B415" s="81"/>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spans="1:27" ht="15.75" customHeight="1" x14ac:dyDescent="0.25">
      <c r="A416" s="81"/>
      <c r="B416" s="81"/>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spans="1:27" ht="15.75" customHeight="1" x14ac:dyDescent="0.25">
      <c r="A417" s="81"/>
      <c r="B417" s="81"/>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spans="1:27" ht="15.75" customHeight="1" x14ac:dyDescent="0.25">
      <c r="A418" s="81"/>
      <c r="B418" s="81"/>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spans="1:27" ht="15.75" customHeight="1" x14ac:dyDescent="0.25">
      <c r="A419" s="81"/>
      <c r="B419" s="81"/>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spans="1:27" ht="15.75" customHeight="1" x14ac:dyDescent="0.25">
      <c r="A420" s="81"/>
      <c r="B420" s="81"/>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spans="1:27" ht="15.75" customHeight="1" x14ac:dyDescent="0.25">
      <c r="A421" s="81"/>
      <c r="B421" s="81"/>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spans="1:27" ht="15.75" customHeight="1" x14ac:dyDescent="0.25">
      <c r="A422" s="81"/>
      <c r="B422" s="81"/>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spans="1:27" ht="15.75" customHeight="1" x14ac:dyDescent="0.25">
      <c r="A423" s="81"/>
      <c r="B423" s="81"/>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spans="1:27" ht="15.75" customHeight="1" x14ac:dyDescent="0.25">
      <c r="A424" s="81"/>
      <c r="B424" s="81"/>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spans="1:27" ht="15.75" customHeight="1" x14ac:dyDescent="0.25">
      <c r="A425" s="81"/>
      <c r="B425" s="81"/>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spans="1:27" ht="15.75" customHeight="1" x14ac:dyDescent="0.25">
      <c r="A426" s="81"/>
      <c r="B426" s="81"/>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spans="1:27" ht="15.75" customHeight="1" x14ac:dyDescent="0.25">
      <c r="A427" s="81"/>
      <c r="B427" s="81"/>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spans="1:27" ht="15.75" customHeight="1" x14ac:dyDescent="0.25">
      <c r="A428" s="81"/>
      <c r="B428" s="81"/>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spans="1:27" ht="15.75" customHeight="1" x14ac:dyDescent="0.25">
      <c r="A429" s="81"/>
      <c r="B429" s="81"/>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spans="1:27" ht="15.75" customHeight="1" x14ac:dyDescent="0.25">
      <c r="A430" s="81"/>
      <c r="B430" s="81"/>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spans="1:27" ht="15.75" customHeight="1" x14ac:dyDescent="0.25">
      <c r="A431" s="81"/>
      <c r="B431" s="81"/>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spans="1:27" ht="15.75" customHeight="1" x14ac:dyDescent="0.25">
      <c r="A432" s="81"/>
      <c r="B432" s="81"/>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spans="1:27" ht="15.75" customHeight="1" x14ac:dyDescent="0.25">
      <c r="A433" s="81"/>
      <c r="B433" s="81"/>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spans="1:27" ht="15.75" customHeight="1" x14ac:dyDescent="0.25">
      <c r="A434" s="81"/>
      <c r="B434" s="81"/>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spans="1:27" ht="15.75" customHeight="1" x14ac:dyDescent="0.25">
      <c r="A435" s="81"/>
      <c r="B435" s="81"/>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spans="1:27" ht="15.75" customHeight="1" x14ac:dyDescent="0.25">
      <c r="A436" s="81"/>
      <c r="B436" s="81"/>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spans="1:27" ht="15.75" customHeight="1" x14ac:dyDescent="0.25">
      <c r="A437" s="81"/>
      <c r="B437" s="81"/>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spans="1:27" ht="15.75" customHeight="1" x14ac:dyDescent="0.25">
      <c r="A438" s="81"/>
      <c r="B438" s="81"/>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spans="1:27" ht="15.75" customHeight="1" x14ac:dyDescent="0.25">
      <c r="A439" s="81"/>
      <c r="B439" s="81"/>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spans="1:27" ht="15.75" customHeight="1" x14ac:dyDescent="0.25">
      <c r="A440" s="81"/>
      <c r="B440" s="81"/>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spans="1:27" ht="15.75" customHeight="1" x14ac:dyDescent="0.25">
      <c r="A441" s="81"/>
      <c r="B441" s="81"/>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spans="1:27" ht="15.75" customHeight="1" x14ac:dyDescent="0.25">
      <c r="A442" s="81"/>
      <c r="B442" s="81"/>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spans="1:27" ht="15.75" customHeight="1" x14ac:dyDescent="0.25">
      <c r="A443" s="81"/>
      <c r="B443" s="81"/>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spans="1:27" ht="15.75" customHeight="1" x14ac:dyDescent="0.25">
      <c r="A444" s="81"/>
      <c r="B444" s="81"/>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spans="1:27" ht="15.75" customHeight="1" x14ac:dyDescent="0.25">
      <c r="A445" s="81"/>
      <c r="B445" s="81"/>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spans="1:27" ht="15.75" customHeight="1" x14ac:dyDescent="0.25">
      <c r="A446" s="81"/>
      <c r="B446" s="81"/>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spans="1:27" ht="15.75" customHeight="1" x14ac:dyDescent="0.25">
      <c r="A447" s="81"/>
      <c r="B447" s="81"/>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spans="1:27" ht="15.75" customHeight="1" x14ac:dyDescent="0.25">
      <c r="A448" s="81"/>
      <c r="B448" s="81"/>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spans="1:27" ht="15.75" customHeight="1" x14ac:dyDescent="0.25">
      <c r="A449" s="81"/>
      <c r="B449" s="81"/>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spans="1:27" ht="15.75" customHeight="1" x14ac:dyDescent="0.25">
      <c r="A450" s="81"/>
      <c r="B450" s="81"/>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spans="1:27" ht="15.75" customHeight="1" x14ac:dyDescent="0.25">
      <c r="A451" s="81"/>
      <c r="B451" s="81"/>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spans="1:27" ht="15.75" customHeight="1" x14ac:dyDescent="0.25">
      <c r="A452" s="81"/>
      <c r="B452" s="81"/>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spans="1:27" ht="15.75" customHeight="1" x14ac:dyDescent="0.25">
      <c r="A453" s="81"/>
      <c r="B453" s="81"/>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spans="1:27" ht="15.75" customHeight="1" x14ac:dyDescent="0.25">
      <c r="A454" s="81"/>
      <c r="B454" s="81"/>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spans="1:27" ht="15.75" customHeight="1" x14ac:dyDescent="0.25">
      <c r="A455" s="81"/>
      <c r="B455" s="81"/>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spans="1:27" ht="15.75" customHeight="1" x14ac:dyDescent="0.25">
      <c r="A456" s="81"/>
      <c r="B456" s="81"/>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spans="1:27" ht="15.75" customHeight="1" x14ac:dyDescent="0.25">
      <c r="A457" s="81"/>
      <c r="B457" s="81"/>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spans="1:27" ht="15.75" customHeight="1" x14ac:dyDescent="0.25">
      <c r="A458" s="81"/>
      <c r="B458" s="81"/>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spans="1:27" ht="15.75" customHeight="1" x14ac:dyDescent="0.25">
      <c r="A459" s="81"/>
      <c r="B459" s="81"/>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spans="1:27" ht="15.75" customHeight="1" x14ac:dyDescent="0.25">
      <c r="A460" s="81"/>
      <c r="B460" s="81"/>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spans="1:27" ht="15.75" customHeight="1" x14ac:dyDescent="0.25">
      <c r="A461" s="81"/>
      <c r="B461" s="81"/>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spans="1:27" ht="15.75" customHeight="1" x14ac:dyDescent="0.25">
      <c r="A462" s="81"/>
      <c r="B462" s="81"/>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spans="1:27" ht="15.75" customHeight="1" x14ac:dyDescent="0.25">
      <c r="A463" s="81"/>
      <c r="B463" s="81"/>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spans="1:27" ht="15.75" customHeight="1" x14ac:dyDescent="0.25">
      <c r="A464" s="81"/>
      <c r="B464" s="81"/>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spans="1:27" ht="15.75" customHeight="1" x14ac:dyDescent="0.25">
      <c r="A465" s="81"/>
      <c r="B465" s="81"/>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spans="1:27" ht="15.75" customHeight="1" x14ac:dyDescent="0.25">
      <c r="A466" s="81"/>
      <c r="B466" s="81"/>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spans="1:27" ht="15.75" customHeight="1" x14ac:dyDescent="0.25">
      <c r="A467" s="81"/>
      <c r="B467" s="81"/>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spans="1:27" ht="15.75" customHeight="1" x14ac:dyDescent="0.25">
      <c r="A468" s="81"/>
      <c r="B468" s="81"/>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spans="1:27" ht="15.75" customHeight="1" x14ac:dyDescent="0.25">
      <c r="A469" s="81"/>
      <c r="B469" s="81"/>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spans="1:27" ht="15.75" customHeight="1" x14ac:dyDescent="0.25">
      <c r="A470" s="81"/>
      <c r="B470" s="81"/>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spans="1:27" ht="15.75" customHeight="1" x14ac:dyDescent="0.25">
      <c r="A471" s="81"/>
      <c r="B471" s="81"/>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spans="1:27" ht="15.75" customHeight="1" x14ac:dyDescent="0.25">
      <c r="A472" s="81"/>
      <c r="B472" s="81"/>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spans="1:27" ht="15.75" customHeight="1" x14ac:dyDescent="0.25">
      <c r="A473" s="81"/>
      <c r="B473" s="81"/>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spans="1:27" ht="15.75" customHeight="1" x14ac:dyDescent="0.25">
      <c r="A474" s="81"/>
      <c r="B474" s="81"/>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spans="1:27" ht="15.75" customHeight="1" x14ac:dyDescent="0.25">
      <c r="A475" s="81"/>
      <c r="B475" s="81"/>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spans="1:27" ht="15.75" customHeight="1" x14ac:dyDescent="0.25">
      <c r="A476" s="81"/>
      <c r="B476" s="81"/>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spans="1:27" ht="15.75" customHeight="1" x14ac:dyDescent="0.25">
      <c r="A477" s="81"/>
      <c r="B477" s="81"/>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spans="1:27" ht="15.75" customHeight="1" x14ac:dyDescent="0.25">
      <c r="A478" s="81"/>
      <c r="B478" s="81"/>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spans="1:27" ht="15.75" customHeight="1" x14ac:dyDescent="0.25">
      <c r="A479" s="81"/>
      <c r="B479" s="81"/>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spans="1:27" ht="15.75" customHeight="1" x14ac:dyDescent="0.25">
      <c r="A480" s="81"/>
      <c r="B480" s="81"/>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spans="1:27" ht="15.75" customHeight="1" x14ac:dyDescent="0.25">
      <c r="A481" s="81"/>
      <c r="B481" s="81"/>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spans="1:27" ht="15.75" customHeight="1" x14ac:dyDescent="0.25">
      <c r="A482" s="81"/>
      <c r="B482" s="81"/>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spans="1:27" ht="15.75" customHeight="1" x14ac:dyDescent="0.25">
      <c r="A483" s="81"/>
      <c r="B483" s="81"/>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spans="1:27" ht="15.75" customHeight="1" x14ac:dyDescent="0.25">
      <c r="A484" s="81"/>
      <c r="B484" s="81"/>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spans="1:27" ht="15.75" customHeight="1" x14ac:dyDescent="0.25">
      <c r="A485" s="81"/>
      <c r="B485" s="81"/>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spans="1:27" ht="15.75" customHeight="1" x14ac:dyDescent="0.25">
      <c r="A486" s="81"/>
      <c r="B486" s="81"/>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spans="1:27" ht="15.75" customHeight="1" x14ac:dyDescent="0.25">
      <c r="A487" s="81"/>
      <c r="B487" s="81"/>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spans="1:27" ht="15.75" customHeight="1" x14ac:dyDescent="0.25">
      <c r="A488" s="81"/>
      <c r="B488" s="81"/>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spans="1:27" ht="15.75" customHeight="1" x14ac:dyDescent="0.25">
      <c r="A489" s="81"/>
      <c r="B489" s="81"/>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spans="1:27" ht="15.75" customHeight="1" x14ac:dyDescent="0.25">
      <c r="A490" s="81"/>
      <c r="B490" s="81"/>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spans="1:27" ht="15.75" customHeight="1" x14ac:dyDescent="0.25">
      <c r="A491" s="81"/>
      <c r="B491" s="81"/>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spans="1:27" ht="15.75" customHeight="1" x14ac:dyDescent="0.25">
      <c r="A492" s="81"/>
      <c r="B492" s="81"/>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spans="1:27" ht="15.75" customHeight="1" x14ac:dyDescent="0.25">
      <c r="A493" s="81"/>
      <c r="B493" s="81"/>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spans="1:27" ht="15.75" customHeight="1" x14ac:dyDescent="0.25">
      <c r="A494" s="81"/>
      <c r="B494" s="81"/>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spans="1:27" ht="15.75" customHeight="1" x14ac:dyDescent="0.25">
      <c r="A495" s="81"/>
      <c r="B495" s="81"/>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spans="1:27" ht="15.75" customHeight="1" x14ac:dyDescent="0.25">
      <c r="A496" s="81"/>
      <c r="B496" s="81"/>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spans="1:27" ht="15.75" customHeight="1" x14ac:dyDescent="0.25">
      <c r="A497" s="81"/>
      <c r="B497" s="81"/>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spans="1:27" ht="15.75" customHeight="1" x14ac:dyDescent="0.25">
      <c r="A498" s="81"/>
      <c r="B498" s="81"/>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spans="1:27" ht="15.75" customHeight="1" x14ac:dyDescent="0.25">
      <c r="A499" s="81"/>
      <c r="B499" s="81"/>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spans="1:27" ht="15.75" customHeight="1" x14ac:dyDescent="0.25">
      <c r="A500" s="81"/>
      <c r="B500" s="81"/>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spans="1:27" ht="15.75" customHeight="1" x14ac:dyDescent="0.25">
      <c r="A501" s="81"/>
      <c r="B501" s="81"/>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spans="1:27" ht="15.75" customHeight="1" x14ac:dyDescent="0.25">
      <c r="A502" s="81"/>
      <c r="B502" s="81"/>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spans="1:27" ht="15.75" customHeight="1" x14ac:dyDescent="0.25">
      <c r="A503" s="81"/>
      <c r="B503" s="81"/>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spans="1:27" ht="15.75" customHeight="1" x14ac:dyDescent="0.25">
      <c r="A504" s="81"/>
      <c r="B504" s="81"/>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spans="1:27" ht="15.75" customHeight="1" x14ac:dyDescent="0.25">
      <c r="A505" s="81"/>
      <c r="B505" s="81"/>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spans="1:27" ht="15.75" customHeight="1" x14ac:dyDescent="0.25">
      <c r="A506" s="81"/>
      <c r="B506" s="81"/>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spans="1:27" ht="15.75" customHeight="1" x14ac:dyDescent="0.25">
      <c r="A507" s="81"/>
      <c r="B507" s="81"/>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spans="1:27" ht="15.75" customHeight="1" x14ac:dyDescent="0.25">
      <c r="A508" s="81"/>
      <c r="B508" s="81"/>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spans="1:27" ht="15.75" customHeight="1" x14ac:dyDescent="0.25">
      <c r="A509" s="81"/>
      <c r="B509" s="81"/>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spans="1:27" ht="15.75" customHeight="1" x14ac:dyDescent="0.25">
      <c r="A510" s="81"/>
      <c r="B510" s="81"/>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spans="1:27" ht="15.75" customHeight="1" x14ac:dyDescent="0.25">
      <c r="A511" s="81"/>
      <c r="B511" s="81"/>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spans="1:27" ht="15.75" customHeight="1" x14ac:dyDescent="0.25">
      <c r="A512" s="81"/>
      <c r="B512" s="81"/>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spans="1:27" ht="15.75" customHeight="1" x14ac:dyDescent="0.25">
      <c r="A513" s="81"/>
      <c r="B513" s="81"/>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spans="1:27" ht="15.75" customHeight="1" x14ac:dyDescent="0.25">
      <c r="A514" s="81"/>
      <c r="B514" s="81"/>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spans="1:27" ht="15.75" customHeight="1" x14ac:dyDescent="0.25">
      <c r="A515" s="81"/>
      <c r="B515" s="81"/>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spans="1:27" ht="15.75" customHeight="1" x14ac:dyDescent="0.25">
      <c r="A516" s="81"/>
      <c r="B516" s="81"/>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spans="1:27" ht="15.75" customHeight="1" x14ac:dyDescent="0.25">
      <c r="A517" s="81"/>
      <c r="B517" s="81"/>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spans="1:27" ht="15.75" customHeight="1" x14ac:dyDescent="0.25">
      <c r="A518" s="81"/>
      <c r="B518" s="81"/>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spans="1:27" ht="15.75" customHeight="1" x14ac:dyDescent="0.25">
      <c r="A519" s="81"/>
      <c r="B519" s="81"/>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spans="1:27" ht="15.75" customHeight="1" x14ac:dyDescent="0.25">
      <c r="A520" s="81"/>
      <c r="B520" s="81"/>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spans="1:27" ht="15.75" customHeight="1" x14ac:dyDescent="0.25">
      <c r="A521" s="81"/>
      <c r="B521" s="81"/>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spans="1:27" ht="15.75" customHeight="1" x14ac:dyDescent="0.25">
      <c r="A522" s="81"/>
      <c r="B522" s="81"/>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spans="1:27" ht="15.75" customHeight="1" x14ac:dyDescent="0.25">
      <c r="A523" s="81"/>
      <c r="B523" s="81"/>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spans="1:27" ht="15.75" customHeight="1" x14ac:dyDescent="0.25">
      <c r="A524" s="81"/>
      <c r="B524" s="81"/>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spans="1:27" ht="15.75" customHeight="1" x14ac:dyDescent="0.25">
      <c r="A525" s="81"/>
      <c r="B525" s="81"/>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spans="1:27" ht="15.75" customHeight="1" x14ac:dyDescent="0.25">
      <c r="A526" s="81"/>
      <c r="B526" s="81"/>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spans="1:27" ht="15.75" customHeight="1" x14ac:dyDescent="0.25">
      <c r="A527" s="81"/>
      <c r="B527" s="81"/>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spans="1:27" ht="15.75" customHeight="1" x14ac:dyDescent="0.25">
      <c r="A528" s="81"/>
      <c r="B528" s="81"/>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spans="1:27" ht="15.75" customHeight="1" x14ac:dyDescent="0.25">
      <c r="A529" s="81"/>
      <c r="B529" s="81"/>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spans="1:27" ht="15.75" customHeight="1" x14ac:dyDescent="0.25">
      <c r="A530" s="81"/>
      <c r="B530" s="81"/>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spans="1:27" ht="15.75" customHeight="1" x14ac:dyDescent="0.25">
      <c r="A531" s="81"/>
      <c r="B531" s="81"/>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spans="1:27" ht="15.75" customHeight="1" x14ac:dyDescent="0.25">
      <c r="A532" s="81"/>
      <c r="B532" s="81"/>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spans="1:27" ht="15.75" customHeight="1" x14ac:dyDescent="0.25">
      <c r="A533" s="81"/>
      <c r="B533" s="81"/>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spans="1:27" ht="15.75" customHeight="1" x14ac:dyDescent="0.25">
      <c r="A534" s="81"/>
      <c r="B534" s="81"/>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spans="1:27" ht="15.75" customHeight="1" x14ac:dyDescent="0.25">
      <c r="A535" s="81"/>
      <c r="B535" s="81"/>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spans="1:27" ht="15.75" customHeight="1" x14ac:dyDescent="0.25">
      <c r="A536" s="81"/>
      <c r="B536" s="81"/>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spans="1:27" ht="15.75" customHeight="1" x14ac:dyDescent="0.25">
      <c r="A537" s="81"/>
      <c r="B537" s="81"/>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spans="1:27" ht="15.75" customHeight="1" x14ac:dyDescent="0.25">
      <c r="A538" s="81"/>
      <c r="B538" s="81"/>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spans="1:27" ht="15.75" customHeight="1" x14ac:dyDescent="0.25">
      <c r="A539" s="81"/>
      <c r="B539" s="81"/>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spans="1:27" ht="15.75" customHeight="1" x14ac:dyDescent="0.25">
      <c r="A540" s="81"/>
      <c r="B540" s="81"/>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spans="1:27" ht="15.75" customHeight="1" x14ac:dyDescent="0.25">
      <c r="A541" s="81"/>
      <c r="B541" s="81"/>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spans="1:27" ht="15.75" customHeight="1" x14ac:dyDescent="0.25">
      <c r="A542" s="81"/>
      <c r="B542" s="81"/>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spans="1:27" ht="15.75" customHeight="1" x14ac:dyDescent="0.25">
      <c r="A543" s="81"/>
      <c r="B543" s="81"/>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spans="1:27" ht="15.75" customHeight="1" x14ac:dyDescent="0.25">
      <c r="A544" s="81"/>
      <c r="B544" s="81"/>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spans="1:27" ht="15.75" customHeight="1" x14ac:dyDescent="0.25">
      <c r="A545" s="81"/>
      <c r="B545" s="81"/>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spans="1:27" ht="15.75" customHeight="1" x14ac:dyDescent="0.25">
      <c r="A546" s="81"/>
      <c r="B546" s="81"/>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spans="1:27" ht="15.75" customHeight="1" x14ac:dyDescent="0.25">
      <c r="A547" s="81"/>
      <c r="B547" s="81"/>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spans="1:27" ht="15.75" customHeight="1" x14ac:dyDescent="0.25">
      <c r="A548" s="81"/>
      <c r="B548" s="81"/>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spans="1:27" ht="15.75" customHeight="1" x14ac:dyDescent="0.25">
      <c r="A549" s="81"/>
      <c r="B549" s="81"/>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spans="1:27" ht="15.75" customHeight="1" x14ac:dyDescent="0.25">
      <c r="A550" s="81"/>
      <c r="B550" s="81"/>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spans="1:27" ht="15.75" customHeight="1" x14ac:dyDescent="0.25">
      <c r="A551" s="81"/>
      <c r="B551" s="81"/>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spans="1:27" ht="15.75" customHeight="1" x14ac:dyDescent="0.25">
      <c r="A552" s="81"/>
      <c r="B552" s="81"/>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spans="1:27" ht="15.75" customHeight="1" x14ac:dyDescent="0.25">
      <c r="A553" s="81"/>
      <c r="B553" s="81"/>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spans="1:27" ht="15.75" customHeight="1" x14ac:dyDescent="0.25">
      <c r="A554" s="81"/>
      <c r="B554" s="81"/>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spans="1:27" ht="15.75" customHeight="1" x14ac:dyDescent="0.25">
      <c r="A555" s="81"/>
      <c r="B555" s="81"/>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spans="1:27" ht="15.75" customHeight="1" x14ac:dyDescent="0.25">
      <c r="A556" s="81"/>
      <c r="B556" s="81"/>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spans="1:27" ht="15.75" customHeight="1" x14ac:dyDescent="0.25">
      <c r="A557" s="81"/>
      <c r="B557" s="81"/>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spans="1:27" ht="15.75" customHeight="1" x14ac:dyDescent="0.25">
      <c r="A558" s="81"/>
      <c r="B558" s="81"/>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spans="1:27" ht="15.75" customHeight="1" x14ac:dyDescent="0.25">
      <c r="A559" s="81"/>
      <c r="B559" s="81"/>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spans="1:27" ht="15.75" customHeight="1" x14ac:dyDescent="0.25">
      <c r="A560" s="81"/>
      <c r="B560" s="81"/>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spans="1:27" ht="15.75" customHeight="1" x14ac:dyDescent="0.25">
      <c r="A561" s="81"/>
      <c r="B561" s="81"/>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spans="1:27" ht="15.75" customHeight="1" x14ac:dyDescent="0.25">
      <c r="A562" s="81"/>
      <c r="B562" s="81"/>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spans="1:27" ht="15.75" customHeight="1" x14ac:dyDescent="0.25">
      <c r="A563" s="81"/>
      <c r="B563" s="81"/>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spans="1:27" ht="15.75" customHeight="1" x14ac:dyDescent="0.25">
      <c r="A564" s="81"/>
      <c r="B564" s="81"/>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spans="1:27" ht="15.75" customHeight="1" x14ac:dyDescent="0.25">
      <c r="A565" s="81"/>
      <c r="B565" s="81"/>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spans="1:27" ht="15.75" customHeight="1" x14ac:dyDescent="0.25">
      <c r="A566" s="81"/>
      <c r="B566" s="81"/>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spans="1:27" ht="15.75" customHeight="1" x14ac:dyDescent="0.25">
      <c r="A567" s="81"/>
      <c r="B567" s="81"/>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spans="1:27" ht="15.75" customHeight="1" x14ac:dyDescent="0.25">
      <c r="A568" s="81"/>
      <c r="B568" s="81"/>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spans="1:27" ht="15.75" customHeight="1" x14ac:dyDescent="0.25">
      <c r="A569" s="81"/>
      <c r="B569" s="81"/>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spans="1:27" ht="15.75" customHeight="1" x14ac:dyDescent="0.25">
      <c r="A570" s="81"/>
      <c r="B570" s="81"/>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spans="1:27" ht="15.75" customHeight="1" x14ac:dyDescent="0.25">
      <c r="A571" s="81"/>
      <c r="B571" s="81"/>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spans="1:27" ht="15.75" customHeight="1" x14ac:dyDescent="0.25">
      <c r="A572" s="81"/>
      <c r="B572" s="81"/>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spans="1:27" ht="15.75" customHeight="1" x14ac:dyDescent="0.25">
      <c r="A573" s="81"/>
      <c r="B573" s="81"/>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spans="1:27" ht="15.75" customHeight="1" x14ac:dyDescent="0.25">
      <c r="A574" s="81"/>
      <c r="B574" s="81"/>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spans="1:27" ht="15.75" customHeight="1" x14ac:dyDescent="0.25">
      <c r="A575" s="81"/>
      <c r="B575" s="81"/>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spans="1:27" ht="15.75" customHeight="1" x14ac:dyDescent="0.25">
      <c r="A576" s="81"/>
      <c r="B576" s="81"/>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spans="1:27" ht="15.75" customHeight="1" x14ac:dyDescent="0.25">
      <c r="A577" s="81"/>
      <c r="B577" s="81"/>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spans="1:27" ht="15.75" customHeight="1" x14ac:dyDescent="0.25">
      <c r="A578" s="81"/>
      <c r="B578" s="81"/>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spans="1:27" ht="15.75" customHeight="1" x14ac:dyDescent="0.25">
      <c r="A579" s="81"/>
      <c r="B579" s="81"/>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spans="1:27" ht="15.75" customHeight="1" x14ac:dyDescent="0.25">
      <c r="A580" s="81"/>
      <c r="B580" s="81"/>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spans="1:27" ht="15.75" customHeight="1" x14ac:dyDescent="0.25">
      <c r="A581" s="81"/>
      <c r="B581" s="81"/>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spans="1:27" ht="15.75" customHeight="1" x14ac:dyDescent="0.25">
      <c r="A582" s="81"/>
      <c r="B582" s="81"/>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spans="1:27" ht="15.75" customHeight="1" x14ac:dyDescent="0.25">
      <c r="A583" s="81"/>
      <c r="B583" s="81"/>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spans="1:27" ht="15.75" customHeight="1" x14ac:dyDescent="0.25">
      <c r="A584" s="81"/>
      <c r="B584" s="81"/>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spans="1:27" ht="15.75" customHeight="1" x14ac:dyDescent="0.25">
      <c r="A585" s="81"/>
      <c r="B585" s="81"/>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spans="1:27" ht="15.75" customHeight="1" x14ac:dyDescent="0.25">
      <c r="A586" s="81"/>
      <c r="B586" s="81"/>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spans="1:27" ht="15.75" customHeight="1" x14ac:dyDescent="0.25">
      <c r="A587" s="81"/>
      <c r="B587" s="81"/>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spans="1:27" ht="15.75" customHeight="1" x14ac:dyDescent="0.25">
      <c r="A588" s="81"/>
      <c r="B588" s="81"/>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spans="1:27" ht="15.75" customHeight="1" x14ac:dyDescent="0.25">
      <c r="A589" s="81"/>
      <c r="B589" s="81"/>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spans="1:27" ht="15.75" customHeight="1" x14ac:dyDescent="0.25">
      <c r="A590" s="81"/>
      <c r="B590" s="81"/>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spans="1:27" ht="15.75" customHeight="1" x14ac:dyDescent="0.25">
      <c r="A591" s="81"/>
      <c r="B591" s="81"/>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spans="1:27" ht="15.75" customHeight="1" x14ac:dyDescent="0.25">
      <c r="A592" s="81"/>
      <c r="B592" s="81"/>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spans="1:27" ht="15.75" customHeight="1" x14ac:dyDescent="0.25">
      <c r="A593" s="81"/>
      <c r="B593" s="81"/>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spans="1:27" ht="15.75" customHeight="1" x14ac:dyDescent="0.25">
      <c r="A594" s="81"/>
      <c r="B594" s="81"/>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spans="1:27" ht="15.75" customHeight="1" x14ac:dyDescent="0.25">
      <c r="A595" s="81"/>
      <c r="B595" s="81"/>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spans="1:27" ht="15.75" customHeight="1" x14ac:dyDescent="0.25">
      <c r="A596" s="81"/>
      <c r="B596" s="81"/>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spans="1:27" ht="15.75" customHeight="1" x14ac:dyDescent="0.25">
      <c r="A597" s="81"/>
      <c r="B597" s="81"/>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spans="1:27" ht="15.75" customHeight="1" x14ac:dyDescent="0.25">
      <c r="A598" s="81"/>
      <c r="B598" s="81"/>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spans="1:27" ht="15.75" customHeight="1" x14ac:dyDescent="0.25">
      <c r="A599" s="81"/>
      <c r="B599" s="81"/>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spans="1:27" ht="15.75" customHeight="1" x14ac:dyDescent="0.25">
      <c r="A600" s="81"/>
      <c r="B600" s="81"/>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spans="1:27" ht="15.75" customHeight="1" x14ac:dyDescent="0.25">
      <c r="A601" s="81"/>
      <c r="B601" s="81"/>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spans="1:27" ht="15.75" customHeight="1" x14ac:dyDescent="0.25">
      <c r="A602" s="81"/>
      <c r="B602" s="81"/>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spans="1:27" ht="15.75" customHeight="1" x14ac:dyDescent="0.25">
      <c r="A603" s="81"/>
      <c r="B603" s="81"/>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spans="1:27" ht="15.75" customHeight="1" x14ac:dyDescent="0.25">
      <c r="A604" s="81"/>
      <c r="B604" s="81"/>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spans="1:27" ht="15.75" customHeight="1" x14ac:dyDescent="0.25">
      <c r="A605" s="81"/>
      <c r="B605" s="81"/>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spans="1:27" ht="15.75" customHeight="1" x14ac:dyDescent="0.25">
      <c r="A606" s="81"/>
      <c r="B606" s="81"/>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spans="1:27" ht="15.75" customHeight="1" x14ac:dyDescent="0.25">
      <c r="A607" s="81"/>
      <c r="B607" s="81"/>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spans="1:27" ht="15.75" customHeight="1" x14ac:dyDescent="0.25">
      <c r="A608" s="81"/>
      <c r="B608" s="81"/>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spans="1:27" ht="15.75" customHeight="1" x14ac:dyDescent="0.25">
      <c r="A609" s="81"/>
      <c r="B609" s="81"/>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spans="1:27" ht="15.75" customHeight="1" x14ac:dyDescent="0.25">
      <c r="A610" s="81"/>
      <c r="B610" s="81"/>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spans="1:27" ht="15.75" customHeight="1" x14ac:dyDescent="0.25">
      <c r="A611" s="81"/>
      <c r="B611" s="81"/>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spans="1:27" ht="15.75" customHeight="1" x14ac:dyDescent="0.25">
      <c r="A612" s="81"/>
      <c r="B612" s="81"/>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spans="1:27" ht="15.75" customHeight="1" x14ac:dyDescent="0.25">
      <c r="A613" s="81"/>
      <c r="B613" s="81"/>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spans="1:27" ht="15.75" customHeight="1" x14ac:dyDescent="0.25">
      <c r="A614" s="81"/>
      <c r="B614" s="81"/>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spans="1:27" ht="15.75" customHeight="1" x14ac:dyDescent="0.25">
      <c r="A615" s="81"/>
      <c r="B615" s="81"/>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spans="1:27" ht="15.75" customHeight="1" x14ac:dyDescent="0.25">
      <c r="A616" s="81"/>
      <c r="B616" s="81"/>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spans="1:27" ht="15.75" customHeight="1" x14ac:dyDescent="0.25">
      <c r="A617" s="81"/>
      <c r="B617" s="81"/>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spans="1:27" ht="15.75" customHeight="1" x14ac:dyDescent="0.25">
      <c r="A618" s="81"/>
      <c r="B618" s="81"/>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spans="1:27" ht="15.75" customHeight="1" x14ac:dyDescent="0.25">
      <c r="A619" s="81"/>
      <c r="B619" s="81"/>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spans="1:27" ht="15.75" customHeight="1" x14ac:dyDescent="0.25">
      <c r="A620" s="81"/>
      <c r="B620" s="81"/>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spans="1:27" ht="15.75" customHeight="1" x14ac:dyDescent="0.25">
      <c r="A621" s="81"/>
      <c r="B621" s="81"/>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spans="1:27" ht="15.75" customHeight="1" x14ac:dyDescent="0.25">
      <c r="A622" s="81"/>
      <c r="B622" s="81"/>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spans="1:27" ht="15.75" customHeight="1" x14ac:dyDescent="0.25">
      <c r="A623" s="81"/>
      <c r="B623" s="81"/>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spans="1:27" ht="15.75" customHeight="1" x14ac:dyDescent="0.25">
      <c r="A624" s="81"/>
      <c r="B624" s="81"/>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spans="1:27" ht="15.75" customHeight="1" x14ac:dyDescent="0.25">
      <c r="A625" s="81"/>
      <c r="B625" s="81"/>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spans="1:27" ht="15.75" customHeight="1" x14ac:dyDescent="0.25">
      <c r="A626" s="81"/>
      <c r="B626" s="81"/>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spans="1:27" ht="15.75" customHeight="1" x14ac:dyDescent="0.25">
      <c r="A627" s="81"/>
      <c r="B627" s="81"/>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spans="1:27" ht="15.75" customHeight="1" x14ac:dyDescent="0.25">
      <c r="A628" s="81"/>
      <c r="B628" s="81"/>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spans="1:27" ht="15.75" customHeight="1" x14ac:dyDescent="0.25">
      <c r="A629" s="81"/>
      <c r="B629" s="81"/>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spans="1:27" ht="15.75" customHeight="1" x14ac:dyDescent="0.25">
      <c r="A630" s="81"/>
      <c r="B630" s="81"/>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spans="1:27" ht="15.75" customHeight="1" x14ac:dyDescent="0.25">
      <c r="A631" s="81"/>
      <c r="B631" s="81"/>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spans="1:27" ht="15.75" customHeight="1" x14ac:dyDescent="0.25">
      <c r="A632" s="81"/>
      <c r="B632" s="81"/>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spans="1:27" ht="15.75" customHeight="1" x14ac:dyDescent="0.25">
      <c r="A633" s="81"/>
      <c r="B633" s="81"/>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spans="1:27" ht="15.75" customHeight="1" x14ac:dyDescent="0.25">
      <c r="A634" s="81"/>
      <c r="B634" s="81"/>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spans="1:27" ht="15.75" customHeight="1" x14ac:dyDescent="0.25">
      <c r="A635" s="81"/>
      <c r="B635" s="81"/>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spans="1:27" ht="15.75" customHeight="1" x14ac:dyDescent="0.25">
      <c r="A636" s="81"/>
      <c r="B636" s="81"/>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spans="1:27" ht="15.75" customHeight="1" x14ac:dyDescent="0.25">
      <c r="A637" s="81"/>
      <c r="B637" s="81"/>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spans="1:27" ht="15.75" customHeight="1" x14ac:dyDescent="0.25">
      <c r="A638" s="81"/>
      <c r="B638" s="81"/>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spans="1:27" ht="15.75" customHeight="1" x14ac:dyDescent="0.25">
      <c r="A639" s="81"/>
      <c r="B639" s="81"/>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spans="1:27" ht="15.75" customHeight="1" x14ac:dyDescent="0.25">
      <c r="A640" s="81"/>
      <c r="B640" s="81"/>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spans="1:27" ht="15.75" customHeight="1" x14ac:dyDescent="0.25">
      <c r="A641" s="81"/>
      <c r="B641" s="81"/>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spans="1:27" ht="15.75" customHeight="1" x14ac:dyDescent="0.25">
      <c r="A642" s="81"/>
      <c r="B642" s="81"/>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spans="1:27" ht="15.75" customHeight="1" x14ac:dyDescent="0.25">
      <c r="A643" s="81"/>
      <c r="B643" s="81"/>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spans="1:27" ht="15.75" customHeight="1" x14ac:dyDescent="0.25">
      <c r="A644" s="81"/>
      <c r="B644" s="81"/>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spans="1:27" ht="15.75" customHeight="1" x14ac:dyDescent="0.25">
      <c r="A645" s="81"/>
      <c r="B645" s="81"/>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spans="1:27" ht="15.75" customHeight="1" x14ac:dyDescent="0.25">
      <c r="A646" s="81"/>
      <c r="B646" s="81"/>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spans="1:27" ht="15.75" customHeight="1" x14ac:dyDescent="0.25">
      <c r="A647" s="81"/>
      <c r="B647" s="81"/>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spans="1:27" ht="15.75" customHeight="1" x14ac:dyDescent="0.25">
      <c r="A648" s="81"/>
      <c r="B648" s="81"/>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spans="1:27" ht="15.75" customHeight="1" x14ac:dyDescent="0.25">
      <c r="A649" s="81"/>
      <c r="B649" s="81"/>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spans="1:27" ht="15.75" customHeight="1" x14ac:dyDescent="0.25">
      <c r="A650" s="81"/>
      <c r="B650" s="81"/>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spans="1:27" ht="15.75" customHeight="1" x14ac:dyDescent="0.25">
      <c r="A651" s="81"/>
      <c r="B651" s="81"/>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spans="1:27" ht="15.75" customHeight="1" x14ac:dyDescent="0.25">
      <c r="A652" s="81"/>
      <c r="B652" s="81"/>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spans="1:27" ht="15.75" customHeight="1" x14ac:dyDescent="0.25">
      <c r="A653" s="81"/>
      <c r="B653" s="81"/>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spans="1:27" ht="15.75" customHeight="1" x14ac:dyDescent="0.25">
      <c r="A654" s="81"/>
      <c r="B654" s="81"/>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spans="1:27" ht="15.75" customHeight="1" x14ac:dyDescent="0.25">
      <c r="A655" s="81"/>
      <c r="B655" s="81"/>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spans="1:27" ht="15.75" customHeight="1" x14ac:dyDescent="0.25">
      <c r="A656" s="81"/>
      <c r="B656" s="81"/>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spans="1:27" ht="15.75" customHeight="1" x14ac:dyDescent="0.25">
      <c r="A657" s="81"/>
      <c r="B657" s="81"/>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spans="1:27" ht="15.75" customHeight="1" x14ac:dyDescent="0.25">
      <c r="A658" s="81"/>
      <c r="B658" s="81"/>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spans="1:27" ht="15.75" customHeight="1" x14ac:dyDescent="0.25">
      <c r="A659" s="81"/>
      <c r="B659" s="81"/>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spans="1:27" ht="15.75" customHeight="1" x14ac:dyDescent="0.25">
      <c r="A660" s="81"/>
      <c r="B660" s="81"/>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spans="1:27" ht="15.75" customHeight="1" x14ac:dyDescent="0.25">
      <c r="A661" s="81"/>
      <c r="B661" s="81"/>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spans="1:27" ht="15.75" customHeight="1" x14ac:dyDescent="0.25">
      <c r="A662" s="81"/>
      <c r="B662" s="81"/>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spans="1:27" ht="15.75" customHeight="1" x14ac:dyDescent="0.25">
      <c r="A663" s="81"/>
      <c r="B663" s="81"/>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spans="1:27" ht="15.75" customHeight="1" x14ac:dyDescent="0.25">
      <c r="A664" s="81"/>
      <c r="B664" s="81"/>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spans="1:27" ht="15.75" customHeight="1" x14ac:dyDescent="0.25">
      <c r="A665" s="81"/>
      <c r="B665" s="81"/>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spans="1:27" ht="15.75" customHeight="1" x14ac:dyDescent="0.25">
      <c r="A666" s="81"/>
      <c r="B666" s="81"/>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spans="1:27" ht="15.75" customHeight="1" x14ac:dyDescent="0.25">
      <c r="A667" s="81"/>
      <c r="B667" s="81"/>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spans="1:27" ht="15.75" customHeight="1" x14ac:dyDescent="0.25">
      <c r="A668" s="81"/>
      <c r="B668" s="81"/>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spans="1:27" ht="15.75" customHeight="1" x14ac:dyDescent="0.25">
      <c r="A669" s="81"/>
      <c r="B669" s="81"/>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spans="1:27" ht="15.75" customHeight="1" x14ac:dyDescent="0.25">
      <c r="A670" s="81"/>
      <c r="B670" s="81"/>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spans="1:27" ht="15.75" customHeight="1" x14ac:dyDescent="0.25">
      <c r="A671" s="81"/>
      <c r="B671" s="81"/>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spans="1:27" ht="15.75" customHeight="1" x14ac:dyDescent="0.25">
      <c r="A672" s="81"/>
      <c r="B672" s="81"/>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spans="1:27" ht="15.75" customHeight="1" x14ac:dyDescent="0.25">
      <c r="A673" s="81"/>
      <c r="B673" s="81"/>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spans="1:27" ht="15.75" customHeight="1" x14ac:dyDescent="0.25">
      <c r="A674" s="81"/>
      <c r="B674" s="81"/>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spans="1:27" ht="15.75" customHeight="1" x14ac:dyDescent="0.25">
      <c r="A675" s="81"/>
      <c r="B675" s="81"/>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spans="1:27" ht="15.75" customHeight="1" x14ac:dyDescent="0.25">
      <c r="A676" s="81"/>
      <c r="B676" s="81"/>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spans="1:27" ht="15.75" customHeight="1" x14ac:dyDescent="0.25">
      <c r="A677" s="81"/>
      <c r="B677" s="81"/>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spans="1:27" ht="15.75" customHeight="1" x14ac:dyDescent="0.25">
      <c r="A678" s="81"/>
      <c r="B678" s="81"/>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spans="1:27" ht="15.75" customHeight="1" x14ac:dyDescent="0.25">
      <c r="A679" s="81"/>
      <c r="B679" s="81"/>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spans="1:27" ht="15.75" customHeight="1" x14ac:dyDescent="0.25">
      <c r="A680" s="81"/>
      <c r="B680" s="81"/>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spans="1:27" ht="15.75" customHeight="1" x14ac:dyDescent="0.25">
      <c r="A681" s="81"/>
      <c r="B681" s="81"/>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spans="1:27" ht="15.75" customHeight="1" x14ac:dyDescent="0.25">
      <c r="A682" s="81"/>
      <c r="B682" s="81"/>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spans="1:27" ht="15.75" customHeight="1" x14ac:dyDescent="0.25">
      <c r="A683" s="81"/>
      <c r="B683" s="81"/>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spans="1:27" ht="15.75" customHeight="1" x14ac:dyDescent="0.25">
      <c r="A684" s="81"/>
      <c r="B684" s="81"/>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spans="1:27" ht="15.75" customHeight="1" x14ac:dyDescent="0.25">
      <c r="A685" s="81"/>
      <c r="B685" s="81"/>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spans="1:27" ht="15.75" customHeight="1" x14ac:dyDescent="0.25">
      <c r="A686" s="81"/>
      <c r="B686" s="81"/>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spans="1:27" ht="15.75" customHeight="1" x14ac:dyDescent="0.25">
      <c r="A687" s="81"/>
      <c r="B687" s="81"/>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spans="1:27" ht="15.75" customHeight="1" x14ac:dyDescent="0.25">
      <c r="A688" s="81"/>
      <c r="B688" s="81"/>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spans="1:27" ht="15.75" customHeight="1" x14ac:dyDescent="0.25">
      <c r="A689" s="81"/>
      <c r="B689" s="81"/>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spans="1:27" ht="15.75" customHeight="1" x14ac:dyDescent="0.25">
      <c r="A690" s="81"/>
      <c r="B690" s="81"/>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spans="1:27" ht="15.75" customHeight="1" x14ac:dyDescent="0.25">
      <c r="A691" s="81"/>
      <c r="B691" s="81"/>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spans="1:27" ht="15.75" customHeight="1" x14ac:dyDescent="0.25">
      <c r="A692" s="81"/>
      <c r="B692" s="81"/>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spans="1:27" ht="15.75" customHeight="1" x14ac:dyDescent="0.25">
      <c r="A693" s="81"/>
      <c r="B693" s="81"/>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spans="1:27" ht="15.75" customHeight="1" x14ac:dyDescent="0.25">
      <c r="A694" s="81"/>
      <c r="B694" s="81"/>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spans="1:27" ht="15.75" customHeight="1" x14ac:dyDescent="0.25">
      <c r="A695" s="81"/>
      <c r="B695" s="81"/>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spans="1:27" ht="15.75" customHeight="1" x14ac:dyDescent="0.25">
      <c r="A696" s="81"/>
      <c r="B696" s="81"/>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spans="1:27" ht="15.75" customHeight="1" x14ac:dyDescent="0.25">
      <c r="A697" s="81"/>
      <c r="B697" s="81"/>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spans="1:27" ht="15.75" customHeight="1" x14ac:dyDescent="0.25">
      <c r="A698" s="81"/>
      <c r="B698" s="81"/>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spans="1:27" ht="15.75" customHeight="1" x14ac:dyDescent="0.25">
      <c r="A699" s="81"/>
      <c r="B699" s="81"/>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spans="1:27" ht="15.75" customHeight="1" x14ac:dyDescent="0.25">
      <c r="A700" s="81"/>
      <c r="B700" s="81"/>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spans="1:27" ht="15.75" customHeight="1" x14ac:dyDescent="0.25">
      <c r="A701" s="81"/>
      <c r="B701" s="81"/>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spans="1:27" ht="15.75" customHeight="1" x14ac:dyDescent="0.25">
      <c r="A702" s="81"/>
      <c r="B702" s="81"/>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spans="1:27" ht="15.75" customHeight="1" x14ac:dyDescent="0.25">
      <c r="A703" s="81"/>
      <c r="B703" s="81"/>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spans="1:27" ht="15.75" customHeight="1" x14ac:dyDescent="0.25">
      <c r="A704" s="81"/>
      <c r="B704" s="81"/>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spans="1:27" ht="15.75" customHeight="1" x14ac:dyDescent="0.25">
      <c r="A705" s="81"/>
      <c r="B705" s="81"/>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spans="1:27" ht="15.75" customHeight="1" x14ac:dyDescent="0.25">
      <c r="A706" s="81"/>
      <c r="B706" s="81"/>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spans="1:27" ht="15.75" customHeight="1" x14ac:dyDescent="0.25">
      <c r="A707" s="81"/>
      <c r="B707" s="81"/>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spans="1:27" ht="15.75" customHeight="1" x14ac:dyDescent="0.25">
      <c r="A708" s="81"/>
      <c r="B708" s="81"/>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spans="1:27" ht="15.75" customHeight="1" x14ac:dyDescent="0.25">
      <c r="A709" s="81"/>
      <c r="B709" s="81"/>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spans="1:27" ht="15.75" customHeight="1" x14ac:dyDescent="0.25">
      <c r="A710" s="81"/>
      <c r="B710" s="81"/>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spans="1:27" ht="15.75" customHeight="1" x14ac:dyDescent="0.25">
      <c r="A711" s="81"/>
      <c r="B711" s="81"/>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spans="1:27" ht="15.75" customHeight="1" x14ac:dyDescent="0.25">
      <c r="A712" s="81"/>
      <c r="B712" s="81"/>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spans="1:27" ht="15.75" customHeight="1" x14ac:dyDescent="0.25">
      <c r="A713" s="81"/>
      <c r="B713" s="81"/>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spans="1:27" ht="15.75" customHeight="1" x14ac:dyDescent="0.25">
      <c r="A714" s="81"/>
      <c r="B714" s="81"/>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spans="1:27" ht="15.75" customHeight="1" x14ac:dyDescent="0.25">
      <c r="A715" s="81"/>
      <c r="B715" s="81"/>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spans="1:27" ht="15.75" customHeight="1" x14ac:dyDescent="0.25">
      <c r="A716" s="81"/>
      <c r="B716" s="81"/>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spans="1:27" ht="15.75" customHeight="1" x14ac:dyDescent="0.25">
      <c r="A717" s="81"/>
      <c r="B717" s="81"/>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spans="1:27" ht="15.75" customHeight="1" x14ac:dyDescent="0.25">
      <c r="A718" s="81"/>
      <c r="B718" s="81"/>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spans="1:27" ht="15.75" customHeight="1" x14ac:dyDescent="0.25">
      <c r="A719" s="81"/>
      <c r="B719" s="81"/>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spans="1:27" ht="15.75" customHeight="1" x14ac:dyDescent="0.25">
      <c r="A720" s="81"/>
      <c r="B720" s="81"/>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spans="1:27" ht="15.75" customHeight="1" x14ac:dyDescent="0.25">
      <c r="A721" s="81"/>
      <c r="B721" s="81"/>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spans="1:27" ht="15.75" customHeight="1" x14ac:dyDescent="0.25">
      <c r="A722" s="81"/>
      <c r="B722" s="81"/>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spans="1:27" ht="15.75" customHeight="1" x14ac:dyDescent="0.25">
      <c r="A723" s="81"/>
      <c r="B723" s="81"/>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spans="1:27" ht="15.75" customHeight="1" x14ac:dyDescent="0.25">
      <c r="A724" s="81"/>
      <c r="B724" s="81"/>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spans="1:27" ht="15.75" customHeight="1" x14ac:dyDescent="0.25">
      <c r="A725" s="81"/>
      <c r="B725" s="81"/>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spans="1:27" ht="15.75" customHeight="1" x14ac:dyDescent="0.25">
      <c r="A726" s="81"/>
      <c r="B726" s="81"/>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spans="1:27" ht="15.75" customHeight="1" x14ac:dyDescent="0.25">
      <c r="A727" s="81"/>
      <c r="B727" s="81"/>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spans="1:27" ht="15.75" customHeight="1" x14ac:dyDescent="0.25">
      <c r="A728" s="81"/>
      <c r="B728" s="81"/>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spans="1:27" ht="15.75" customHeight="1" x14ac:dyDescent="0.25">
      <c r="A729" s="81"/>
      <c r="B729" s="81"/>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spans="1:27" ht="15.75" customHeight="1" x14ac:dyDescent="0.25">
      <c r="A730" s="81"/>
      <c r="B730" s="81"/>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spans="1:27" ht="15.75" customHeight="1" x14ac:dyDescent="0.25">
      <c r="A731" s="81"/>
      <c r="B731" s="81"/>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spans="1:27" ht="15.75" customHeight="1" x14ac:dyDescent="0.25">
      <c r="A732" s="81"/>
      <c r="B732" s="81"/>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spans="1:27" ht="15.75" customHeight="1" x14ac:dyDescent="0.25">
      <c r="A733" s="81"/>
      <c r="B733" s="81"/>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spans="1:27" ht="15.75" customHeight="1" x14ac:dyDescent="0.25">
      <c r="A734" s="81"/>
      <c r="B734" s="81"/>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spans="1:27" ht="15.75" customHeight="1" x14ac:dyDescent="0.25">
      <c r="A735" s="81"/>
      <c r="B735" s="81"/>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spans="1:27" ht="15.75" customHeight="1" x14ac:dyDescent="0.25">
      <c r="A736" s="81"/>
      <c r="B736" s="81"/>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spans="1:27" ht="15.75" customHeight="1" x14ac:dyDescent="0.25">
      <c r="A737" s="81"/>
      <c r="B737" s="81"/>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spans="1:27" ht="15.75" customHeight="1" x14ac:dyDescent="0.25">
      <c r="A738" s="81"/>
      <c r="B738" s="81"/>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spans="1:27" ht="15.75" customHeight="1" x14ac:dyDescent="0.25">
      <c r="A739" s="81"/>
      <c r="B739" s="81"/>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spans="1:27" ht="15.75" customHeight="1" x14ac:dyDescent="0.25">
      <c r="A740" s="81"/>
      <c r="B740" s="81"/>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spans="1:27" ht="15.75" customHeight="1" x14ac:dyDescent="0.25">
      <c r="A741" s="81"/>
      <c r="B741" s="81"/>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spans="1:27" ht="15.75" customHeight="1" x14ac:dyDescent="0.25">
      <c r="A742" s="81"/>
      <c r="B742" s="81"/>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spans="1:27" ht="15.75" customHeight="1" x14ac:dyDescent="0.25">
      <c r="A743" s="81"/>
      <c r="B743" s="81"/>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spans="1:27" ht="15.75" customHeight="1" x14ac:dyDescent="0.25">
      <c r="A744" s="81"/>
      <c r="B744" s="81"/>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spans="1:27" ht="15.75" customHeight="1" x14ac:dyDescent="0.25">
      <c r="A745" s="81"/>
      <c r="B745" s="81"/>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spans="1:27" ht="15.75" customHeight="1" x14ac:dyDescent="0.25">
      <c r="A746" s="81"/>
      <c r="B746" s="81"/>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spans="1:27" ht="15.75" customHeight="1" x14ac:dyDescent="0.25">
      <c r="A747" s="81"/>
      <c r="B747" s="81"/>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spans="1:27" ht="15.75" customHeight="1" x14ac:dyDescent="0.25">
      <c r="A748" s="81"/>
      <c r="B748" s="81"/>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spans="1:27" ht="15.75" customHeight="1" x14ac:dyDescent="0.25">
      <c r="A749" s="81"/>
      <c r="B749" s="81"/>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spans="1:27" ht="15.75" customHeight="1" x14ac:dyDescent="0.25">
      <c r="A750" s="81"/>
      <c r="B750" s="81"/>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spans="1:27" ht="15.75" customHeight="1" x14ac:dyDescent="0.25">
      <c r="A751" s="81"/>
      <c r="B751" s="81"/>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spans="1:27" ht="15.75" customHeight="1" x14ac:dyDescent="0.25">
      <c r="A752" s="81"/>
      <c r="B752" s="81"/>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spans="1:27" ht="15.75" customHeight="1" x14ac:dyDescent="0.25">
      <c r="A753" s="81"/>
      <c r="B753" s="81"/>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spans="1:27" ht="15.75" customHeight="1" x14ac:dyDescent="0.25">
      <c r="A754" s="81"/>
      <c r="B754" s="81"/>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spans="1:27" ht="15.75" customHeight="1" x14ac:dyDescent="0.25">
      <c r="A755" s="81"/>
      <c r="B755" s="81"/>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spans="1:27" ht="15.75" customHeight="1" x14ac:dyDescent="0.25">
      <c r="A756" s="81"/>
      <c r="B756" s="81"/>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spans="1:27" ht="15.75" customHeight="1" x14ac:dyDescent="0.25">
      <c r="A757" s="81"/>
      <c r="B757" s="81"/>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spans="1:27" ht="15.75" customHeight="1" x14ac:dyDescent="0.25">
      <c r="A758" s="81"/>
      <c r="B758" s="81"/>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spans="1:27" ht="15.75" customHeight="1" x14ac:dyDescent="0.25">
      <c r="A759" s="81"/>
      <c r="B759" s="81"/>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spans="1:27" ht="15.75" customHeight="1" x14ac:dyDescent="0.25">
      <c r="A760" s="81"/>
      <c r="B760" s="81"/>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spans="1:27" ht="15.75" customHeight="1" x14ac:dyDescent="0.25">
      <c r="A761" s="81"/>
      <c r="B761" s="81"/>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spans="1:27" ht="15.75" customHeight="1" x14ac:dyDescent="0.25">
      <c r="A762" s="81"/>
      <c r="B762" s="81"/>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spans="1:27" ht="15.75" customHeight="1" x14ac:dyDescent="0.25">
      <c r="A763" s="81"/>
      <c r="B763" s="81"/>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spans="1:27" ht="15.75" customHeight="1" x14ac:dyDescent="0.25">
      <c r="A764" s="81"/>
      <c r="B764" s="81"/>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spans="1:27" ht="15.75" customHeight="1" x14ac:dyDescent="0.25">
      <c r="A765" s="81"/>
      <c r="B765" s="81"/>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spans="1:27" ht="15.75" customHeight="1" x14ac:dyDescent="0.25">
      <c r="A766" s="81"/>
      <c r="B766" s="81"/>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spans="1:27" ht="15.75" customHeight="1" x14ac:dyDescent="0.25">
      <c r="A767" s="81"/>
      <c r="B767" s="81"/>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spans="1:27" ht="15.75" customHeight="1" x14ac:dyDescent="0.25">
      <c r="A768" s="81"/>
      <c r="B768" s="81"/>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spans="1:27" ht="15.75" customHeight="1" x14ac:dyDescent="0.25">
      <c r="A769" s="81"/>
      <c r="B769" s="81"/>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spans="1:27" ht="15.75" customHeight="1" x14ac:dyDescent="0.25">
      <c r="A770" s="81"/>
      <c r="B770" s="81"/>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spans="1:27" ht="15.75" customHeight="1" x14ac:dyDescent="0.25">
      <c r="A771" s="81"/>
      <c r="B771" s="81"/>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spans="1:27" ht="15.75" customHeight="1" x14ac:dyDescent="0.25">
      <c r="A772" s="81"/>
      <c r="B772" s="81"/>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spans="1:27" ht="15.75" customHeight="1" x14ac:dyDescent="0.25">
      <c r="A773" s="81"/>
      <c r="B773" s="81"/>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spans="1:27" ht="15.75" customHeight="1" x14ac:dyDescent="0.25">
      <c r="A774" s="81"/>
      <c r="B774" s="81"/>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spans="1:27" ht="15.75" customHeight="1" x14ac:dyDescent="0.25">
      <c r="A775" s="81"/>
      <c r="B775" s="81"/>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spans="1:27" ht="15.75" customHeight="1" x14ac:dyDescent="0.25">
      <c r="A776" s="81"/>
      <c r="B776" s="81"/>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spans="1:27" ht="15.75" customHeight="1" x14ac:dyDescent="0.25">
      <c r="A777" s="81"/>
      <c r="B777" s="81"/>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spans="1:27" ht="15.75" customHeight="1" x14ac:dyDescent="0.25">
      <c r="A778" s="81"/>
      <c r="B778" s="81"/>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spans="1:27" ht="15.75" customHeight="1" x14ac:dyDescent="0.25">
      <c r="A779" s="81"/>
      <c r="B779" s="81"/>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spans="1:27" ht="15.75" customHeight="1" x14ac:dyDescent="0.25">
      <c r="A780" s="81"/>
      <c r="B780" s="81"/>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spans="1:27" ht="15.75" customHeight="1" x14ac:dyDescent="0.25">
      <c r="A781" s="81"/>
      <c r="B781" s="81"/>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spans="1:27" ht="15.75" customHeight="1" x14ac:dyDescent="0.25">
      <c r="A782" s="81"/>
      <c r="B782" s="81"/>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spans="1:27" ht="15.75" customHeight="1" x14ac:dyDescent="0.25">
      <c r="A783" s="81"/>
      <c r="B783" s="81"/>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spans="1:27" ht="15.75" customHeight="1" x14ac:dyDescent="0.25">
      <c r="A784" s="81"/>
      <c r="B784" s="81"/>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spans="1:27" ht="15.75" customHeight="1" x14ac:dyDescent="0.25">
      <c r="A785" s="81"/>
      <c r="B785" s="81"/>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spans="1:27" ht="15.75" customHeight="1" x14ac:dyDescent="0.25">
      <c r="A786" s="81"/>
      <c r="B786" s="81"/>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spans="1:27" ht="15.75" customHeight="1" x14ac:dyDescent="0.25">
      <c r="A787" s="81"/>
      <c r="B787" s="81"/>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spans="1:27" ht="15.75" customHeight="1" x14ac:dyDescent="0.25">
      <c r="A788" s="81"/>
      <c r="B788" s="81"/>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spans="1:27" ht="15.75" customHeight="1" x14ac:dyDescent="0.25">
      <c r="A789" s="81"/>
      <c r="B789" s="81"/>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spans="1:27" ht="15.75" customHeight="1" x14ac:dyDescent="0.25">
      <c r="A790" s="81"/>
      <c r="B790" s="81"/>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spans="1:27" ht="15.75" customHeight="1" x14ac:dyDescent="0.25">
      <c r="A791" s="81"/>
      <c r="B791" s="81"/>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spans="1:27" ht="15.75" customHeight="1" x14ac:dyDescent="0.25">
      <c r="A792" s="81"/>
      <c r="B792" s="81"/>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spans="1:27" ht="15.75" customHeight="1" x14ac:dyDescent="0.25">
      <c r="A793" s="81"/>
      <c r="B793" s="81"/>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spans="1:27" ht="15.75" customHeight="1" x14ac:dyDescent="0.25">
      <c r="A794" s="81"/>
      <c r="B794" s="81"/>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spans="1:27" ht="15.75" customHeight="1" x14ac:dyDescent="0.25">
      <c r="A795" s="81"/>
      <c r="B795" s="81"/>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spans="1:27" ht="15.75" customHeight="1" x14ac:dyDescent="0.25">
      <c r="A796" s="81"/>
      <c r="B796" s="81"/>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spans="1:27" ht="15.75" customHeight="1" x14ac:dyDescent="0.25">
      <c r="A797" s="81"/>
      <c r="B797" s="81"/>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spans="1:27" ht="15.75" customHeight="1" x14ac:dyDescent="0.25">
      <c r="A798" s="81"/>
      <c r="B798" s="81"/>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spans="1:27" ht="15.75" customHeight="1" x14ac:dyDescent="0.25">
      <c r="A799" s="81"/>
      <c r="B799" s="81"/>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spans="1:27" ht="15.75" customHeight="1" x14ac:dyDescent="0.25">
      <c r="A800" s="81"/>
      <c r="B800" s="81"/>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spans="1:27" ht="15.75" customHeight="1" x14ac:dyDescent="0.25">
      <c r="A801" s="81"/>
      <c r="B801" s="81"/>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spans="1:27" ht="15.75" customHeight="1" x14ac:dyDescent="0.25">
      <c r="A802" s="81"/>
      <c r="B802" s="81"/>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spans="1:27" ht="15.75" customHeight="1" x14ac:dyDescent="0.25">
      <c r="A803" s="81"/>
      <c r="B803" s="81"/>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spans="1:27" ht="15.75" customHeight="1" x14ac:dyDescent="0.25">
      <c r="A804" s="81"/>
      <c r="B804" s="81"/>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spans="1:27" ht="15.75" customHeight="1" x14ac:dyDescent="0.25">
      <c r="A805" s="81"/>
      <c r="B805" s="81"/>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spans="1:27" ht="15.75" customHeight="1" x14ac:dyDescent="0.25">
      <c r="A806" s="81"/>
      <c r="B806" s="81"/>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spans="1:27" ht="15.75" customHeight="1" x14ac:dyDescent="0.25">
      <c r="A807" s="81"/>
      <c r="B807" s="81"/>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spans="1:27" ht="15.75" customHeight="1" x14ac:dyDescent="0.25">
      <c r="A808" s="81"/>
      <c r="B808" s="81"/>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spans="1:27" ht="15.75" customHeight="1" x14ac:dyDescent="0.25">
      <c r="A809" s="81"/>
      <c r="B809" s="81"/>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spans="1:27" ht="15.75" customHeight="1" x14ac:dyDescent="0.25">
      <c r="A810" s="81"/>
      <c r="B810" s="81"/>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spans="1:27" ht="15.75" customHeight="1" x14ac:dyDescent="0.25">
      <c r="A811" s="81"/>
      <c r="B811" s="81"/>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spans="1:27" ht="15.75" customHeight="1" x14ac:dyDescent="0.25">
      <c r="A812" s="81"/>
      <c r="B812" s="81"/>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spans="1:27" ht="15.75" customHeight="1" x14ac:dyDescent="0.25">
      <c r="A813" s="81"/>
      <c r="B813" s="81"/>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spans="1:27" ht="15.75" customHeight="1" x14ac:dyDescent="0.25">
      <c r="A814" s="81"/>
      <c r="B814" s="81"/>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spans="1:27" ht="15.75" customHeight="1" x14ac:dyDescent="0.25">
      <c r="A815" s="81"/>
      <c r="B815" s="81"/>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spans="1:27" ht="15.75" customHeight="1" x14ac:dyDescent="0.25">
      <c r="A816" s="81"/>
      <c r="B816" s="81"/>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spans="1:27" ht="15.75" customHeight="1" x14ac:dyDescent="0.25">
      <c r="A817" s="81"/>
      <c r="B817" s="81"/>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spans="1:27" ht="15.75" customHeight="1" x14ac:dyDescent="0.25">
      <c r="A818" s="81"/>
      <c r="B818" s="81"/>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spans="1:27" ht="15.75" customHeight="1" x14ac:dyDescent="0.25">
      <c r="A819" s="81"/>
      <c r="B819" s="81"/>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spans="1:27" ht="15.75" customHeight="1" x14ac:dyDescent="0.25">
      <c r="A820" s="81"/>
      <c r="B820" s="81"/>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spans="1:27" ht="15.75" customHeight="1" x14ac:dyDescent="0.25">
      <c r="A821" s="81"/>
      <c r="B821" s="81"/>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spans="1:27" ht="15.75" customHeight="1" x14ac:dyDescent="0.25">
      <c r="A822" s="81"/>
      <c r="B822" s="81"/>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spans="1:27" ht="15.75" customHeight="1" x14ac:dyDescent="0.25">
      <c r="A823" s="81"/>
      <c r="B823" s="81"/>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spans="1:27" ht="15.75" customHeight="1" x14ac:dyDescent="0.25">
      <c r="A824" s="81"/>
      <c r="B824" s="81"/>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spans="1:27" ht="15.75" customHeight="1" x14ac:dyDescent="0.25">
      <c r="A825" s="81"/>
      <c r="B825" s="81"/>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spans="1:27" ht="15.75" customHeight="1" x14ac:dyDescent="0.25">
      <c r="A826" s="81"/>
      <c r="B826" s="81"/>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spans="1:27" ht="15.75" customHeight="1" x14ac:dyDescent="0.25">
      <c r="A827" s="81"/>
      <c r="B827" s="81"/>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spans="1:27" ht="15.75" customHeight="1" x14ac:dyDescent="0.25">
      <c r="A828" s="81"/>
      <c r="B828" s="81"/>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spans="1:27" ht="15.75" customHeight="1" x14ac:dyDescent="0.25">
      <c r="A829" s="81"/>
      <c r="B829" s="81"/>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spans="1:27" ht="15.75" customHeight="1" x14ac:dyDescent="0.25">
      <c r="A830" s="81"/>
      <c r="B830" s="81"/>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spans="1:27" ht="15.75" customHeight="1" x14ac:dyDescent="0.25">
      <c r="A831" s="81"/>
      <c r="B831" s="81"/>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spans="1:27" ht="15.75" customHeight="1" x14ac:dyDescent="0.25">
      <c r="A832" s="81"/>
      <c r="B832" s="81"/>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spans="1:27" ht="15.75" customHeight="1" x14ac:dyDescent="0.25">
      <c r="A833" s="81"/>
      <c r="B833" s="81"/>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spans="1:27" ht="15.75" customHeight="1" x14ac:dyDescent="0.25">
      <c r="A834" s="81"/>
      <c r="B834" s="81"/>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spans="1:27" ht="15.75" customHeight="1" x14ac:dyDescent="0.25">
      <c r="A835" s="81"/>
      <c r="B835" s="81"/>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spans="1:27" ht="15.75" customHeight="1" x14ac:dyDescent="0.25">
      <c r="A836" s="81"/>
      <c r="B836" s="81"/>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spans="1:27" ht="15.75" customHeight="1" x14ac:dyDescent="0.25">
      <c r="A837" s="81"/>
      <c r="B837" s="81"/>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spans="1:27" ht="15.75" customHeight="1" x14ac:dyDescent="0.25">
      <c r="A838" s="81"/>
      <c r="B838" s="81"/>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spans="1:27" ht="15.75" customHeight="1" x14ac:dyDescent="0.25">
      <c r="A839" s="81"/>
      <c r="B839" s="81"/>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spans="1:27" ht="15.75" customHeight="1" x14ac:dyDescent="0.25">
      <c r="A840" s="81"/>
      <c r="B840" s="81"/>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spans="1:27" ht="15.75" customHeight="1" x14ac:dyDescent="0.25">
      <c r="A841" s="81"/>
      <c r="B841" s="81"/>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spans="1:27" ht="15.75" customHeight="1" x14ac:dyDescent="0.25">
      <c r="A842" s="81"/>
      <c r="B842" s="81"/>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spans="1:27" ht="15.75" customHeight="1" x14ac:dyDescent="0.25">
      <c r="A843" s="81"/>
      <c r="B843" s="81"/>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spans="1:27" ht="15.75" customHeight="1" x14ac:dyDescent="0.25">
      <c r="A844" s="81"/>
      <c r="B844" s="81"/>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spans="1:27" ht="15.75" customHeight="1" x14ac:dyDescent="0.25">
      <c r="A845" s="81"/>
      <c r="B845" s="81"/>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spans="1:27" ht="15.75" customHeight="1" x14ac:dyDescent="0.25">
      <c r="A846" s="81"/>
      <c r="B846" s="81"/>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spans="1:27" ht="15.75" customHeight="1" x14ac:dyDescent="0.25">
      <c r="A847" s="81"/>
      <c r="B847" s="81"/>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spans="1:27" ht="15.75" customHeight="1" x14ac:dyDescent="0.25">
      <c r="A848" s="81"/>
      <c r="B848" s="81"/>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spans="1:27" ht="15.75" customHeight="1" x14ac:dyDescent="0.25">
      <c r="A849" s="81"/>
      <c r="B849" s="81"/>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spans="1:27" ht="15.75" customHeight="1" x14ac:dyDescent="0.25">
      <c r="A850" s="81"/>
      <c r="B850" s="81"/>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spans="1:27" ht="15.75" customHeight="1" x14ac:dyDescent="0.25">
      <c r="A851" s="81"/>
      <c r="B851" s="81"/>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spans="1:27" ht="15.75" customHeight="1" x14ac:dyDescent="0.25">
      <c r="A852" s="81"/>
      <c r="B852" s="81"/>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spans="1:27" ht="15.75" customHeight="1" x14ac:dyDescent="0.25">
      <c r="A853" s="81"/>
      <c r="B853" s="81"/>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spans="1:27" ht="15.75" customHeight="1" x14ac:dyDescent="0.25">
      <c r="A854" s="81"/>
      <c r="B854" s="81"/>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spans="1:27" ht="15.75" customHeight="1" x14ac:dyDescent="0.25">
      <c r="A855" s="81"/>
      <c r="B855" s="81"/>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spans="1:27" ht="15.75" customHeight="1" x14ac:dyDescent="0.25">
      <c r="A856" s="81"/>
      <c r="B856" s="81"/>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spans="1:27" ht="15.75" customHeight="1" x14ac:dyDescent="0.25">
      <c r="A857" s="81"/>
      <c r="B857" s="81"/>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spans="1:27" ht="15.75" customHeight="1" x14ac:dyDescent="0.25">
      <c r="A858" s="81"/>
      <c r="B858" s="81"/>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spans="1:27" ht="15.75" customHeight="1" x14ac:dyDescent="0.25">
      <c r="A859" s="81"/>
      <c r="B859" s="81"/>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spans="1:27" ht="15.75" customHeight="1" x14ac:dyDescent="0.25">
      <c r="A860" s="81"/>
      <c r="B860" s="81"/>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spans="1:27" ht="15.75" customHeight="1" x14ac:dyDescent="0.25">
      <c r="A861" s="81"/>
      <c r="B861" s="81"/>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spans="1:27" ht="15.75" customHeight="1" x14ac:dyDescent="0.25">
      <c r="A862" s="81"/>
      <c r="B862" s="81"/>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spans="1:27" ht="15.75" customHeight="1" x14ac:dyDescent="0.25">
      <c r="A863" s="81"/>
      <c r="B863" s="81"/>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spans="1:27" ht="15.75" customHeight="1" x14ac:dyDescent="0.25">
      <c r="A864" s="81"/>
      <c r="B864" s="81"/>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spans="1:27" ht="15.75" customHeight="1" x14ac:dyDescent="0.25">
      <c r="A865" s="81"/>
      <c r="B865" s="81"/>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spans="1:27" ht="15.75" customHeight="1" x14ac:dyDescent="0.25">
      <c r="A866" s="81"/>
      <c r="B866" s="81"/>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spans="1:27" ht="15.75" customHeight="1" x14ac:dyDescent="0.25">
      <c r="A867" s="81"/>
      <c r="B867" s="81"/>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spans="1:27" ht="15.75" customHeight="1" x14ac:dyDescent="0.25">
      <c r="A868" s="81"/>
      <c r="B868" s="81"/>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spans="1:27" ht="15.75" customHeight="1" x14ac:dyDescent="0.25">
      <c r="A869" s="81"/>
      <c r="B869" s="81"/>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spans="1:27" ht="15.75" customHeight="1" x14ac:dyDescent="0.25">
      <c r="A870" s="81"/>
      <c r="B870" s="81"/>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spans="1:27" ht="15.75" customHeight="1" x14ac:dyDescent="0.25">
      <c r="A871" s="81"/>
      <c r="B871" s="81"/>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spans="1:27" ht="15.75" customHeight="1" x14ac:dyDescent="0.25">
      <c r="A872" s="81"/>
      <c r="B872" s="81"/>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spans="1:27" ht="15.75" customHeight="1" x14ac:dyDescent="0.25">
      <c r="A873" s="81"/>
      <c r="B873" s="81"/>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spans="1:27" ht="15.75" customHeight="1" x14ac:dyDescent="0.25">
      <c r="A874" s="81"/>
      <c r="B874" s="81"/>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spans="1:27" ht="15.75" customHeight="1" x14ac:dyDescent="0.25">
      <c r="A875" s="81"/>
      <c r="B875" s="81"/>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spans="1:27" ht="15.75" customHeight="1" x14ac:dyDescent="0.25">
      <c r="A876" s="81"/>
      <c r="B876" s="81"/>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spans="1:27" ht="15.75" customHeight="1" x14ac:dyDescent="0.25">
      <c r="A877" s="81"/>
      <c r="B877" s="81"/>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spans="1:27" ht="15.75" customHeight="1" x14ac:dyDescent="0.25">
      <c r="A878" s="81"/>
      <c r="B878" s="81"/>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spans="1:27" ht="15.75" customHeight="1" x14ac:dyDescent="0.25">
      <c r="A879" s="81"/>
      <c r="B879" s="81"/>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spans="1:27" ht="15.75" customHeight="1" x14ac:dyDescent="0.25">
      <c r="A880" s="81"/>
      <c r="B880" s="81"/>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spans="1:27" ht="15.75" customHeight="1" x14ac:dyDescent="0.25">
      <c r="A881" s="81"/>
      <c r="B881" s="81"/>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spans="1:27" ht="15.75" customHeight="1" x14ac:dyDescent="0.25">
      <c r="A882" s="81"/>
      <c r="B882" s="81"/>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spans="1:27" ht="15.75" customHeight="1" x14ac:dyDescent="0.25">
      <c r="A883" s="81"/>
      <c r="B883" s="81"/>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spans="1:27" ht="15.75" customHeight="1" x14ac:dyDescent="0.25">
      <c r="A884" s="81"/>
      <c r="B884" s="81"/>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spans="1:27" ht="15.75" customHeight="1" x14ac:dyDescent="0.25">
      <c r="A885" s="81"/>
      <c r="B885" s="81"/>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spans="1:27" ht="15.75" customHeight="1" x14ac:dyDescent="0.25">
      <c r="A886" s="81"/>
      <c r="B886" s="81"/>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spans="1:27" ht="15.75" customHeight="1" x14ac:dyDescent="0.25">
      <c r="A887" s="81"/>
      <c r="B887" s="81"/>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spans="1:27" ht="15.75" customHeight="1" x14ac:dyDescent="0.25">
      <c r="A888" s="81"/>
      <c r="B888" s="81"/>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spans="1:27" ht="15.75" customHeight="1" x14ac:dyDescent="0.25">
      <c r="A889" s="81"/>
      <c r="B889" s="81"/>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spans="1:27" ht="15.75" customHeight="1" x14ac:dyDescent="0.25">
      <c r="A890" s="81"/>
      <c r="B890" s="81"/>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spans="1:27" ht="15.75" customHeight="1" x14ac:dyDescent="0.25">
      <c r="A891" s="81"/>
      <c r="B891" s="81"/>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spans="1:27" ht="15.75" customHeight="1" x14ac:dyDescent="0.25">
      <c r="A892" s="81"/>
      <c r="B892" s="81"/>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spans="1:27" ht="15.75" customHeight="1" x14ac:dyDescent="0.25">
      <c r="A893" s="81"/>
      <c r="B893" s="81"/>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spans="1:27" ht="15.75" customHeight="1" x14ac:dyDescent="0.25">
      <c r="A894" s="81"/>
      <c r="B894" s="81"/>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spans="1:27" ht="15.75" customHeight="1" x14ac:dyDescent="0.25">
      <c r="A895" s="81"/>
      <c r="B895" s="81"/>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spans="1:27" ht="15.75" customHeight="1" x14ac:dyDescent="0.25">
      <c r="A896" s="81"/>
      <c r="B896" s="81"/>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spans="1:27" ht="15.75" customHeight="1" x14ac:dyDescent="0.25">
      <c r="A897" s="81"/>
      <c r="B897" s="81"/>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spans="1:27" ht="15.75" customHeight="1" x14ac:dyDescent="0.25">
      <c r="A898" s="81"/>
      <c r="B898" s="81"/>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spans="1:27" ht="15.75" customHeight="1" x14ac:dyDescent="0.25">
      <c r="A899" s="81"/>
      <c r="B899" s="81"/>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spans="1:27" ht="15.75" customHeight="1" x14ac:dyDescent="0.25">
      <c r="A900" s="81"/>
      <c r="B900" s="81"/>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spans="1:27" ht="15.75" customHeight="1" x14ac:dyDescent="0.25">
      <c r="A901" s="81"/>
      <c r="B901" s="81"/>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spans="1:27" ht="15.75" customHeight="1" x14ac:dyDescent="0.25">
      <c r="A902" s="81"/>
      <c r="B902" s="81"/>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spans="1:27" ht="15.75" customHeight="1" x14ac:dyDescent="0.25">
      <c r="A903" s="81"/>
      <c r="B903" s="81"/>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spans="1:27" ht="15.75" customHeight="1" x14ac:dyDescent="0.25">
      <c r="A904" s="81"/>
      <c r="B904" s="81"/>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spans="1:27" ht="15.75" customHeight="1" x14ac:dyDescent="0.25">
      <c r="A905" s="81"/>
      <c r="B905" s="81"/>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spans="1:27" ht="15.75" customHeight="1" x14ac:dyDescent="0.25">
      <c r="A906" s="81"/>
      <c r="B906" s="81"/>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spans="1:27" ht="15.75" customHeight="1" x14ac:dyDescent="0.25">
      <c r="A907" s="81"/>
      <c r="B907" s="81"/>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spans="1:27" ht="15.75" customHeight="1" x14ac:dyDescent="0.25">
      <c r="A908" s="81"/>
      <c r="B908" s="81"/>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spans="1:27" ht="15.75" customHeight="1" x14ac:dyDescent="0.25">
      <c r="A909" s="81"/>
      <c r="B909" s="81"/>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spans="1:27" ht="15.75" customHeight="1" x14ac:dyDescent="0.25">
      <c r="A910" s="81"/>
      <c r="B910" s="81"/>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spans="1:27" ht="15.75" customHeight="1" x14ac:dyDescent="0.25">
      <c r="A911" s="81"/>
      <c r="B911" s="81"/>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spans="1:27" ht="15.75" customHeight="1" x14ac:dyDescent="0.25">
      <c r="A912" s="81"/>
      <c r="B912" s="81"/>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spans="1:27" ht="15.75" customHeight="1" x14ac:dyDescent="0.25">
      <c r="A913" s="81"/>
      <c r="B913" s="81"/>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spans="1:27" ht="15.75" customHeight="1" x14ac:dyDescent="0.25">
      <c r="A914" s="81"/>
      <c r="B914" s="81"/>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spans="1:27" ht="15.75" customHeight="1" x14ac:dyDescent="0.25">
      <c r="A915" s="81"/>
      <c r="B915" s="81"/>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spans="1:27" ht="15.75" customHeight="1" x14ac:dyDescent="0.25">
      <c r="A916" s="81"/>
      <c r="B916" s="81"/>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spans="1:27" ht="15.75" customHeight="1" x14ac:dyDescent="0.25">
      <c r="A917" s="81"/>
      <c r="B917" s="81"/>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spans="1:27" ht="15.75" customHeight="1" x14ac:dyDescent="0.25">
      <c r="A918" s="81"/>
      <c r="B918" s="81"/>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spans="1:27" ht="15.75" customHeight="1" x14ac:dyDescent="0.25">
      <c r="A919" s="81"/>
      <c r="B919" s="81"/>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spans="1:27" ht="15.75" customHeight="1" x14ac:dyDescent="0.25">
      <c r="A920" s="81"/>
      <c r="B920" s="81"/>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spans="1:27" ht="15.75" customHeight="1" x14ac:dyDescent="0.25">
      <c r="A921" s="81"/>
      <c r="B921" s="81"/>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spans="1:27" ht="15.75" customHeight="1" x14ac:dyDescent="0.25">
      <c r="A922" s="81"/>
      <c r="B922" s="81"/>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spans="1:27" ht="15.75" customHeight="1" x14ac:dyDescent="0.25">
      <c r="A923" s="81"/>
      <c r="B923" s="81"/>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spans="1:27" ht="15.75" customHeight="1" x14ac:dyDescent="0.25">
      <c r="A924" s="81"/>
      <c r="B924" s="81"/>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spans="1:27" ht="15.75" customHeight="1" x14ac:dyDescent="0.25">
      <c r="A925" s="81"/>
      <c r="B925" s="81"/>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spans="1:27" ht="15.75" customHeight="1" x14ac:dyDescent="0.25">
      <c r="A926" s="81"/>
      <c r="B926" s="81"/>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spans="1:27" ht="15.75" customHeight="1" x14ac:dyDescent="0.25">
      <c r="A927" s="81"/>
      <c r="B927" s="81"/>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spans="1:27" ht="15.75" customHeight="1" x14ac:dyDescent="0.25">
      <c r="A928" s="81"/>
      <c r="B928" s="81"/>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spans="1:27" ht="15.75" customHeight="1" x14ac:dyDescent="0.25">
      <c r="A929" s="81"/>
      <c r="B929" s="81"/>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spans="1:27" ht="15.75" customHeight="1" x14ac:dyDescent="0.25">
      <c r="A930" s="81"/>
      <c r="B930" s="81"/>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spans="1:27" ht="15.75" customHeight="1" x14ac:dyDescent="0.25">
      <c r="A931" s="81"/>
      <c r="B931" s="81"/>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spans="1:27" ht="15.75" customHeight="1" x14ac:dyDescent="0.25">
      <c r="A932" s="81"/>
      <c r="B932" s="81"/>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spans="1:27" ht="15.75" customHeight="1" x14ac:dyDescent="0.25">
      <c r="A933" s="81"/>
      <c r="B933" s="81"/>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spans="1:27" ht="15.75" customHeight="1" x14ac:dyDescent="0.25">
      <c r="A934" s="81"/>
      <c r="B934" s="81"/>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spans="1:27" ht="15.75" customHeight="1" x14ac:dyDescent="0.25">
      <c r="A935" s="81"/>
      <c r="B935" s="81"/>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spans="1:27" ht="15.75" customHeight="1" x14ac:dyDescent="0.25">
      <c r="A936" s="81"/>
      <c r="B936" s="81"/>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spans="1:27" ht="15.75" customHeight="1" x14ac:dyDescent="0.25">
      <c r="A937" s="81"/>
      <c r="B937" s="81"/>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spans="1:27" ht="15.75" customHeight="1" x14ac:dyDescent="0.25">
      <c r="A938" s="81"/>
      <c r="B938" s="81"/>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spans="1:27" ht="15.75" customHeight="1" x14ac:dyDescent="0.25">
      <c r="A939" s="81"/>
      <c r="B939" s="81"/>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spans="1:27" ht="15.75" customHeight="1" x14ac:dyDescent="0.25">
      <c r="A940" s="81"/>
      <c r="B940" s="81"/>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spans="1:27" ht="15.75" customHeight="1" x14ac:dyDescent="0.25">
      <c r="A941" s="81"/>
      <c r="B941" s="81"/>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spans="1:27" ht="15.75" customHeight="1" x14ac:dyDescent="0.25">
      <c r="A942" s="81"/>
      <c r="B942" s="81"/>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spans="1:27" ht="15.75" customHeight="1" x14ac:dyDescent="0.25">
      <c r="A943" s="81"/>
      <c r="B943" s="81"/>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spans="1:27" ht="15.75" customHeight="1" x14ac:dyDescent="0.25">
      <c r="A944" s="81"/>
      <c r="B944" s="81"/>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spans="1:27" ht="15.75" customHeight="1" x14ac:dyDescent="0.25">
      <c r="A945" s="81"/>
      <c r="B945" s="81"/>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spans="1:27" ht="15.75" customHeight="1" x14ac:dyDescent="0.25">
      <c r="A946" s="81"/>
      <c r="B946" s="81"/>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spans="1:27" ht="15.75" customHeight="1" x14ac:dyDescent="0.25">
      <c r="A947" s="81"/>
      <c r="B947" s="81"/>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spans="1:27" ht="15.75" customHeight="1" x14ac:dyDescent="0.25">
      <c r="A948" s="81"/>
      <c r="B948" s="81"/>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spans="1:27" ht="15.75" customHeight="1" x14ac:dyDescent="0.25">
      <c r="A949" s="81"/>
      <c r="B949" s="81"/>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spans="1:27" ht="15.75" customHeight="1" x14ac:dyDescent="0.25">
      <c r="A950" s="81"/>
      <c r="B950" s="81"/>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spans="1:27" ht="15.75" customHeight="1" x14ac:dyDescent="0.25">
      <c r="A951" s="81"/>
      <c r="B951" s="81"/>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spans="1:27" ht="15.75" customHeight="1" x14ac:dyDescent="0.25">
      <c r="A952" s="81"/>
      <c r="B952" s="81"/>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spans="1:27" ht="15.75" customHeight="1" x14ac:dyDescent="0.25">
      <c r="A953" s="81"/>
      <c r="B953" s="81"/>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spans="1:27" ht="15.75" customHeight="1" x14ac:dyDescent="0.25">
      <c r="A954" s="81"/>
      <c r="B954" s="81"/>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spans="1:27" ht="15.75" customHeight="1" x14ac:dyDescent="0.25">
      <c r="A955" s="81"/>
      <c r="B955" s="81"/>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spans="1:27" ht="15.75" customHeight="1" x14ac:dyDescent="0.25">
      <c r="A956" s="81"/>
      <c r="B956" s="81"/>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spans="1:27" ht="15.75" customHeight="1" x14ac:dyDescent="0.25">
      <c r="A957" s="81"/>
      <c r="B957" s="81"/>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spans="1:27" ht="15.75" customHeight="1" x14ac:dyDescent="0.25">
      <c r="A958" s="81"/>
      <c r="B958" s="81"/>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spans="1:27" ht="15.75" customHeight="1" x14ac:dyDescent="0.25">
      <c r="A959" s="81"/>
      <c r="B959" s="81"/>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spans="1:27" ht="15.75" customHeight="1" x14ac:dyDescent="0.25">
      <c r="A960" s="81"/>
      <c r="B960" s="81"/>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spans="1:27" ht="15.75" customHeight="1" x14ac:dyDescent="0.25">
      <c r="A961" s="81"/>
      <c r="B961" s="81"/>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spans="1:27" ht="15.75" customHeight="1" x14ac:dyDescent="0.25">
      <c r="A962" s="81"/>
      <c r="B962" s="81"/>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spans="1:27" ht="15.75" customHeight="1" x14ac:dyDescent="0.25">
      <c r="A963" s="81"/>
      <c r="B963" s="81"/>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spans="1:27" ht="15.75" customHeight="1" x14ac:dyDescent="0.25">
      <c r="A964" s="81"/>
      <c r="B964" s="81"/>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spans="1:27" ht="15.75" customHeight="1" x14ac:dyDescent="0.25">
      <c r="A965" s="81"/>
      <c r="B965" s="81"/>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spans="1:27" ht="15.75" customHeight="1" x14ac:dyDescent="0.25">
      <c r="A966" s="81"/>
      <c r="B966" s="81"/>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spans="1:27" ht="15.75" customHeight="1" x14ac:dyDescent="0.25">
      <c r="A967" s="81"/>
      <c r="B967" s="81"/>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spans="1:27" ht="15.75" customHeight="1" x14ac:dyDescent="0.25">
      <c r="A968" s="81"/>
      <c r="B968" s="81"/>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spans="1:27" ht="15.75" customHeight="1" x14ac:dyDescent="0.25">
      <c r="A969" s="81"/>
      <c r="B969" s="81"/>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spans="1:27" ht="15.75" customHeight="1" x14ac:dyDescent="0.25">
      <c r="A970" s="81"/>
      <c r="B970" s="81"/>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spans="1:27" ht="15.75" customHeight="1" x14ac:dyDescent="0.25">
      <c r="A971" s="81"/>
      <c r="B971" s="81"/>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spans="1:27" ht="15.75" customHeight="1" x14ac:dyDescent="0.25">
      <c r="A972" s="81"/>
      <c r="B972" s="81"/>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spans="1:27" ht="15.75" customHeight="1" x14ac:dyDescent="0.25">
      <c r="A973" s="81"/>
      <c r="B973" s="81"/>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spans="1:27" ht="15.75" customHeight="1" x14ac:dyDescent="0.25">
      <c r="A974" s="81"/>
      <c r="B974" s="81"/>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spans="1:27" ht="15.75" customHeight="1" x14ac:dyDescent="0.25">
      <c r="A975" s="81"/>
      <c r="B975" s="81"/>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spans="1:27" ht="15.75" customHeight="1" x14ac:dyDescent="0.25">
      <c r="A976" s="81"/>
      <c r="B976" s="81"/>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spans="1:27" ht="15.75" customHeight="1" x14ac:dyDescent="0.25">
      <c r="A977" s="81"/>
      <c r="B977" s="81"/>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spans="1:27" ht="15.75" customHeight="1" x14ac:dyDescent="0.25">
      <c r="A978" s="81"/>
      <c r="B978" s="81"/>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spans="1:27" ht="15.75" customHeight="1" x14ac:dyDescent="0.25">
      <c r="A979" s="81"/>
      <c r="B979" s="81"/>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spans="1:27" ht="15.75" customHeight="1" x14ac:dyDescent="0.25">
      <c r="A980" s="81"/>
      <c r="B980" s="81"/>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spans="1:27" ht="15.75" customHeight="1" x14ac:dyDescent="0.25">
      <c r="A981" s="81"/>
      <c r="B981" s="81"/>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spans="1:27" ht="15.75" customHeight="1" x14ac:dyDescent="0.25">
      <c r="A982" s="81"/>
      <c r="B982" s="81"/>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spans="1:27" ht="15.75" customHeight="1" x14ac:dyDescent="0.25">
      <c r="A983" s="81"/>
      <c r="B983" s="81"/>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spans="1:27" ht="15.75" customHeight="1" x14ac:dyDescent="0.25">
      <c r="A984" s="81"/>
      <c r="B984" s="81"/>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spans="1:27" ht="15.75" customHeight="1" x14ac:dyDescent="0.25">
      <c r="A985" s="81"/>
      <c r="B985" s="81"/>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spans="1:27" ht="15.75" customHeight="1" x14ac:dyDescent="0.25">
      <c r="A986" s="81"/>
      <c r="B986" s="81"/>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spans="1:27" ht="15.75" customHeight="1" x14ac:dyDescent="0.25">
      <c r="A987" s="81"/>
      <c r="B987" s="81"/>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spans="1:27" ht="15.75" customHeight="1" x14ac:dyDescent="0.25">
      <c r="A988" s="81"/>
      <c r="B988" s="81"/>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spans="1:27" ht="15.75" customHeight="1" x14ac:dyDescent="0.25">
      <c r="A989" s="81"/>
      <c r="B989" s="81"/>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spans="1:27" ht="15.75" customHeight="1" x14ac:dyDescent="0.25">
      <c r="A990" s="81"/>
      <c r="B990" s="81"/>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spans="1:27" ht="15.75" customHeight="1" x14ac:dyDescent="0.25">
      <c r="A991" s="81"/>
      <c r="B991" s="81"/>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spans="1:27" ht="15.75" customHeight="1" x14ac:dyDescent="0.25">
      <c r="A992" s="81"/>
      <c r="B992" s="81"/>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spans="1:27" ht="15.75" customHeight="1" x14ac:dyDescent="0.25">
      <c r="A993" s="81"/>
      <c r="B993" s="81"/>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spans="1:27" ht="15.75" customHeight="1" x14ac:dyDescent="0.25">
      <c r="A994" s="81"/>
      <c r="B994" s="81"/>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spans="1:27" ht="15.75" customHeight="1" x14ac:dyDescent="0.25">
      <c r="A995" s="81"/>
      <c r="B995" s="81"/>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spans="1:27" ht="15.75" customHeight="1" x14ac:dyDescent="0.25">
      <c r="A996" s="81"/>
      <c r="B996" s="81"/>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spans="1:27" ht="15.75" customHeight="1" x14ac:dyDescent="0.25">
      <c r="A997" s="81"/>
      <c r="B997" s="81"/>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spans="1:27" ht="15.75" customHeight="1" x14ac:dyDescent="0.25">
      <c r="A998" s="81"/>
      <c r="B998" s="81"/>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spans="1:27" ht="15.75" customHeight="1" x14ac:dyDescent="0.25">
      <c r="A999" s="81"/>
      <c r="B999" s="81"/>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spans="1:27" ht="15.75" customHeight="1" x14ac:dyDescent="0.25">
      <c r="A1000" s="81"/>
      <c r="B1000" s="81"/>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sheetData>
  <mergeCells count="11">
    <mergeCell ref="N1:O1"/>
    <mergeCell ref="P1:S1"/>
    <mergeCell ref="T1:U1"/>
    <mergeCell ref="B19:U19"/>
    <mergeCell ref="A1:A2"/>
    <mergeCell ref="B1:B2"/>
    <mergeCell ref="C1:C2"/>
    <mergeCell ref="D1:E1"/>
    <mergeCell ref="F1:I1"/>
    <mergeCell ref="J1:K1"/>
    <mergeCell ref="L1:M1"/>
  </mergeCells>
  <conditionalFormatting sqref="D3:D18 D20:D35">
    <cfRule type="notContainsBlanks" dxfId="593" priority="1">
      <formula>LEN(TRIM(D3))&gt;0</formula>
    </cfRule>
  </conditionalFormatting>
  <conditionalFormatting sqref="E3:E18 E20:E35">
    <cfRule type="notContainsBlanks" dxfId="592" priority="2">
      <formula>LEN(TRIM(E3))&gt;0</formula>
    </cfRule>
  </conditionalFormatting>
  <conditionalFormatting sqref="F3:F18 F20:F35">
    <cfRule type="notContainsBlanks" dxfId="591" priority="3">
      <formula>LEN(TRIM(F3))&gt;0</formula>
    </cfRule>
  </conditionalFormatting>
  <conditionalFormatting sqref="G3:G18 G20:G35">
    <cfRule type="notContainsBlanks" dxfId="590" priority="4">
      <formula>LEN(TRIM(G3))&gt;0</formula>
    </cfRule>
  </conditionalFormatting>
  <conditionalFormatting sqref="H3:H18 H20:H35">
    <cfRule type="notContainsBlanks" dxfId="589" priority="5">
      <formula>LEN(TRIM(H3))&gt;0</formula>
    </cfRule>
  </conditionalFormatting>
  <conditionalFormatting sqref="I3:I18 I20:I35">
    <cfRule type="notContainsBlanks" dxfId="588" priority="6">
      <formula>LEN(TRIM(I3))&gt;0</formula>
    </cfRule>
  </conditionalFormatting>
  <conditionalFormatting sqref="J3:J18 J20:J35">
    <cfRule type="notContainsBlanks" dxfId="587" priority="7">
      <formula>LEN(TRIM(J3))&gt;0</formula>
    </cfRule>
  </conditionalFormatting>
  <conditionalFormatting sqref="K3:K18 K20:K35">
    <cfRule type="notContainsBlanks" dxfId="586" priority="8">
      <formula>LEN(TRIM(K3))&gt;0</formula>
    </cfRule>
  </conditionalFormatting>
  <conditionalFormatting sqref="L3:L18 L20:L35">
    <cfRule type="notContainsBlanks" dxfId="585" priority="9">
      <formula>LEN(TRIM(L3))&gt;0</formula>
    </cfRule>
  </conditionalFormatting>
  <conditionalFormatting sqref="M3:M18 M20:M35">
    <cfRule type="notContainsBlanks" dxfId="584" priority="10">
      <formula>LEN(TRIM(M3))&gt;0</formula>
    </cfRule>
  </conditionalFormatting>
  <conditionalFormatting sqref="N3:N18 N20:N35">
    <cfRule type="notContainsBlanks" dxfId="583" priority="11">
      <formula>LEN(TRIM(N3))&gt;0</formula>
    </cfRule>
  </conditionalFormatting>
  <conditionalFormatting sqref="O3:O18 O20:O35">
    <cfRule type="notContainsBlanks" dxfId="582" priority="12">
      <formula>LEN(TRIM(O3))&gt;0</formula>
    </cfRule>
  </conditionalFormatting>
  <conditionalFormatting sqref="P3:P18 P20:P35">
    <cfRule type="notContainsBlanks" dxfId="581" priority="13">
      <formula>LEN(TRIM(P3))&gt;0</formula>
    </cfRule>
  </conditionalFormatting>
  <conditionalFormatting sqref="Q3:Q18 Q20:Q35">
    <cfRule type="notContainsBlanks" dxfId="580" priority="14">
      <formula>LEN(TRIM(Q3))&gt;0</formula>
    </cfRule>
  </conditionalFormatting>
  <conditionalFormatting sqref="R3:R18 R20:R35">
    <cfRule type="notContainsBlanks" dxfId="579" priority="15">
      <formula>LEN(TRIM(R3))&gt;0</formula>
    </cfRule>
  </conditionalFormatting>
  <conditionalFormatting sqref="S3:S18 S20:S35">
    <cfRule type="notContainsBlanks" dxfId="578" priority="16">
      <formula>LEN(TRIM(S3))&gt;0</formula>
    </cfRule>
  </conditionalFormatting>
  <conditionalFormatting sqref="T3:T18 T20:T35">
    <cfRule type="notContainsBlanks" dxfId="577" priority="17">
      <formula>LEN(TRIM(T3))&gt;0</formula>
    </cfRule>
  </conditionalFormatting>
  <conditionalFormatting sqref="U3:U18 U20:U35">
    <cfRule type="notContainsBlanks" dxfId="576" priority="18">
      <formula>LEN(TRIM(U3))&gt;0</formula>
    </cfRule>
  </conditionalFormatting>
  <hyperlinks>
    <hyperlink ref="B3" location="'EE 101'!A1" display="Computer Programming for Engineering" xr:uid="{00000000-0004-0000-0100-000000000000}"/>
    <hyperlink ref="B4" location="'EE 201'!A1" display="Introduction to Circuits" xr:uid="{00000000-0004-0000-0100-000001000000}"/>
    <hyperlink ref="B5" location="'EE 211'!A1" display="Electronic Fundamentals" xr:uid="{00000000-0004-0000-0100-000002000000}"/>
    <hyperlink ref="B6" location="'EE 221'!A1" display="Logic Design" xr:uid="{00000000-0004-0000-0100-000003000000}"/>
    <hyperlink ref="B7" location="'EE 231'!A1" display="Signals and Systems" xr:uid="{00000000-0004-0000-0100-000004000000}"/>
    <hyperlink ref="B8" location="'EE 202'!A1" display="Circuit Analysis" xr:uid="{00000000-0004-0000-0100-000005000000}"/>
    <hyperlink ref="B9" location="'EE 312'!A1" display="Electronic Engineering" xr:uid="{00000000-0004-0000-0100-000006000000}"/>
    <hyperlink ref="B10" location="'EE 322'!A1" display="Microprocessors Design" xr:uid="{00000000-0004-0000-0100-000007000000}"/>
    <hyperlink ref="B11" location="'EE 341'!A1" display="Electromagnetics Fundamental" xr:uid="{00000000-0004-0000-0100-000008000000}"/>
    <hyperlink ref="B12" location="'EE 332'!A1" display="Control Systems" xr:uid="{00000000-0004-0000-0100-000009000000}"/>
    <hyperlink ref="B13" location="'EE 351'!A1" display="Communication Systems" xr:uid="{00000000-0004-0000-0100-00000A000000}"/>
    <hyperlink ref="B14" location="'EE 305'!A1" display="Power Electronics" xr:uid="{00000000-0004-0000-0100-00000B000000}"/>
    <hyperlink ref="B15" location="'EE 304'!A1" display="Electrical Machines" xr:uid="{00000000-0004-0000-0100-00000C000000}"/>
    <hyperlink ref="B16" location="'EE 403'!A1" display="Power Systems" xr:uid="{00000000-0004-0000-0100-00000D000000}"/>
    <hyperlink ref="B17" location="'EE 490'!A1" display="Senior Design Project" xr:uid="{00000000-0004-0000-0100-00000E000000}"/>
    <hyperlink ref="B18" location="'EE 492'!A1" display="Cooperative Training" xr:uid="{00000000-0004-0000-0100-00000F000000}"/>
    <hyperlink ref="B20" location="'EE 414'!A1" display="Electrical and Electronic Measurements" xr:uid="{00000000-0004-0000-0100-000010000000}"/>
    <hyperlink ref="B21" location="'EE 426'!A1" display="Opto-Electronics" xr:uid="{00000000-0004-0000-0100-000011000000}"/>
    <hyperlink ref="B22" location="'EE 434'!A1" display="VLSI Circuits Design" xr:uid="{00000000-0004-0000-0100-000012000000}"/>
    <hyperlink ref="B24" location="'EE 456'!A1" display="Data Communication Networks" xr:uid="{00000000-0004-0000-0100-000013000000}"/>
    <hyperlink ref="B25" location="'EE 424'!A1" display="Digital Communications" xr:uid="{00000000-0004-0000-0100-000014000000}"/>
    <hyperlink ref="B26" location="'EE 425'!A1" display="Wireless Communications Systems" xr:uid="{00000000-0004-0000-0100-000015000000}"/>
    <hyperlink ref="B27" location="'EE 426'!A1" display="Antenna and wave propagation" xr:uid="{00000000-0004-0000-0100-000016000000}"/>
    <hyperlink ref="B28" location="'EE 433'!A1" display="Mechatronics" xr:uid="{00000000-0004-0000-0100-000017000000}"/>
    <hyperlink ref="B29" location="'EE 434'!A1" display="PLC Microcontrollers" xr:uid="{00000000-0004-0000-0100-000018000000}"/>
    <hyperlink ref="B30" location="'EE 435'!A1" display="Robotics and Automation" xr:uid="{00000000-0004-0000-0100-000019000000}"/>
    <hyperlink ref="B31" location="'EE 436'!A1" display="Artifitial Intellegince" xr:uid="{00000000-0004-0000-0100-00001A000000}"/>
    <hyperlink ref="B32" location="'EE 442'!A1" display="Digital Signal Processing" xr:uid="{00000000-0004-0000-0100-00001B000000}"/>
    <hyperlink ref="B33" location="'EE 454'!A1" display="Renewable Energy Engineering" xr:uid="{00000000-0004-0000-0100-00001C000000}"/>
    <hyperlink ref="B34" location="'EE 456'!A1" display="Renewable Energy Engineering" xr:uid="{39869125-C47D-4915-A21F-0FD02BF73F1D}"/>
    <hyperlink ref="B35" location="'EE 499'!A1" display="Special Topics In Electrical and Electronics Engineering" xr:uid="{A54DC136-CA0C-4081-8D6D-10B50060409E}"/>
    <hyperlink ref="B23" location="'EE 417'!A1" display="Communication Electronics" xr:uid="{B8161FA4-4390-47E7-BF19-62E775E0BFAC}"/>
  </hyperlinks>
  <pageMargins left="0.7" right="0.7" top="0.75" bottom="0.75"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A1000"/>
  <sheetViews>
    <sheetView zoomScale="55" zoomScaleNormal="55" workbookViewId="0">
      <selection activeCell="L10" sqref="L10"/>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26.85546875" customWidth="1"/>
    <col min="24" max="26" width="8.7109375" customWidth="1"/>
  </cols>
  <sheetData>
    <row r="1" spans="1:27" ht="30" customHeight="1" x14ac:dyDescent="0.25">
      <c r="A1" s="82"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c r="AA1" s="114"/>
    </row>
    <row r="2" spans="1:27" ht="30" customHeight="1" x14ac:dyDescent="0.25">
      <c r="A2" s="82" t="s">
        <v>121</v>
      </c>
      <c r="B2" s="82">
        <v>11</v>
      </c>
      <c r="C2" s="82" t="s">
        <v>77</v>
      </c>
      <c r="D2" s="83" t="s">
        <v>88</v>
      </c>
      <c r="E2" s="133"/>
      <c r="F2" s="134"/>
      <c r="G2" s="134"/>
      <c r="H2" s="134"/>
      <c r="I2" s="134"/>
      <c r="J2" s="134"/>
      <c r="K2" s="134"/>
      <c r="L2" s="134"/>
      <c r="M2" s="134"/>
      <c r="N2" s="134"/>
      <c r="O2" s="134"/>
      <c r="P2" s="134"/>
      <c r="Q2" s="134"/>
      <c r="R2" s="134"/>
      <c r="S2" s="134"/>
      <c r="T2" s="134"/>
      <c r="U2" s="134"/>
      <c r="V2" s="135"/>
      <c r="W2" s="6"/>
      <c r="X2" s="6"/>
      <c r="Y2" s="6"/>
    </row>
    <row r="3" spans="1:27"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7"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7" ht="45" customHeight="1" x14ac:dyDescent="0.25">
      <c r="A5" s="142" t="s">
        <v>126</v>
      </c>
      <c r="B5" s="97">
        <v>1.1000000000000001</v>
      </c>
      <c r="C5" s="98" t="s">
        <v>127</v>
      </c>
      <c r="D5" s="85" t="str">
        <f>_xlfn.TEXTJOIN(", ",TRUE,IF(OR(E5,F5),"1",""),IF(OR(G5,H5,I5,J5),"2",""),IF(OR(K5,L5),"3",""),IF(OR(M5,N5),"4",""),IF(OR(O5,P5),"5",""),IF(OR(Q5,R5,S5,T5),"6",""),IF(OR(U5,V5),"7",""))</f>
        <v>1</v>
      </c>
      <c r="E5" s="107" t="b">
        <v>1</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v>
      </c>
      <c r="X5" s="6"/>
      <c r="Y5" s="6"/>
    </row>
    <row r="6" spans="1:27"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7"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7" ht="45" customHeight="1" x14ac:dyDescent="0.25">
      <c r="A8" s="145" t="s">
        <v>128</v>
      </c>
      <c r="B8" s="99">
        <v>2.1</v>
      </c>
      <c r="C8" s="100" t="s">
        <v>129</v>
      </c>
      <c r="D8" s="85" t="str">
        <f t="shared" si="0"/>
        <v>3</v>
      </c>
      <c r="E8" s="107" t="b">
        <v>0</v>
      </c>
      <c r="F8" s="107" t="b">
        <v>0</v>
      </c>
      <c r="G8" s="107" t="b">
        <v>0</v>
      </c>
      <c r="H8" s="107" t="b">
        <v>0</v>
      </c>
      <c r="I8" s="107" t="b">
        <v>0</v>
      </c>
      <c r="J8" s="107" t="b">
        <v>0</v>
      </c>
      <c r="K8" s="107" t="b">
        <v>1</v>
      </c>
      <c r="L8" s="107" t="b">
        <v>1</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PI31, PI32</v>
      </c>
      <c r="X8" s="6"/>
      <c r="Y8" s="6"/>
    </row>
    <row r="9" spans="1:27" ht="45" customHeight="1" x14ac:dyDescent="0.25">
      <c r="A9" s="143"/>
      <c r="B9" s="99">
        <v>2.2000000000000002</v>
      </c>
      <c r="C9" s="100" t="s">
        <v>130</v>
      </c>
      <c r="D9" s="85" t="str">
        <f t="shared" si="0"/>
        <v>3</v>
      </c>
      <c r="E9" s="107" t="b">
        <v>0</v>
      </c>
      <c r="F9" s="107" t="b">
        <v>0</v>
      </c>
      <c r="G9" s="107" t="b">
        <v>0</v>
      </c>
      <c r="H9" s="107" t="b">
        <v>0</v>
      </c>
      <c r="I9" s="107" t="b">
        <v>0</v>
      </c>
      <c r="J9" s="107" t="b">
        <v>0</v>
      </c>
      <c r="K9" s="107" t="b">
        <v>1</v>
      </c>
      <c r="L9" s="107" t="b">
        <v>1</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PI31, PI32</v>
      </c>
      <c r="X9" s="6"/>
      <c r="Y9" s="6"/>
    </row>
    <row r="10" spans="1:27" ht="45" customHeight="1" x14ac:dyDescent="0.25">
      <c r="A10" s="143"/>
      <c r="B10" s="99">
        <v>2.2999999999999998</v>
      </c>
      <c r="C10" s="100" t="s">
        <v>131</v>
      </c>
      <c r="D10" s="85" t="str">
        <f t="shared" si="0"/>
        <v>1</v>
      </c>
      <c r="E10" s="107" t="b">
        <v>1</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PI11</v>
      </c>
      <c r="X10" s="6"/>
      <c r="Y10" s="6"/>
    </row>
    <row r="11" spans="1:27"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7"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7" ht="45" customHeight="1" x14ac:dyDescent="0.25">
      <c r="A13" s="146" t="s">
        <v>132</v>
      </c>
      <c r="B13" s="101"/>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7"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7" ht="30" customHeight="1" x14ac:dyDescent="0.25">
      <c r="A15" s="103" t="s">
        <v>133</v>
      </c>
      <c r="B15" s="103"/>
      <c r="C15" s="83" t="str">
        <f>C2</f>
        <v>Computer Programming for Engineering</v>
      </c>
      <c r="D15" s="85" t="str">
        <f>A2</f>
        <v>EE 101</v>
      </c>
      <c r="E15" s="68" t="str">
        <f t="shared" ref="E15:V15" si="1">IF(COUNTIF(E$5:E$14,TRUE)&gt;0,$D$2,"")</f>
        <v>I</v>
      </c>
      <c r="F15" s="69" t="str">
        <f t="shared" si="1"/>
        <v/>
      </c>
      <c r="G15" s="70" t="str">
        <f t="shared" si="1"/>
        <v/>
      </c>
      <c r="H15" s="71" t="str">
        <f t="shared" si="1"/>
        <v/>
      </c>
      <c r="I15" s="72" t="str">
        <f t="shared" si="1"/>
        <v/>
      </c>
      <c r="J15" s="73" t="str">
        <f t="shared" si="1"/>
        <v/>
      </c>
      <c r="K15" s="74" t="str">
        <f t="shared" si="1"/>
        <v>I</v>
      </c>
      <c r="L15" s="86" t="str">
        <f t="shared" si="1"/>
        <v>I</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7" ht="30" customHeight="1" x14ac:dyDescent="0.25">
      <c r="A16" s="103" t="s">
        <v>124</v>
      </c>
      <c r="B16" s="103"/>
      <c r="C16" s="83" t="str">
        <f>C2</f>
        <v>Computer Programming for Engineering</v>
      </c>
      <c r="D16" s="85" t="str">
        <f>A2</f>
        <v>EE 101</v>
      </c>
      <c r="E16" s="147" t="str">
        <f>IF(COUNTIF(E$5:F$14,TRUE)&gt;0,$D$2,"")</f>
        <v>I</v>
      </c>
      <c r="F16" s="125"/>
      <c r="G16" s="148" t="str">
        <f>IF(COUNTIF(G$5:J$14,TRUE)&gt;0,$D$2,"")</f>
        <v/>
      </c>
      <c r="H16" s="129"/>
      <c r="I16" s="129"/>
      <c r="J16" s="125"/>
      <c r="K16" s="149" t="str">
        <f>IF(COUNTIF(K$5:L$14,TRUE)&gt;0,$D$2,"")</f>
        <v>I</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C18" s="6"/>
      <c r="D18" s="104"/>
    </row>
    <row r="19" spans="1:25" ht="18.75" customHeight="1" x14ac:dyDescent="0.25">
      <c r="C19" s="6"/>
      <c r="D19" s="104"/>
    </row>
    <row r="20" spans="1:25" ht="18.75" customHeight="1" x14ac:dyDescent="0.25">
      <c r="C20" s="6"/>
      <c r="D20" s="104"/>
    </row>
    <row r="21" spans="1:25" ht="18.75" customHeight="1" x14ac:dyDescent="0.25">
      <c r="C21" s="6"/>
      <c r="D21" s="104"/>
    </row>
    <row r="22" spans="1:25" ht="18.75" customHeight="1" x14ac:dyDescent="0.25">
      <c r="C22" s="6"/>
      <c r="D22" s="104"/>
    </row>
    <row r="23" spans="1:25" ht="18.75" customHeight="1" x14ac:dyDescent="0.25">
      <c r="C23" s="6"/>
      <c r="D23" s="104"/>
    </row>
    <row r="24" spans="1:25" ht="18.75" customHeight="1" x14ac:dyDescent="0.25">
      <c r="C24" s="6"/>
      <c r="D24" s="104"/>
    </row>
    <row r="25" spans="1:25" ht="18.75" customHeight="1" x14ac:dyDescent="0.25">
      <c r="C25" s="6"/>
      <c r="D25" s="104"/>
    </row>
    <row r="26" spans="1:25" ht="18.75" customHeight="1" x14ac:dyDescent="0.25">
      <c r="C26" s="6"/>
      <c r="D26" s="104"/>
    </row>
    <row r="27" spans="1:25" ht="18.75" customHeight="1" x14ac:dyDescent="0.25">
      <c r="C27" s="6"/>
      <c r="D27" s="104"/>
    </row>
    <row r="28" spans="1:25" ht="18.75" customHeight="1" x14ac:dyDescent="0.25">
      <c r="C28" s="6"/>
      <c r="D28" s="104"/>
    </row>
    <row r="29" spans="1:25" ht="18.75" customHeight="1" x14ac:dyDescent="0.25">
      <c r="C29" s="6"/>
      <c r="D29" s="104"/>
    </row>
    <row r="30" spans="1:25" ht="18.75" customHeight="1" x14ac:dyDescent="0.25">
      <c r="C30" s="6"/>
      <c r="D30" s="104"/>
    </row>
    <row r="31" spans="1:25" ht="18.75" customHeight="1" x14ac:dyDescent="0.25">
      <c r="C31" s="6"/>
      <c r="D31" s="104"/>
    </row>
    <row r="32" spans="1:25" ht="18.75" customHeight="1" x14ac:dyDescent="0.25">
      <c r="C32" s="6"/>
      <c r="D32" s="104"/>
    </row>
    <row r="33" spans="3:4" ht="18.75" customHeight="1" x14ac:dyDescent="0.25">
      <c r="C33" s="6"/>
      <c r="D33" s="104"/>
    </row>
    <row r="34" spans="3:4" ht="18.75" customHeight="1" x14ac:dyDescent="0.25">
      <c r="C34" s="6"/>
      <c r="D34" s="104"/>
    </row>
    <row r="35" spans="3:4" ht="18.75" customHeight="1" x14ac:dyDescent="0.25">
      <c r="C35" s="6"/>
      <c r="D35" s="104"/>
    </row>
    <row r="36" spans="3:4" ht="18.75" customHeight="1" x14ac:dyDescent="0.25">
      <c r="C36" s="6"/>
      <c r="D36" s="104"/>
    </row>
    <row r="37" spans="3:4" ht="18.75" customHeight="1" x14ac:dyDescent="0.25">
      <c r="C37" s="6"/>
      <c r="D37" s="104"/>
    </row>
    <row r="38" spans="3:4" ht="18.75" customHeight="1" x14ac:dyDescent="0.25">
      <c r="C38" s="6"/>
      <c r="D38" s="104"/>
    </row>
    <row r="39" spans="3:4" ht="18.75" customHeight="1" x14ac:dyDescent="0.25">
      <c r="C39" s="6"/>
      <c r="D39" s="104"/>
    </row>
    <row r="40" spans="3:4" ht="18.75" customHeight="1" x14ac:dyDescent="0.25">
      <c r="C40" s="6"/>
      <c r="D40" s="104"/>
    </row>
    <row r="41" spans="3:4" ht="18.75" customHeight="1" x14ac:dyDescent="0.25">
      <c r="C41" s="6"/>
      <c r="D41" s="104"/>
    </row>
    <row r="42" spans="3:4" ht="18.75" customHeight="1" x14ac:dyDescent="0.25">
      <c r="C42" s="6"/>
      <c r="D42" s="104"/>
    </row>
    <row r="43" spans="3:4" ht="18.75" customHeight="1" x14ac:dyDescent="0.25">
      <c r="C43" s="6"/>
      <c r="D43" s="104"/>
    </row>
    <row r="44" spans="3:4" ht="18.75" customHeight="1" x14ac:dyDescent="0.25">
      <c r="C44" s="6"/>
      <c r="D44" s="104"/>
    </row>
    <row r="45" spans="3:4" ht="18.75" customHeight="1" x14ac:dyDescent="0.25">
      <c r="C45" s="6"/>
      <c r="D45" s="104"/>
    </row>
    <row r="46" spans="3:4" ht="18.75" customHeight="1" x14ac:dyDescent="0.25">
      <c r="C46" s="6"/>
      <c r="D46" s="104"/>
    </row>
    <row r="47" spans="3:4" ht="18.75" customHeight="1" x14ac:dyDescent="0.25">
      <c r="C47" s="6"/>
      <c r="D47" s="104"/>
    </row>
    <row r="48" spans="3:4" ht="18.75" customHeight="1" x14ac:dyDescent="0.25">
      <c r="C48" s="6"/>
      <c r="D48" s="104"/>
    </row>
    <row r="49" spans="3:4" ht="18.75" customHeight="1" x14ac:dyDescent="0.25">
      <c r="C49" s="6"/>
      <c r="D49" s="104"/>
    </row>
    <row r="50" spans="3:4" ht="18.75" customHeight="1" x14ac:dyDescent="0.25">
      <c r="C50" s="6"/>
      <c r="D50" s="104"/>
    </row>
    <row r="51" spans="3:4" ht="18.75" customHeight="1" x14ac:dyDescent="0.25">
      <c r="C51" s="6"/>
      <c r="D51" s="104"/>
    </row>
    <row r="52" spans="3:4" ht="18.75" customHeight="1" x14ac:dyDescent="0.25">
      <c r="C52" s="6"/>
      <c r="D52" s="104"/>
    </row>
    <row r="53" spans="3:4" ht="18.75" customHeight="1" x14ac:dyDescent="0.25">
      <c r="C53" s="6"/>
      <c r="D53" s="104"/>
    </row>
    <row r="54" spans="3:4" ht="18.75" customHeight="1" x14ac:dyDescent="0.25">
      <c r="C54" s="6"/>
      <c r="D54" s="104"/>
    </row>
    <row r="55" spans="3:4" ht="18.75" customHeight="1" x14ac:dyDescent="0.25">
      <c r="C55" s="6"/>
      <c r="D55" s="104"/>
    </row>
    <row r="56" spans="3:4" ht="18.75" customHeight="1" x14ac:dyDescent="0.25">
      <c r="C56" s="6"/>
      <c r="D56" s="104"/>
    </row>
    <row r="57" spans="3:4" ht="18.75" customHeight="1" x14ac:dyDescent="0.25">
      <c r="C57" s="6"/>
      <c r="D57" s="104"/>
    </row>
    <row r="58" spans="3:4" ht="18.75" customHeight="1" x14ac:dyDescent="0.25">
      <c r="C58" s="6"/>
      <c r="D58" s="104"/>
    </row>
    <row r="59" spans="3:4" ht="18.75" customHeight="1" x14ac:dyDescent="0.25">
      <c r="C59" s="6"/>
      <c r="D59" s="104"/>
    </row>
    <row r="60" spans="3:4" ht="18.75" customHeight="1" x14ac:dyDescent="0.25">
      <c r="C60" s="6"/>
      <c r="D60" s="104"/>
    </row>
    <row r="61" spans="3:4" ht="18.75" customHeight="1" x14ac:dyDescent="0.25">
      <c r="C61" s="6"/>
      <c r="D61" s="104"/>
    </row>
    <row r="62" spans="3:4" ht="18.75" customHeight="1" x14ac:dyDescent="0.25">
      <c r="C62" s="6"/>
      <c r="D62" s="104"/>
    </row>
    <row r="63" spans="3:4" ht="18.75" customHeight="1" x14ac:dyDescent="0.25">
      <c r="C63" s="6"/>
      <c r="D63" s="104"/>
    </row>
    <row r="64" spans="3:4" ht="18.75" customHeight="1" x14ac:dyDescent="0.25">
      <c r="C64" s="6"/>
      <c r="D64" s="104"/>
    </row>
    <row r="65" spans="3:4" ht="18.75" customHeight="1" x14ac:dyDescent="0.25">
      <c r="C65" s="6"/>
      <c r="D65" s="104"/>
    </row>
    <row r="66" spans="3:4" ht="18.75" customHeight="1" x14ac:dyDescent="0.25">
      <c r="C66" s="6"/>
      <c r="D66" s="104"/>
    </row>
    <row r="67" spans="3:4" ht="18.75" customHeight="1" x14ac:dyDescent="0.25">
      <c r="C67" s="6"/>
      <c r="D67" s="104"/>
    </row>
    <row r="68" spans="3:4" ht="18.75" customHeight="1" x14ac:dyDescent="0.25">
      <c r="C68" s="6"/>
      <c r="D68" s="104"/>
    </row>
    <row r="69" spans="3:4" ht="18.75" customHeight="1" x14ac:dyDescent="0.25">
      <c r="C69" s="6"/>
      <c r="D69" s="104"/>
    </row>
    <row r="70" spans="3:4" ht="18.75" customHeight="1" x14ac:dyDescent="0.25">
      <c r="C70" s="6"/>
      <c r="D70" s="104"/>
    </row>
    <row r="71" spans="3:4" ht="18.75" customHeight="1" x14ac:dyDescent="0.25">
      <c r="C71" s="6"/>
      <c r="D71" s="104"/>
    </row>
    <row r="72" spans="3:4" ht="18.75" customHeight="1" x14ac:dyDescent="0.25">
      <c r="C72" s="6"/>
      <c r="D72" s="104"/>
    </row>
    <row r="73" spans="3:4" ht="18.75" customHeight="1" x14ac:dyDescent="0.25">
      <c r="C73" s="6"/>
      <c r="D73" s="104"/>
    </row>
    <row r="74" spans="3:4" ht="18.75" customHeight="1" x14ac:dyDescent="0.25">
      <c r="C74" s="6"/>
      <c r="D74" s="104"/>
    </row>
    <row r="75" spans="3:4" ht="18.75" customHeight="1" x14ac:dyDescent="0.25">
      <c r="C75" s="6"/>
      <c r="D75" s="104"/>
    </row>
    <row r="76" spans="3:4" ht="18.75" customHeight="1" x14ac:dyDescent="0.25">
      <c r="C76" s="6"/>
      <c r="D76" s="104"/>
    </row>
    <row r="77" spans="3:4" ht="18.75" customHeight="1" x14ac:dyDescent="0.25">
      <c r="C77" s="6"/>
      <c r="D77" s="104"/>
    </row>
    <row r="78" spans="3:4" ht="18.75" customHeight="1" x14ac:dyDescent="0.25">
      <c r="C78" s="6"/>
      <c r="D78" s="104"/>
    </row>
    <row r="79" spans="3:4" ht="18.75" customHeight="1" x14ac:dyDescent="0.25">
      <c r="C79" s="6"/>
      <c r="D79" s="104"/>
    </row>
    <row r="80" spans="3:4" ht="18.75" customHeight="1" x14ac:dyDescent="0.25">
      <c r="C80" s="6"/>
      <c r="D80" s="104"/>
    </row>
    <row r="81" spans="3:4" ht="18.75" customHeight="1" x14ac:dyDescent="0.25">
      <c r="C81" s="6"/>
      <c r="D81" s="104"/>
    </row>
    <row r="82" spans="3:4" ht="18.75" customHeight="1" x14ac:dyDescent="0.25">
      <c r="C82" s="6"/>
      <c r="D82" s="104"/>
    </row>
    <row r="83" spans="3:4" ht="18.75" customHeight="1" x14ac:dyDescent="0.25">
      <c r="C83" s="6"/>
      <c r="D83" s="104"/>
    </row>
    <row r="84" spans="3:4" ht="18.75" customHeight="1" x14ac:dyDescent="0.25">
      <c r="C84" s="6"/>
      <c r="D84" s="104"/>
    </row>
    <row r="85" spans="3:4" ht="18.75" customHeight="1" x14ac:dyDescent="0.25">
      <c r="C85" s="6"/>
      <c r="D85" s="104"/>
    </row>
    <row r="86" spans="3:4" ht="18.75" customHeight="1" x14ac:dyDescent="0.25">
      <c r="C86" s="6"/>
      <c r="D86" s="104"/>
    </row>
    <row r="87" spans="3:4" ht="18.75" customHeight="1" x14ac:dyDescent="0.25">
      <c r="C87" s="6"/>
      <c r="D87" s="104"/>
    </row>
    <row r="88" spans="3:4" ht="18.75" customHeight="1" x14ac:dyDescent="0.25">
      <c r="C88" s="6"/>
      <c r="D88" s="104"/>
    </row>
    <row r="89" spans="3:4" ht="18.75" customHeight="1" x14ac:dyDescent="0.25">
      <c r="C89" s="6"/>
      <c r="D89" s="104"/>
    </row>
    <row r="90" spans="3:4" ht="18.75" customHeight="1" x14ac:dyDescent="0.25">
      <c r="C90" s="6"/>
      <c r="D90" s="104"/>
    </row>
    <row r="91" spans="3:4" ht="18.75" customHeight="1" x14ac:dyDescent="0.25">
      <c r="C91" s="6"/>
      <c r="D91" s="104"/>
    </row>
    <row r="92" spans="3:4" ht="18.75" customHeight="1" x14ac:dyDescent="0.25">
      <c r="C92" s="6"/>
      <c r="D92" s="104"/>
    </row>
    <row r="93" spans="3:4" ht="18.75" customHeight="1" x14ac:dyDescent="0.25">
      <c r="C93" s="6"/>
      <c r="D93" s="104"/>
    </row>
    <row r="94" spans="3:4" ht="18.75" customHeight="1" x14ac:dyDescent="0.25">
      <c r="C94" s="6"/>
      <c r="D94" s="104"/>
    </row>
    <row r="95" spans="3:4" ht="18.75" customHeight="1" x14ac:dyDescent="0.25">
      <c r="C95" s="6"/>
      <c r="D95" s="104"/>
    </row>
    <row r="96" spans="3:4" ht="18.75" customHeight="1" x14ac:dyDescent="0.25">
      <c r="C96" s="6"/>
      <c r="D96" s="104"/>
    </row>
    <row r="97" spans="3:4" ht="18.75" customHeight="1" x14ac:dyDescent="0.25">
      <c r="C97" s="6"/>
      <c r="D97" s="104"/>
    </row>
    <row r="98" spans="3:4" ht="18.75" customHeight="1" x14ac:dyDescent="0.25">
      <c r="C98" s="6"/>
      <c r="D98" s="104"/>
    </row>
    <row r="99" spans="3:4" ht="18.75" customHeight="1" x14ac:dyDescent="0.25">
      <c r="C99" s="6"/>
      <c r="D99" s="104"/>
    </row>
    <row r="100" spans="3:4" ht="18.75" customHeight="1" x14ac:dyDescent="0.25">
      <c r="C100" s="6"/>
      <c r="D100" s="104"/>
    </row>
    <row r="101" spans="3:4" ht="18.75" customHeight="1" x14ac:dyDescent="0.25">
      <c r="C101" s="6"/>
      <c r="D101" s="104"/>
    </row>
    <row r="102" spans="3:4" ht="18.75" customHeight="1" x14ac:dyDescent="0.25">
      <c r="C102" s="6"/>
      <c r="D102" s="104"/>
    </row>
    <row r="103" spans="3:4" ht="18.75" customHeight="1" x14ac:dyDescent="0.25">
      <c r="C103" s="6"/>
      <c r="D103" s="104"/>
    </row>
    <row r="104" spans="3:4" ht="18.75" customHeight="1" x14ac:dyDescent="0.25">
      <c r="C104" s="6"/>
      <c r="D104" s="104"/>
    </row>
    <row r="105" spans="3:4" ht="18.75" customHeight="1" x14ac:dyDescent="0.25">
      <c r="C105" s="6"/>
      <c r="D105" s="104"/>
    </row>
    <row r="106" spans="3:4" ht="18.75" customHeight="1" x14ac:dyDescent="0.25">
      <c r="C106" s="6"/>
      <c r="D106" s="104"/>
    </row>
    <row r="107" spans="3:4" ht="18.75" customHeight="1" x14ac:dyDescent="0.25">
      <c r="C107" s="6"/>
      <c r="D107" s="104"/>
    </row>
    <row r="108" spans="3:4" ht="18.75" customHeight="1" x14ac:dyDescent="0.25">
      <c r="C108" s="6"/>
      <c r="D108" s="104"/>
    </row>
    <row r="109" spans="3:4" ht="18.75" customHeight="1" x14ac:dyDescent="0.25">
      <c r="C109" s="6"/>
      <c r="D109" s="104"/>
    </row>
    <row r="110" spans="3:4" ht="18.75" customHeight="1" x14ac:dyDescent="0.25">
      <c r="C110" s="6"/>
      <c r="D110" s="104"/>
    </row>
    <row r="111" spans="3:4" ht="18.75" customHeight="1" x14ac:dyDescent="0.25">
      <c r="C111" s="6"/>
      <c r="D111" s="104"/>
    </row>
    <row r="112" spans="3:4" ht="18.75" customHeight="1" x14ac:dyDescent="0.25">
      <c r="C112" s="6"/>
      <c r="D112" s="104"/>
    </row>
    <row r="113" spans="3:4" ht="18.75" customHeight="1" x14ac:dyDescent="0.25">
      <c r="C113" s="6"/>
      <c r="D113" s="104"/>
    </row>
    <row r="114" spans="3:4" ht="18.75" customHeight="1" x14ac:dyDescent="0.25">
      <c r="C114" s="6"/>
      <c r="D114" s="104"/>
    </row>
    <row r="115" spans="3:4" ht="18.75" customHeight="1" x14ac:dyDescent="0.25">
      <c r="C115" s="6"/>
      <c r="D115" s="104"/>
    </row>
    <row r="116" spans="3:4" ht="18.75" customHeight="1" x14ac:dyDescent="0.25">
      <c r="C116" s="6"/>
      <c r="D116" s="104"/>
    </row>
    <row r="117" spans="3:4" ht="18.75" customHeight="1" x14ac:dyDescent="0.25">
      <c r="C117" s="6"/>
      <c r="D117" s="104"/>
    </row>
    <row r="118" spans="3:4" ht="18.75" customHeight="1" x14ac:dyDescent="0.25">
      <c r="C118" s="6"/>
      <c r="D118" s="104"/>
    </row>
    <row r="119" spans="3:4" ht="18.75" customHeight="1" x14ac:dyDescent="0.25">
      <c r="C119" s="6"/>
      <c r="D119" s="104"/>
    </row>
    <row r="120" spans="3:4" ht="18.75" customHeight="1" x14ac:dyDescent="0.25">
      <c r="C120" s="6"/>
      <c r="D120" s="104"/>
    </row>
    <row r="121" spans="3:4" ht="18.75" customHeight="1" x14ac:dyDescent="0.25">
      <c r="C121" s="6"/>
      <c r="D121" s="104"/>
    </row>
    <row r="122" spans="3:4" ht="18.75" customHeight="1" x14ac:dyDescent="0.25">
      <c r="C122" s="6"/>
      <c r="D122" s="104"/>
    </row>
    <row r="123" spans="3:4" ht="18.75" customHeight="1" x14ac:dyDescent="0.25">
      <c r="C123" s="6"/>
      <c r="D123" s="104"/>
    </row>
    <row r="124" spans="3:4" ht="18.75" customHeight="1" x14ac:dyDescent="0.25">
      <c r="C124" s="6"/>
      <c r="D124" s="104"/>
    </row>
    <row r="125" spans="3:4" ht="18.75" customHeight="1" x14ac:dyDescent="0.25">
      <c r="C125" s="6"/>
      <c r="D125" s="104"/>
    </row>
    <row r="126" spans="3:4" ht="18.75" customHeight="1" x14ac:dyDescent="0.25">
      <c r="C126" s="6"/>
      <c r="D126" s="104"/>
    </row>
    <row r="127" spans="3:4" ht="18.75" customHeight="1" x14ac:dyDescent="0.25">
      <c r="C127" s="6"/>
      <c r="D127" s="104"/>
    </row>
    <row r="128" spans="3:4" ht="18.75" customHeight="1" x14ac:dyDescent="0.25">
      <c r="C128" s="6"/>
      <c r="D128" s="104"/>
    </row>
    <row r="129" spans="3:4" ht="18.75" customHeight="1" x14ac:dyDescent="0.25">
      <c r="C129" s="6"/>
      <c r="D129" s="104"/>
    </row>
    <row r="130" spans="3:4" ht="18.75" customHeight="1" x14ac:dyDescent="0.25">
      <c r="C130" s="6"/>
      <c r="D130" s="104"/>
    </row>
    <row r="131" spans="3:4" ht="18.75" customHeight="1" x14ac:dyDescent="0.25">
      <c r="C131" s="6"/>
      <c r="D131" s="104"/>
    </row>
    <row r="132" spans="3:4" ht="18.75" customHeight="1" x14ac:dyDescent="0.25">
      <c r="C132" s="6"/>
      <c r="D132" s="104"/>
    </row>
    <row r="133" spans="3:4" ht="18.75" customHeight="1" x14ac:dyDescent="0.25">
      <c r="C133" s="6"/>
      <c r="D133" s="104"/>
    </row>
    <row r="134" spans="3:4" ht="18.75" customHeight="1" x14ac:dyDescent="0.25">
      <c r="C134" s="6"/>
      <c r="D134" s="104"/>
    </row>
    <row r="135" spans="3:4" ht="18.75" customHeight="1" x14ac:dyDescent="0.25">
      <c r="C135" s="6"/>
      <c r="D135" s="104"/>
    </row>
    <row r="136" spans="3:4" ht="18.75" customHeight="1" x14ac:dyDescent="0.25">
      <c r="C136" s="6"/>
      <c r="D136" s="104"/>
    </row>
    <row r="137" spans="3:4" ht="18.75" customHeight="1" x14ac:dyDescent="0.25">
      <c r="C137" s="6"/>
      <c r="D137" s="104"/>
    </row>
    <row r="138" spans="3:4" ht="18.75" customHeight="1" x14ac:dyDescent="0.25">
      <c r="C138" s="6"/>
      <c r="D138" s="104"/>
    </row>
    <row r="139" spans="3:4" ht="18.75" customHeight="1" x14ac:dyDescent="0.25">
      <c r="C139" s="6"/>
      <c r="D139" s="104"/>
    </row>
    <row r="140" spans="3:4" ht="18.75" customHeight="1" x14ac:dyDescent="0.25">
      <c r="C140" s="6"/>
      <c r="D140" s="104"/>
    </row>
    <row r="141" spans="3:4" ht="18.75" customHeight="1" x14ac:dyDescent="0.25">
      <c r="C141" s="6"/>
      <c r="D141" s="104"/>
    </row>
    <row r="142" spans="3:4" ht="18.75" customHeight="1" x14ac:dyDescent="0.25">
      <c r="C142" s="6"/>
      <c r="D142" s="104"/>
    </row>
    <row r="143" spans="3:4" ht="18.75" customHeight="1" x14ac:dyDescent="0.25">
      <c r="C143" s="6"/>
      <c r="D143" s="104"/>
    </row>
    <row r="144" spans="3:4" ht="18.75" customHeight="1" x14ac:dyDescent="0.25">
      <c r="C144" s="6"/>
      <c r="D144" s="104"/>
    </row>
    <row r="145" spans="3:4" ht="18.75" customHeight="1" x14ac:dyDescent="0.25">
      <c r="C145" s="6"/>
      <c r="D145" s="104"/>
    </row>
    <row r="146" spans="3:4" ht="18.75" customHeight="1" x14ac:dyDescent="0.25">
      <c r="C146" s="6"/>
      <c r="D146" s="104"/>
    </row>
    <row r="147" spans="3:4" ht="18.75" customHeight="1" x14ac:dyDescent="0.25">
      <c r="C147" s="6"/>
      <c r="D147" s="104"/>
    </row>
    <row r="148" spans="3:4" ht="18.75" customHeight="1" x14ac:dyDescent="0.25">
      <c r="C148" s="6"/>
      <c r="D148" s="104"/>
    </row>
    <row r="149" spans="3:4" ht="18.75" customHeight="1" x14ac:dyDescent="0.25">
      <c r="C149" s="6"/>
      <c r="D149" s="104"/>
    </row>
    <row r="150" spans="3:4" ht="18.75" customHeight="1" x14ac:dyDescent="0.25">
      <c r="C150" s="6"/>
      <c r="D150" s="104"/>
    </row>
    <row r="151" spans="3:4" ht="18.75" customHeight="1" x14ac:dyDescent="0.25">
      <c r="C151" s="6"/>
      <c r="D151" s="104"/>
    </row>
    <row r="152" spans="3:4" ht="18.75" customHeight="1" x14ac:dyDescent="0.25">
      <c r="C152" s="6"/>
      <c r="D152" s="104"/>
    </row>
    <row r="153" spans="3:4" ht="18.75" customHeight="1" x14ac:dyDescent="0.25">
      <c r="C153" s="6"/>
      <c r="D153" s="104"/>
    </row>
    <row r="154" spans="3:4" ht="18.75" customHeight="1" x14ac:dyDescent="0.25">
      <c r="C154" s="6"/>
      <c r="D154" s="104"/>
    </row>
    <row r="155" spans="3:4" ht="18.75" customHeight="1" x14ac:dyDescent="0.25">
      <c r="C155" s="6"/>
      <c r="D155" s="104"/>
    </row>
    <row r="156" spans="3:4" ht="18.75" customHeight="1" x14ac:dyDescent="0.25">
      <c r="C156" s="6"/>
      <c r="D156" s="104"/>
    </row>
    <row r="157" spans="3:4" ht="18.75" customHeight="1" x14ac:dyDescent="0.25">
      <c r="C157" s="6"/>
      <c r="D157" s="104"/>
    </row>
    <row r="158" spans="3:4" ht="18.75" customHeight="1" x14ac:dyDescent="0.25">
      <c r="C158" s="6"/>
      <c r="D158" s="104"/>
    </row>
    <row r="159" spans="3:4" ht="18.75" customHeight="1" x14ac:dyDescent="0.25">
      <c r="C159" s="6"/>
      <c r="D159" s="104"/>
    </row>
    <row r="160" spans="3:4" ht="18.75" customHeight="1" x14ac:dyDescent="0.25">
      <c r="C160" s="6"/>
      <c r="D160" s="104"/>
    </row>
    <row r="161" spans="3:4" ht="18.75" customHeight="1" x14ac:dyDescent="0.25">
      <c r="C161" s="6"/>
      <c r="D161" s="104"/>
    </row>
    <row r="162" spans="3:4" ht="18.75" customHeight="1" x14ac:dyDescent="0.25">
      <c r="C162" s="6"/>
      <c r="D162" s="104"/>
    </row>
    <row r="163" spans="3:4" ht="18.75" customHeight="1" x14ac:dyDescent="0.25">
      <c r="C163" s="6"/>
      <c r="D163" s="104"/>
    </row>
    <row r="164" spans="3:4" ht="18.75" customHeight="1" x14ac:dyDescent="0.25">
      <c r="C164" s="6"/>
      <c r="D164" s="104"/>
    </row>
    <row r="165" spans="3:4" ht="18.75" customHeight="1" x14ac:dyDescent="0.25">
      <c r="C165" s="6"/>
      <c r="D165" s="104"/>
    </row>
    <row r="166" spans="3:4" ht="18.75" customHeight="1" x14ac:dyDescent="0.25">
      <c r="C166" s="6"/>
      <c r="D166" s="104"/>
    </row>
    <row r="167" spans="3:4" ht="18.75" customHeight="1" x14ac:dyDescent="0.25">
      <c r="C167" s="6"/>
      <c r="D167" s="104"/>
    </row>
    <row r="168" spans="3:4" ht="18.75" customHeight="1" x14ac:dyDescent="0.25">
      <c r="C168" s="6"/>
      <c r="D168" s="104"/>
    </row>
    <row r="169" spans="3:4" ht="18.75" customHeight="1" x14ac:dyDescent="0.25">
      <c r="C169" s="6"/>
      <c r="D169" s="104"/>
    </row>
    <row r="170" spans="3:4" ht="18.75" customHeight="1" x14ac:dyDescent="0.25">
      <c r="C170" s="6"/>
      <c r="D170" s="104"/>
    </row>
    <row r="171" spans="3:4" ht="18.75" customHeight="1" x14ac:dyDescent="0.25">
      <c r="C171" s="6"/>
      <c r="D171" s="104"/>
    </row>
    <row r="172" spans="3:4" ht="18.75" customHeight="1" x14ac:dyDescent="0.25">
      <c r="C172" s="6"/>
      <c r="D172" s="104"/>
    </row>
    <row r="173" spans="3:4" ht="18.75" customHeight="1" x14ac:dyDescent="0.25">
      <c r="C173" s="6"/>
      <c r="D173" s="104"/>
    </row>
    <row r="174" spans="3:4" ht="18.75" customHeight="1" x14ac:dyDescent="0.25">
      <c r="C174" s="6"/>
      <c r="D174" s="104"/>
    </row>
    <row r="175" spans="3:4" ht="18.75" customHeight="1" x14ac:dyDescent="0.25">
      <c r="C175" s="6"/>
      <c r="D175" s="104"/>
    </row>
    <row r="176" spans="3:4" ht="18.75" customHeight="1" x14ac:dyDescent="0.25">
      <c r="C176" s="6"/>
      <c r="D176" s="104"/>
    </row>
    <row r="177" spans="3:4" ht="18.75" customHeight="1" x14ac:dyDescent="0.25">
      <c r="C177" s="6"/>
      <c r="D177" s="104"/>
    </row>
    <row r="178" spans="3:4" ht="18.75" customHeight="1" x14ac:dyDescent="0.25">
      <c r="C178" s="6"/>
      <c r="D178" s="104"/>
    </row>
    <row r="179" spans="3:4" ht="18.75" customHeight="1" x14ac:dyDescent="0.25">
      <c r="C179" s="6"/>
      <c r="D179" s="104"/>
    </row>
    <row r="180" spans="3:4" ht="18.75" customHeight="1" x14ac:dyDescent="0.25">
      <c r="C180" s="6"/>
      <c r="D180" s="104"/>
    </row>
    <row r="181" spans="3:4" ht="18.75" customHeight="1" x14ac:dyDescent="0.25">
      <c r="C181" s="6"/>
      <c r="D181" s="104"/>
    </row>
    <row r="182" spans="3:4" ht="18.75" customHeight="1" x14ac:dyDescent="0.25">
      <c r="C182" s="6"/>
      <c r="D182" s="104"/>
    </row>
    <row r="183" spans="3:4" ht="18.75" customHeight="1" x14ac:dyDescent="0.25">
      <c r="C183" s="6"/>
      <c r="D183" s="104"/>
    </row>
    <row r="184" spans="3:4" ht="18.75" customHeight="1" x14ac:dyDescent="0.25">
      <c r="C184" s="6"/>
      <c r="D184" s="104"/>
    </row>
    <row r="185" spans="3:4" ht="18.75" customHeight="1" x14ac:dyDescent="0.25">
      <c r="C185" s="6"/>
      <c r="D185" s="104"/>
    </row>
    <row r="186" spans="3:4" ht="18.75" customHeight="1" x14ac:dyDescent="0.25">
      <c r="C186" s="6"/>
      <c r="D186" s="104"/>
    </row>
    <row r="187" spans="3:4" ht="18.75" customHeight="1" x14ac:dyDescent="0.25">
      <c r="C187" s="6"/>
      <c r="D187" s="104"/>
    </row>
    <row r="188" spans="3:4" ht="18.75" customHeight="1" x14ac:dyDescent="0.25">
      <c r="C188" s="6"/>
      <c r="D188" s="104"/>
    </row>
    <row r="189" spans="3:4" ht="18.75" customHeight="1" x14ac:dyDescent="0.25">
      <c r="C189" s="6"/>
      <c r="D189" s="104"/>
    </row>
    <row r="190" spans="3:4" ht="18.75" customHeight="1" x14ac:dyDescent="0.25">
      <c r="C190" s="6"/>
      <c r="D190" s="104"/>
    </row>
    <row r="191" spans="3:4" ht="18.75" customHeight="1" x14ac:dyDescent="0.25">
      <c r="C191" s="6"/>
      <c r="D191" s="104"/>
    </row>
    <row r="192" spans="3:4" ht="18.75" customHeight="1" x14ac:dyDescent="0.25">
      <c r="C192" s="6"/>
      <c r="D192" s="104"/>
    </row>
    <row r="193" spans="3:4" ht="18.75" customHeight="1" x14ac:dyDescent="0.25">
      <c r="C193" s="6"/>
      <c r="D193" s="104"/>
    </row>
    <row r="194" spans="3:4" ht="18.75" customHeight="1" x14ac:dyDescent="0.25">
      <c r="C194" s="6"/>
      <c r="D194" s="104"/>
    </row>
    <row r="195" spans="3:4" ht="18.75" customHeight="1" x14ac:dyDescent="0.25">
      <c r="C195" s="6"/>
      <c r="D195" s="104"/>
    </row>
    <row r="196" spans="3:4" ht="18.75" customHeight="1" x14ac:dyDescent="0.25">
      <c r="C196" s="6"/>
      <c r="D196" s="104"/>
    </row>
    <row r="197" spans="3:4" ht="18.75" customHeight="1" x14ac:dyDescent="0.25">
      <c r="C197" s="6"/>
      <c r="D197" s="104"/>
    </row>
    <row r="198" spans="3:4" ht="18.75" customHeight="1" x14ac:dyDescent="0.25">
      <c r="C198" s="6"/>
      <c r="D198" s="104"/>
    </row>
    <row r="199" spans="3:4" ht="18.75" customHeight="1" x14ac:dyDescent="0.25">
      <c r="C199" s="6"/>
      <c r="D199" s="104"/>
    </row>
    <row r="200" spans="3:4" ht="18.75" customHeight="1" x14ac:dyDescent="0.25">
      <c r="C200" s="6"/>
      <c r="D200" s="104"/>
    </row>
    <row r="201" spans="3:4" ht="18.75" customHeight="1" x14ac:dyDescent="0.25">
      <c r="C201" s="6"/>
      <c r="D201" s="104"/>
    </row>
    <row r="202" spans="3:4" ht="18.75" customHeight="1" x14ac:dyDescent="0.25">
      <c r="C202" s="6"/>
      <c r="D202" s="104"/>
    </row>
    <row r="203" spans="3:4" ht="18.75" customHeight="1" x14ac:dyDescent="0.25">
      <c r="C203" s="6"/>
      <c r="D203" s="104"/>
    </row>
    <row r="204" spans="3:4" ht="18.75" customHeight="1" x14ac:dyDescent="0.25">
      <c r="C204" s="6"/>
      <c r="D204" s="104"/>
    </row>
    <row r="205" spans="3:4" ht="18.75" customHeight="1" x14ac:dyDescent="0.25">
      <c r="C205" s="6"/>
      <c r="D205" s="104"/>
    </row>
    <row r="206" spans="3:4" ht="18.75" customHeight="1" x14ac:dyDescent="0.25">
      <c r="C206" s="6"/>
      <c r="D206" s="104"/>
    </row>
    <row r="207" spans="3:4" ht="18.75" customHeight="1" x14ac:dyDescent="0.25">
      <c r="C207" s="6"/>
      <c r="D207" s="104"/>
    </row>
    <row r="208" spans="3:4" ht="18.75" customHeight="1" x14ac:dyDescent="0.25">
      <c r="C208" s="6"/>
      <c r="D208" s="104"/>
    </row>
    <row r="209" spans="3:4" ht="18.75" customHeight="1" x14ac:dyDescent="0.25">
      <c r="C209" s="6"/>
      <c r="D209" s="104"/>
    </row>
    <row r="210" spans="3:4" ht="18.75" customHeight="1" x14ac:dyDescent="0.25">
      <c r="C210" s="6"/>
      <c r="D210" s="104"/>
    </row>
    <row r="211" spans="3:4" ht="18.75" customHeight="1" x14ac:dyDescent="0.25">
      <c r="C211" s="6"/>
      <c r="D211" s="104"/>
    </row>
    <row r="212" spans="3:4" ht="18.75" customHeight="1" x14ac:dyDescent="0.25">
      <c r="C212" s="6"/>
      <c r="D212" s="104"/>
    </row>
    <row r="213" spans="3:4" ht="18.75" customHeight="1" x14ac:dyDescent="0.25">
      <c r="C213" s="6"/>
      <c r="D213" s="104"/>
    </row>
    <row r="214" spans="3:4" ht="18.75" customHeight="1" x14ac:dyDescent="0.25">
      <c r="C214" s="6"/>
      <c r="D214" s="104"/>
    </row>
    <row r="215" spans="3:4" ht="18.75" customHeight="1" x14ac:dyDescent="0.25">
      <c r="C215" s="6"/>
      <c r="D215" s="104"/>
    </row>
    <row r="216" spans="3:4" ht="18.75" customHeight="1" x14ac:dyDescent="0.25">
      <c r="C216" s="6"/>
      <c r="D216" s="104"/>
    </row>
    <row r="217" spans="3:4" ht="18.75" customHeight="1" x14ac:dyDescent="0.25">
      <c r="C217" s="6"/>
      <c r="D217" s="104"/>
    </row>
    <row r="218" spans="3:4" ht="18.75" customHeight="1" x14ac:dyDescent="0.25">
      <c r="C218" s="6"/>
      <c r="D218" s="104"/>
    </row>
    <row r="219" spans="3:4" ht="18.75" customHeight="1" x14ac:dyDescent="0.25">
      <c r="C219" s="6"/>
      <c r="D219" s="104"/>
    </row>
    <row r="220" spans="3:4" ht="18.75" customHeight="1" x14ac:dyDescent="0.25">
      <c r="C220" s="6"/>
      <c r="D220" s="104"/>
    </row>
    <row r="221" spans="3:4" ht="18.75" customHeight="1" x14ac:dyDescent="0.25">
      <c r="C221" s="6"/>
      <c r="D221" s="104"/>
    </row>
    <row r="222" spans="3:4" ht="18.75" customHeight="1" x14ac:dyDescent="0.25">
      <c r="C222" s="6"/>
      <c r="D222" s="104"/>
    </row>
    <row r="223" spans="3:4" ht="18.75" customHeight="1" x14ac:dyDescent="0.25">
      <c r="C223" s="6"/>
      <c r="D223" s="104"/>
    </row>
    <row r="224" spans="3:4" ht="18.75" customHeight="1" x14ac:dyDescent="0.25">
      <c r="C224" s="6"/>
      <c r="D224" s="104"/>
    </row>
    <row r="225" spans="3:4" ht="18.75" customHeight="1" x14ac:dyDescent="0.25">
      <c r="C225" s="6"/>
      <c r="D225" s="104"/>
    </row>
    <row r="226" spans="3:4" ht="18.75" customHeight="1" x14ac:dyDescent="0.25">
      <c r="C226" s="6"/>
      <c r="D226" s="104"/>
    </row>
    <row r="227" spans="3:4" ht="18.75" customHeight="1" x14ac:dyDescent="0.25">
      <c r="C227" s="6"/>
      <c r="D227" s="104"/>
    </row>
    <row r="228" spans="3:4" ht="18.75" customHeight="1" x14ac:dyDescent="0.25">
      <c r="C228" s="6"/>
      <c r="D228" s="104"/>
    </row>
    <row r="229" spans="3:4" ht="18.75" customHeight="1" x14ac:dyDescent="0.25">
      <c r="C229" s="6"/>
      <c r="D229" s="104"/>
    </row>
    <row r="230" spans="3:4" ht="18.75" customHeight="1" x14ac:dyDescent="0.25">
      <c r="C230" s="6"/>
      <c r="D230" s="104"/>
    </row>
    <row r="231" spans="3:4" ht="18.75" customHeight="1" x14ac:dyDescent="0.25">
      <c r="C231" s="6"/>
      <c r="D231" s="104"/>
    </row>
    <row r="232" spans="3:4" ht="18.75" customHeight="1" x14ac:dyDescent="0.25">
      <c r="C232" s="6"/>
      <c r="D232" s="104"/>
    </row>
    <row r="233" spans="3:4" ht="18.75" customHeight="1" x14ac:dyDescent="0.25">
      <c r="C233" s="6"/>
      <c r="D233" s="104"/>
    </row>
    <row r="234" spans="3:4" ht="18.75" customHeight="1" x14ac:dyDescent="0.25">
      <c r="C234" s="6"/>
      <c r="D234" s="104"/>
    </row>
    <row r="235" spans="3:4" ht="18.75" customHeight="1" x14ac:dyDescent="0.25">
      <c r="C235" s="6"/>
      <c r="D235" s="104"/>
    </row>
    <row r="236" spans="3:4" ht="18.75" customHeight="1" x14ac:dyDescent="0.25">
      <c r="C236" s="6"/>
      <c r="D236" s="104"/>
    </row>
    <row r="237" spans="3:4" ht="18.75" customHeight="1" x14ac:dyDescent="0.25">
      <c r="C237" s="6"/>
      <c r="D237" s="104"/>
    </row>
    <row r="238" spans="3:4" ht="18.75" customHeight="1" x14ac:dyDescent="0.25">
      <c r="C238" s="6"/>
      <c r="D238" s="104"/>
    </row>
    <row r="239" spans="3:4" ht="18.75" customHeight="1" x14ac:dyDescent="0.25">
      <c r="C239" s="6"/>
      <c r="D239" s="104"/>
    </row>
    <row r="240" spans="3:4" ht="18.75" customHeight="1" x14ac:dyDescent="0.25">
      <c r="C240" s="6"/>
      <c r="D240" s="104"/>
    </row>
    <row r="241" spans="3:4" ht="18.75" customHeight="1" x14ac:dyDescent="0.25">
      <c r="C241" s="6"/>
      <c r="D241" s="104"/>
    </row>
    <row r="242" spans="3:4" ht="18.75" customHeight="1" x14ac:dyDescent="0.25">
      <c r="C242" s="6"/>
      <c r="D242" s="104"/>
    </row>
    <row r="243" spans="3:4" ht="18.75" customHeight="1" x14ac:dyDescent="0.25">
      <c r="C243" s="6"/>
      <c r="D243" s="104"/>
    </row>
    <row r="244" spans="3:4" ht="18.75" customHeight="1" x14ac:dyDescent="0.25">
      <c r="C244" s="6"/>
      <c r="D244" s="104"/>
    </row>
    <row r="245" spans="3:4" ht="18.75" customHeight="1" x14ac:dyDescent="0.25">
      <c r="C245" s="6"/>
      <c r="D245" s="104"/>
    </row>
    <row r="246" spans="3:4" ht="18.75" customHeight="1" x14ac:dyDescent="0.25">
      <c r="C246" s="6"/>
      <c r="D246" s="104"/>
    </row>
    <row r="247" spans="3:4" ht="18.75" customHeight="1" x14ac:dyDescent="0.25">
      <c r="C247" s="6"/>
      <c r="D247" s="104"/>
    </row>
    <row r="248" spans="3:4" ht="18.75" customHeight="1" x14ac:dyDescent="0.25">
      <c r="C248" s="6"/>
      <c r="D248" s="104"/>
    </row>
    <row r="249" spans="3:4" ht="18.75" customHeight="1" x14ac:dyDescent="0.25">
      <c r="C249" s="6"/>
      <c r="D249" s="104"/>
    </row>
    <row r="250" spans="3:4" ht="18.75" customHeight="1" x14ac:dyDescent="0.25">
      <c r="C250" s="6"/>
      <c r="D250" s="104"/>
    </row>
    <row r="251" spans="3:4" ht="18.75" customHeight="1" x14ac:dyDescent="0.25">
      <c r="C251" s="6"/>
      <c r="D251" s="104"/>
    </row>
    <row r="252" spans="3:4" ht="18.75" customHeight="1" x14ac:dyDescent="0.25">
      <c r="C252" s="6"/>
      <c r="D252" s="104"/>
    </row>
    <row r="253" spans="3:4" ht="18.75" customHeight="1" x14ac:dyDescent="0.25">
      <c r="C253" s="6"/>
      <c r="D253" s="104"/>
    </row>
    <row r="254" spans="3:4" ht="18.75" customHeight="1" x14ac:dyDescent="0.25">
      <c r="C254" s="6"/>
      <c r="D254" s="104"/>
    </row>
    <row r="255" spans="3:4" ht="18.75" customHeight="1" x14ac:dyDescent="0.25">
      <c r="C255" s="6"/>
      <c r="D255" s="104"/>
    </row>
    <row r="256" spans="3:4" ht="18.75" customHeight="1" x14ac:dyDescent="0.25">
      <c r="C256" s="6"/>
      <c r="D256" s="104"/>
    </row>
    <row r="257" spans="3:4" ht="18.75" customHeight="1" x14ac:dyDescent="0.25">
      <c r="C257" s="6"/>
      <c r="D257" s="104"/>
    </row>
    <row r="258" spans="3:4" ht="18.75" customHeight="1" x14ac:dyDescent="0.25">
      <c r="C258" s="6"/>
      <c r="D258" s="104"/>
    </row>
    <row r="259" spans="3:4" ht="18.75" customHeight="1" x14ac:dyDescent="0.25">
      <c r="C259" s="6"/>
      <c r="D259" s="104"/>
    </row>
    <row r="260" spans="3:4" ht="18.75" customHeight="1" x14ac:dyDescent="0.25">
      <c r="C260" s="6"/>
      <c r="D260" s="104"/>
    </row>
    <row r="261" spans="3:4" ht="18.75" customHeight="1" x14ac:dyDescent="0.25">
      <c r="C261" s="6"/>
      <c r="D261" s="104"/>
    </row>
    <row r="262" spans="3:4" ht="18.75" customHeight="1" x14ac:dyDescent="0.25">
      <c r="C262" s="6"/>
      <c r="D262" s="104"/>
    </row>
    <row r="263" spans="3:4" ht="18.75" customHeight="1" x14ac:dyDescent="0.25">
      <c r="C263" s="6"/>
      <c r="D263" s="104"/>
    </row>
    <row r="264" spans="3:4" ht="18.75" customHeight="1" x14ac:dyDescent="0.25">
      <c r="C264" s="6"/>
      <c r="D264" s="104"/>
    </row>
    <row r="265" spans="3:4" ht="18.75" customHeight="1" x14ac:dyDescent="0.25">
      <c r="C265" s="6"/>
      <c r="D265" s="104"/>
    </row>
    <row r="266" spans="3:4" ht="18.75" customHeight="1" x14ac:dyDescent="0.25">
      <c r="C266" s="6"/>
      <c r="D266" s="104"/>
    </row>
    <row r="267" spans="3:4" ht="18.75" customHeight="1" x14ac:dyDescent="0.25">
      <c r="C267" s="6"/>
      <c r="D267" s="104"/>
    </row>
    <row r="268" spans="3:4" ht="18.75" customHeight="1" x14ac:dyDescent="0.25">
      <c r="C268" s="6"/>
      <c r="D268" s="104"/>
    </row>
    <row r="269" spans="3:4" ht="18.75" customHeight="1" x14ac:dyDescent="0.25">
      <c r="C269" s="6"/>
      <c r="D269" s="104"/>
    </row>
    <row r="270" spans="3:4" ht="18.75" customHeight="1" x14ac:dyDescent="0.25">
      <c r="C270" s="6"/>
      <c r="D270" s="104"/>
    </row>
    <row r="271" spans="3:4" ht="18.75" customHeight="1" x14ac:dyDescent="0.25">
      <c r="C271" s="6"/>
      <c r="D271" s="104"/>
    </row>
    <row r="272" spans="3:4" ht="18.75" customHeight="1" x14ac:dyDescent="0.25">
      <c r="C272" s="6"/>
      <c r="D272" s="104"/>
    </row>
    <row r="273" spans="3:4" ht="18.75" customHeight="1" x14ac:dyDescent="0.25">
      <c r="C273" s="6"/>
      <c r="D273" s="104"/>
    </row>
    <row r="274" spans="3:4" ht="18.75" customHeight="1" x14ac:dyDescent="0.25">
      <c r="C274" s="6"/>
      <c r="D274" s="104"/>
    </row>
    <row r="275" spans="3:4" ht="18.75" customHeight="1" x14ac:dyDescent="0.25">
      <c r="C275" s="6"/>
      <c r="D275" s="104"/>
    </row>
    <row r="276" spans="3:4" ht="18.75" customHeight="1" x14ac:dyDescent="0.25">
      <c r="C276" s="6"/>
      <c r="D276" s="104"/>
    </row>
    <row r="277" spans="3:4" ht="18.75" customHeight="1" x14ac:dyDescent="0.25">
      <c r="C277" s="6"/>
      <c r="D277" s="104"/>
    </row>
    <row r="278" spans="3:4" ht="18.75" customHeight="1" x14ac:dyDescent="0.25">
      <c r="C278" s="6"/>
      <c r="D278" s="104"/>
    </row>
    <row r="279" spans="3:4" ht="18.75" customHeight="1" x14ac:dyDescent="0.25">
      <c r="C279" s="6"/>
      <c r="D279" s="104"/>
    </row>
    <row r="280" spans="3:4" ht="18.75" customHeight="1" x14ac:dyDescent="0.25">
      <c r="C280" s="6"/>
      <c r="D280" s="104"/>
    </row>
    <row r="281" spans="3:4" ht="18.75" customHeight="1" x14ac:dyDescent="0.25">
      <c r="C281" s="6"/>
      <c r="D281" s="104"/>
    </row>
    <row r="282" spans="3:4" ht="18.75" customHeight="1" x14ac:dyDescent="0.25">
      <c r="C282" s="6"/>
      <c r="D282" s="104"/>
    </row>
    <row r="283" spans="3:4" ht="18.75" customHeight="1" x14ac:dyDescent="0.25">
      <c r="C283" s="6"/>
      <c r="D283" s="104"/>
    </row>
    <row r="284" spans="3:4" ht="18.75" customHeight="1" x14ac:dyDescent="0.25">
      <c r="C284" s="6"/>
      <c r="D284" s="104"/>
    </row>
    <row r="285" spans="3:4" ht="18.75" customHeight="1" x14ac:dyDescent="0.25">
      <c r="C285" s="6"/>
      <c r="D285" s="104"/>
    </row>
    <row r="286" spans="3:4" ht="18.75" customHeight="1" x14ac:dyDescent="0.25">
      <c r="C286" s="6"/>
      <c r="D286" s="104"/>
    </row>
    <row r="287" spans="3:4" ht="18.75" customHeight="1" x14ac:dyDescent="0.25">
      <c r="C287" s="6"/>
      <c r="D287" s="104"/>
    </row>
    <row r="288" spans="3:4" ht="18.75" customHeight="1" x14ac:dyDescent="0.25">
      <c r="C288" s="6"/>
      <c r="D288" s="104"/>
    </row>
    <row r="289" spans="3:4" ht="18.75" customHeight="1" x14ac:dyDescent="0.25">
      <c r="C289" s="6"/>
      <c r="D289" s="104"/>
    </row>
    <row r="290" spans="3:4" ht="18.75" customHeight="1" x14ac:dyDescent="0.25">
      <c r="C290" s="6"/>
      <c r="D290" s="104"/>
    </row>
    <row r="291" spans="3:4" ht="18.75" customHeight="1" x14ac:dyDescent="0.25">
      <c r="C291" s="6"/>
      <c r="D291" s="104"/>
    </row>
    <row r="292" spans="3:4" ht="18.75" customHeight="1" x14ac:dyDescent="0.25">
      <c r="C292" s="6"/>
      <c r="D292" s="104"/>
    </row>
    <row r="293" spans="3:4" ht="18.75" customHeight="1" x14ac:dyDescent="0.25">
      <c r="C293" s="6"/>
      <c r="D293" s="104"/>
    </row>
    <row r="294" spans="3:4" ht="18.75" customHeight="1" x14ac:dyDescent="0.25">
      <c r="C294" s="6"/>
      <c r="D294" s="104"/>
    </row>
    <row r="295" spans="3:4" ht="18.75" customHeight="1" x14ac:dyDescent="0.25">
      <c r="C295" s="6"/>
      <c r="D295" s="104"/>
    </row>
    <row r="296" spans="3:4" ht="18.75" customHeight="1" x14ac:dyDescent="0.25">
      <c r="C296" s="6"/>
      <c r="D296" s="104"/>
    </row>
    <row r="297" spans="3:4" ht="18.75" customHeight="1" x14ac:dyDescent="0.25">
      <c r="C297" s="6"/>
      <c r="D297" s="104"/>
    </row>
    <row r="298" spans="3:4" ht="18.75" customHeight="1" x14ac:dyDescent="0.25">
      <c r="C298" s="6"/>
      <c r="D298" s="104"/>
    </row>
    <row r="299" spans="3:4" ht="18.75" customHeight="1" x14ac:dyDescent="0.25">
      <c r="C299" s="6"/>
      <c r="D299" s="104"/>
    </row>
    <row r="300" spans="3:4" ht="18.75" customHeight="1" x14ac:dyDescent="0.25">
      <c r="C300" s="6"/>
      <c r="D300" s="104"/>
    </row>
    <row r="301" spans="3:4" ht="18.75" customHeight="1" x14ac:dyDescent="0.25">
      <c r="C301" s="6"/>
      <c r="D301" s="104"/>
    </row>
    <row r="302" spans="3:4" ht="18.75" customHeight="1" x14ac:dyDescent="0.25">
      <c r="C302" s="6"/>
      <c r="D302" s="104"/>
    </row>
    <row r="303" spans="3:4" ht="18.75" customHeight="1" x14ac:dyDescent="0.25">
      <c r="C303" s="6"/>
      <c r="D303" s="104"/>
    </row>
    <row r="304" spans="3:4" ht="18.75" customHeight="1" x14ac:dyDescent="0.25">
      <c r="C304" s="6"/>
      <c r="D304" s="104"/>
    </row>
    <row r="305" spans="3:4" ht="18.75" customHeight="1" x14ac:dyDescent="0.25">
      <c r="C305" s="6"/>
      <c r="D305" s="104"/>
    </row>
    <row r="306" spans="3:4" ht="18.75" customHeight="1" x14ac:dyDescent="0.25">
      <c r="C306" s="6"/>
      <c r="D306" s="104"/>
    </row>
    <row r="307" spans="3:4" ht="18.75" customHeight="1" x14ac:dyDescent="0.25">
      <c r="C307" s="6"/>
      <c r="D307" s="104"/>
    </row>
    <row r="308" spans="3:4" ht="18.75" customHeight="1" x14ac:dyDescent="0.25">
      <c r="C308" s="6"/>
      <c r="D308" s="104"/>
    </row>
    <row r="309" spans="3:4" ht="18.75" customHeight="1" x14ac:dyDescent="0.25">
      <c r="C309" s="6"/>
      <c r="D309" s="104"/>
    </row>
    <row r="310" spans="3:4" ht="18.75" customHeight="1" x14ac:dyDescent="0.25">
      <c r="C310" s="6"/>
      <c r="D310" s="104"/>
    </row>
    <row r="311" spans="3:4" ht="18.75" customHeight="1" x14ac:dyDescent="0.25">
      <c r="C311" s="6"/>
      <c r="D311" s="104"/>
    </row>
    <row r="312" spans="3:4" ht="18.75" customHeight="1" x14ac:dyDescent="0.25">
      <c r="C312" s="6"/>
      <c r="D312" s="104"/>
    </row>
    <row r="313" spans="3:4" ht="18.75" customHeight="1" x14ac:dyDescent="0.25">
      <c r="C313" s="6"/>
      <c r="D313" s="104"/>
    </row>
    <row r="314" spans="3:4" ht="18.75" customHeight="1" x14ac:dyDescent="0.25">
      <c r="C314" s="6"/>
      <c r="D314" s="104"/>
    </row>
    <row r="315" spans="3:4" ht="18.75" customHeight="1" x14ac:dyDescent="0.25">
      <c r="C315" s="6"/>
      <c r="D315" s="104"/>
    </row>
    <row r="316" spans="3:4" ht="18.75" customHeight="1" x14ac:dyDescent="0.25">
      <c r="C316" s="6"/>
      <c r="D316" s="104"/>
    </row>
    <row r="317" spans="3:4" ht="18.75" customHeight="1" x14ac:dyDescent="0.25">
      <c r="C317" s="6"/>
      <c r="D317" s="104"/>
    </row>
    <row r="318" spans="3:4" ht="18.75" customHeight="1" x14ac:dyDescent="0.25">
      <c r="C318" s="6"/>
      <c r="D318" s="104"/>
    </row>
    <row r="319" spans="3:4" ht="18.75" customHeight="1" x14ac:dyDescent="0.25">
      <c r="C319" s="6"/>
      <c r="D319" s="104"/>
    </row>
    <row r="320" spans="3:4" ht="18.75" customHeight="1" x14ac:dyDescent="0.25">
      <c r="C320" s="6"/>
      <c r="D320" s="104"/>
    </row>
    <row r="321" spans="3:4" ht="18.75" customHeight="1" x14ac:dyDescent="0.25">
      <c r="C321" s="6"/>
      <c r="D321" s="104"/>
    </row>
    <row r="322" spans="3:4" ht="18.75" customHeight="1" x14ac:dyDescent="0.25">
      <c r="C322" s="6"/>
      <c r="D322" s="104"/>
    </row>
    <row r="323" spans="3:4" ht="18.75" customHeight="1" x14ac:dyDescent="0.25">
      <c r="C323" s="6"/>
      <c r="D323" s="104"/>
    </row>
    <row r="324" spans="3:4" ht="18.75" customHeight="1" x14ac:dyDescent="0.25">
      <c r="C324" s="6"/>
      <c r="D324" s="104"/>
    </row>
    <row r="325" spans="3:4" ht="18.75" customHeight="1" x14ac:dyDescent="0.25">
      <c r="C325" s="6"/>
      <c r="D325" s="104"/>
    </row>
    <row r="326" spans="3:4" ht="18.75" customHeight="1" x14ac:dyDescent="0.25">
      <c r="C326" s="6"/>
      <c r="D326" s="104"/>
    </row>
    <row r="327" spans="3:4" ht="18.75" customHeight="1" x14ac:dyDescent="0.25">
      <c r="C327" s="6"/>
      <c r="D327" s="104"/>
    </row>
    <row r="328" spans="3:4" ht="18.75" customHeight="1" x14ac:dyDescent="0.25">
      <c r="C328" s="6"/>
      <c r="D328" s="104"/>
    </row>
    <row r="329" spans="3:4" ht="18.75" customHeight="1" x14ac:dyDescent="0.25">
      <c r="C329" s="6"/>
      <c r="D329" s="104"/>
    </row>
    <row r="330" spans="3:4" ht="18.75" customHeight="1" x14ac:dyDescent="0.25">
      <c r="C330" s="6"/>
      <c r="D330" s="104"/>
    </row>
    <row r="331" spans="3:4" ht="18.75" customHeight="1" x14ac:dyDescent="0.25">
      <c r="C331" s="6"/>
      <c r="D331" s="104"/>
    </row>
    <row r="332" spans="3:4" ht="18.75" customHeight="1" x14ac:dyDescent="0.25">
      <c r="C332" s="6"/>
      <c r="D332" s="104"/>
    </row>
    <row r="333" spans="3:4" ht="18.75" customHeight="1" x14ac:dyDescent="0.25">
      <c r="C333" s="6"/>
      <c r="D333" s="104"/>
    </row>
    <row r="334" spans="3:4" ht="18.75" customHeight="1" x14ac:dyDescent="0.25">
      <c r="C334" s="6"/>
      <c r="D334" s="104"/>
    </row>
    <row r="335" spans="3:4" ht="18.75" customHeight="1" x14ac:dyDescent="0.25">
      <c r="C335" s="6"/>
      <c r="D335" s="104"/>
    </row>
    <row r="336" spans="3:4" ht="18.75" customHeight="1" x14ac:dyDescent="0.25">
      <c r="C336" s="6"/>
      <c r="D336" s="104"/>
    </row>
    <row r="337" spans="3:4" ht="18.75" customHeight="1" x14ac:dyDescent="0.25">
      <c r="C337" s="6"/>
      <c r="D337" s="104"/>
    </row>
    <row r="338" spans="3:4" ht="18.75" customHeight="1" x14ac:dyDescent="0.25">
      <c r="C338" s="6"/>
      <c r="D338" s="104"/>
    </row>
    <row r="339" spans="3:4" ht="18.75" customHeight="1" x14ac:dyDescent="0.25">
      <c r="C339" s="6"/>
      <c r="D339" s="104"/>
    </row>
    <row r="340" spans="3:4" ht="18.75" customHeight="1" x14ac:dyDescent="0.25">
      <c r="C340" s="6"/>
      <c r="D340" s="104"/>
    </row>
    <row r="341" spans="3:4" ht="18.75" customHeight="1" x14ac:dyDescent="0.25">
      <c r="C341" s="6"/>
      <c r="D341" s="104"/>
    </row>
    <row r="342" spans="3:4" ht="18.75" customHeight="1" x14ac:dyDescent="0.25">
      <c r="C342" s="6"/>
      <c r="D342" s="104"/>
    </row>
    <row r="343" spans="3:4" ht="18.75" customHeight="1" x14ac:dyDescent="0.25">
      <c r="C343" s="6"/>
      <c r="D343" s="104"/>
    </row>
    <row r="344" spans="3:4" ht="18.75" customHeight="1" x14ac:dyDescent="0.25">
      <c r="C344" s="6"/>
      <c r="D344" s="104"/>
    </row>
    <row r="345" spans="3:4" ht="18.75" customHeight="1" x14ac:dyDescent="0.25">
      <c r="C345" s="6"/>
      <c r="D345" s="104"/>
    </row>
    <row r="346" spans="3:4" ht="18.75" customHeight="1" x14ac:dyDescent="0.25">
      <c r="C346" s="6"/>
      <c r="D346" s="104"/>
    </row>
    <row r="347" spans="3:4" ht="18.75" customHeight="1" x14ac:dyDescent="0.25">
      <c r="C347" s="6"/>
      <c r="D347" s="104"/>
    </row>
    <row r="348" spans="3:4" ht="18.75" customHeight="1" x14ac:dyDescent="0.25">
      <c r="C348" s="6"/>
      <c r="D348" s="104"/>
    </row>
    <row r="349" spans="3:4" ht="18.75" customHeight="1" x14ac:dyDescent="0.25">
      <c r="C349" s="6"/>
      <c r="D349" s="104"/>
    </row>
    <row r="350" spans="3:4" ht="18.75" customHeight="1" x14ac:dyDescent="0.25">
      <c r="C350" s="6"/>
      <c r="D350" s="104"/>
    </row>
    <row r="351" spans="3:4" ht="18.75" customHeight="1" x14ac:dyDescent="0.25">
      <c r="C351" s="6"/>
      <c r="D351" s="104"/>
    </row>
    <row r="352" spans="3:4" ht="18.75" customHeight="1" x14ac:dyDescent="0.25">
      <c r="C352" s="6"/>
      <c r="D352" s="104"/>
    </row>
    <row r="353" spans="3:4" ht="18.75" customHeight="1" x14ac:dyDescent="0.25">
      <c r="C353" s="6"/>
      <c r="D353" s="104"/>
    </row>
    <row r="354" spans="3:4" ht="18.75" customHeight="1" x14ac:dyDescent="0.25">
      <c r="C354" s="6"/>
      <c r="D354" s="104"/>
    </row>
    <row r="355" spans="3:4" ht="18.75" customHeight="1" x14ac:dyDescent="0.25">
      <c r="C355" s="6"/>
      <c r="D355" s="104"/>
    </row>
    <row r="356" spans="3:4" ht="18.75" customHeight="1" x14ac:dyDescent="0.25">
      <c r="C356" s="6"/>
      <c r="D356" s="104"/>
    </row>
    <row r="357" spans="3:4" ht="18.75" customHeight="1" x14ac:dyDescent="0.25">
      <c r="C357" s="6"/>
      <c r="D357" s="104"/>
    </row>
    <row r="358" spans="3:4" ht="18.75" customHeight="1" x14ac:dyDescent="0.25">
      <c r="C358" s="6"/>
      <c r="D358" s="104"/>
    </row>
    <row r="359" spans="3:4" ht="18.75" customHeight="1" x14ac:dyDescent="0.25">
      <c r="C359" s="6"/>
      <c r="D359" s="104"/>
    </row>
    <row r="360" spans="3:4" ht="18.75" customHeight="1" x14ac:dyDescent="0.25">
      <c r="C360" s="6"/>
      <c r="D360" s="104"/>
    </row>
    <row r="361" spans="3:4" ht="18.75" customHeight="1" x14ac:dyDescent="0.25">
      <c r="C361" s="6"/>
      <c r="D361" s="104"/>
    </row>
    <row r="362" spans="3:4" ht="18.75" customHeight="1" x14ac:dyDescent="0.25">
      <c r="C362" s="6"/>
      <c r="D362" s="104"/>
    </row>
    <row r="363" spans="3:4" ht="18.75" customHeight="1" x14ac:dyDescent="0.25">
      <c r="C363" s="6"/>
      <c r="D363" s="104"/>
    </row>
    <row r="364" spans="3:4" ht="18.75" customHeight="1" x14ac:dyDescent="0.25">
      <c r="C364" s="6"/>
      <c r="D364" s="104"/>
    </row>
    <row r="365" spans="3:4" ht="18.75" customHeight="1" x14ac:dyDescent="0.25">
      <c r="C365" s="6"/>
      <c r="D365" s="104"/>
    </row>
    <row r="366" spans="3:4" ht="18.75" customHeight="1" x14ac:dyDescent="0.25">
      <c r="C366" s="6"/>
      <c r="D366" s="104"/>
    </row>
    <row r="367" spans="3:4" ht="18.75" customHeight="1" x14ac:dyDescent="0.25">
      <c r="C367" s="6"/>
      <c r="D367" s="104"/>
    </row>
    <row r="368" spans="3:4" ht="18.75" customHeight="1" x14ac:dyDescent="0.25">
      <c r="C368" s="6"/>
      <c r="D368" s="104"/>
    </row>
    <row r="369" spans="3:4" ht="18.75" customHeight="1" x14ac:dyDescent="0.25">
      <c r="C369" s="6"/>
      <c r="D369" s="104"/>
    </row>
    <row r="370" spans="3:4" ht="18.75" customHeight="1" x14ac:dyDescent="0.25">
      <c r="C370" s="6"/>
      <c r="D370" s="104"/>
    </row>
    <row r="371" spans="3:4" ht="18.75" customHeight="1" x14ac:dyDescent="0.25">
      <c r="C371" s="6"/>
      <c r="D371" s="104"/>
    </row>
    <row r="372" spans="3:4" ht="18.75" customHeight="1" x14ac:dyDescent="0.25">
      <c r="C372" s="6"/>
      <c r="D372" s="104"/>
    </row>
    <row r="373" spans="3:4" ht="18.75" customHeight="1" x14ac:dyDescent="0.25">
      <c r="C373" s="6"/>
      <c r="D373" s="104"/>
    </row>
    <row r="374" spans="3:4" ht="18.75" customHeight="1" x14ac:dyDescent="0.25">
      <c r="C374" s="6"/>
      <c r="D374" s="104"/>
    </row>
    <row r="375" spans="3:4" ht="18.75" customHeight="1" x14ac:dyDescent="0.25">
      <c r="C375" s="6"/>
      <c r="D375" s="104"/>
    </row>
    <row r="376" spans="3:4" ht="18.75" customHeight="1" x14ac:dyDescent="0.25">
      <c r="C376" s="6"/>
      <c r="D376" s="104"/>
    </row>
    <row r="377" spans="3:4" ht="18.75" customHeight="1" x14ac:dyDescent="0.25">
      <c r="C377" s="6"/>
      <c r="D377" s="104"/>
    </row>
    <row r="378" spans="3:4" ht="18.75" customHeight="1" x14ac:dyDescent="0.25">
      <c r="C378" s="6"/>
      <c r="D378" s="104"/>
    </row>
    <row r="379" spans="3:4" ht="18.75" customHeight="1" x14ac:dyDescent="0.25">
      <c r="C379" s="6"/>
      <c r="D379" s="104"/>
    </row>
    <row r="380" spans="3:4" ht="18.75" customHeight="1" x14ac:dyDescent="0.25">
      <c r="C380" s="6"/>
      <c r="D380" s="104"/>
    </row>
    <row r="381" spans="3:4" ht="18.75" customHeight="1" x14ac:dyDescent="0.25">
      <c r="C381" s="6"/>
      <c r="D381" s="104"/>
    </row>
    <row r="382" spans="3:4" ht="18.75" customHeight="1" x14ac:dyDescent="0.25">
      <c r="C382" s="6"/>
      <c r="D382" s="104"/>
    </row>
    <row r="383" spans="3:4" ht="18.75" customHeight="1" x14ac:dyDescent="0.25">
      <c r="C383" s="6"/>
      <c r="D383" s="104"/>
    </row>
    <row r="384" spans="3:4" ht="18.75" customHeight="1" x14ac:dyDescent="0.25">
      <c r="C384" s="6"/>
      <c r="D384" s="104"/>
    </row>
    <row r="385" spans="3:4" ht="18.75" customHeight="1" x14ac:dyDescent="0.25">
      <c r="C385" s="6"/>
      <c r="D385" s="104"/>
    </row>
    <row r="386" spans="3:4" ht="18.75" customHeight="1" x14ac:dyDescent="0.25">
      <c r="C386" s="6"/>
      <c r="D386" s="104"/>
    </row>
    <row r="387" spans="3:4" ht="18.75" customHeight="1" x14ac:dyDescent="0.25">
      <c r="C387" s="6"/>
      <c r="D387" s="104"/>
    </row>
    <row r="388" spans="3:4" ht="18.75" customHeight="1" x14ac:dyDescent="0.25">
      <c r="C388" s="6"/>
      <c r="D388" s="104"/>
    </row>
    <row r="389" spans="3:4" ht="18.75" customHeight="1" x14ac:dyDescent="0.25">
      <c r="C389" s="6"/>
      <c r="D389" s="104"/>
    </row>
    <row r="390" spans="3:4" ht="18.75" customHeight="1" x14ac:dyDescent="0.25">
      <c r="C390" s="6"/>
      <c r="D390" s="104"/>
    </row>
    <row r="391" spans="3:4" ht="18.75" customHeight="1" x14ac:dyDescent="0.25">
      <c r="C391" s="6"/>
      <c r="D391" s="104"/>
    </row>
    <row r="392" spans="3:4" ht="18.75" customHeight="1" x14ac:dyDescent="0.25">
      <c r="C392" s="6"/>
      <c r="D392" s="104"/>
    </row>
    <row r="393" spans="3:4" ht="18.75" customHeight="1" x14ac:dyDescent="0.25">
      <c r="C393" s="6"/>
      <c r="D393" s="104"/>
    </row>
    <row r="394" spans="3:4" ht="18.75" customHeight="1" x14ac:dyDescent="0.25">
      <c r="C394" s="6"/>
      <c r="D394" s="104"/>
    </row>
    <row r="395" spans="3:4" ht="18.75" customHeight="1" x14ac:dyDescent="0.25">
      <c r="C395" s="6"/>
      <c r="D395" s="104"/>
    </row>
    <row r="396" spans="3:4" ht="18.75" customHeight="1" x14ac:dyDescent="0.25">
      <c r="C396" s="6"/>
      <c r="D396" s="104"/>
    </row>
    <row r="397" spans="3:4" ht="18.75" customHeight="1" x14ac:dyDescent="0.25">
      <c r="C397" s="6"/>
      <c r="D397" s="104"/>
    </row>
    <row r="398" spans="3:4" ht="18.75" customHeight="1" x14ac:dyDescent="0.25">
      <c r="C398" s="6"/>
      <c r="D398" s="104"/>
    </row>
    <row r="399" spans="3:4" ht="18.75" customHeight="1" x14ac:dyDescent="0.25">
      <c r="C399" s="6"/>
      <c r="D399" s="104"/>
    </row>
    <row r="400" spans="3:4" ht="18.75" customHeight="1" x14ac:dyDescent="0.25">
      <c r="C400" s="6"/>
      <c r="D400" s="104"/>
    </row>
    <row r="401" spans="3:4" ht="18.75" customHeight="1" x14ac:dyDescent="0.25">
      <c r="C401" s="6"/>
      <c r="D401" s="104"/>
    </row>
    <row r="402" spans="3:4" ht="18.75" customHeight="1" x14ac:dyDescent="0.25">
      <c r="C402" s="6"/>
      <c r="D402" s="104"/>
    </row>
    <row r="403" spans="3:4" ht="18.75" customHeight="1" x14ac:dyDescent="0.25">
      <c r="C403" s="6"/>
      <c r="D403" s="104"/>
    </row>
    <row r="404" spans="3:4" ht="18.75" customHeight="1" x14ac:dyDescent="0.25">
      <c r="C404" s="6"/>
      <c r="D404" s="104"/>
    </row>
    <row r="405" spans="3:4" ht="18.75" customHeight="1" x14ac:dyDescent="0.25">
      <c r="C405" s="6"/>
      <c r="D405" s="104"/>
    </row>
    <row r="406" spans="3:4" ht="18.75" customHeight="1" x14ac:dyDescent="0.25">
      <c r="C406" s="6"/>
      <c r="D406" s="104"/>
    </row>
    <row r="407" spans="3:4" ht="18.75" customHeight="1" x14ac:dyDescent="0.25">
      <c r="C407" s="6"/>
      <c r="D407" s="104"/>
    </row>
    <row r="408" spans="3:4" ht="18.75" customHeight="1" x14ac:dyDescent="0.25">
      <c r="C408" s="6"/>
      <c r="D408" s="104"/>
    </row>
    <row r="409" spans="3:4" ht="18.75" customHeight="1" x14ac:dyDescent="0.25">
      <c r="C409" s="6"/>
      <c r="D409" s="104"/>
    </row>
    <row r="410" spans="3:4" ht="18.75" customHeight="1" x14ac:dyDescent="0.25">
      <c r="C410" s="6"/>
      <c r="D410" s="104"/>
    </row>
    <row r="411" spans="3:4" ht="18.75" customHeight="1" x14ac:dyDescent="0.25">
      <c r="C411" s="6"/>
      <c r="D411" s="104"/>
    </row>
    <row r="412" spans="3:4" ht="18.75" customHeight="1" x14ac:dyDescent="0.25">
      <c r="C412" s="6"/>
      <c r="D412" s="104"/>
    </row>
    <row r="413" spans="3:4" ht="18.75" customHeight="1" x14ac:dyDescent="0.25">
      <c r="C413" s="6"/>
      <c r="D413" s="104"/>
    </row>
    <row r="414" spans="3:4" ht="18.75" customHeight="1" x14ac:dyDescent="0.25">
      <c r="C414" s="6"/>
      <c r="D414" s="104"/>
    </row>
    <row r="415" spans="3:4" ht="18.75" customHeight="1" x14ac:dyDescent="0.25">
      <c r="C415" s="6"/>
      <c r="D415" s="104"/>
    </row>
    <row r="416" spans="3:4" ht="18.75" customHeight="1" x14ac:dyDescent="0.25">
      <c r="C416" s="6"/>
      <c r="D416" s="104"/>
    </row>
    <row r="417" spans="3:4" ht="18.75" customHeight="1" x14ac:dyDescent="0.25">
      <c r="C417" s="6"/>
      <c r="D417" s="104"/>
    </row>
    <row r="418" spans="3:4" ht="18.75" customHeight="1" x14ac:dyDescent="0.25">
      <c r="C418" s="6"/>
      <c r="D418" s="104"/>
    </row>
    <row r="419" spans="3:4" ht="18.75" customHeight="1" x14ac:dyDescent="0.25">
      <c r="C419" s="6"/>
      <c r="D419" s="104"/>
    </row>
    <row r="420" spans="3:4" ht="18.75" customHeight="1" x14ac:dyDescent="0.25">
      <c r="C420" s="6"/>
      <c r="D420" s="104"/>
    </row>
    <row r="421" spans="3:4" ht="18.75" customHeight="1" x14ac:dyDescent="0.25">
      <c r="C421" s="6"/>
      <c r="D421" s="104"/>
    </row>
    <row r="422" spans="3:4" ht="18.75" customHeight="1" x14ac:dyDescent="0.25">
      <c r="C422" s="6"/>
      <c r="D422" s="104"/>
    </row>
    <row r="423" spans="3:4" ht="18.75" customHeight="1" x14ac:dyDescent="0.25">
      <c r="C423" s="6"/>
      <c r="D423" s="104"/>
    </row>
    <row r="424" spans="3:4" ht="18.75" customHeight="1" x14ac:dyDescent="0.25">
      <c r="C424" s="6"/>
      <c r="D424" s="104"/>
    </row>
    <row r="425" spans="3:4" ht="18.75" customHeight="1" x14ac:dyDescent="0.25">
      <c r="C425" s="6"/>
      <c r="D425" s="104"/>
    </row>
    <row r="426" spans="3:4" ht="18.75" customHeight="1" x14ac:dyDescent="0.25">
      <c r="C426" s="6"/>
      <c r="D426" s="104"/>
    </row>
    <row r="427" spans="3:4" ht="18.75" customHeight="1" x14ac:dyDescent="0.25">
      <c r="C427" s="6"/>
      <c r="D427" s="104"/>
    </row>
    <row r="428" spans="3:4" ht="18.75" customHeight="1" x14ac:dyDescent="0.25">
      <c r="C428" s="6"/>
      <c r="D428" s="104"/>
    </row>
    <row r="429" spans="3:4" ht="18.75" customHeight="1" x14ac:dyDescent="0.25">
      <c r="C429" s="6"/>
      <c r="D429" s="104"/>
    </row>
    <row r="430" spans="3:4" ht="18.75" customHeight="1" x14ac:dyDescent="0.25">
      <c r="C430" s="6"/>
      <c r="D430" s="104"/>
    </row>
    <row r="431" spans="3:4" ht="18.75" customHeight="1" x14ac:dyDescent="0.25">
      <c r="C431" s="6"/>
      <c r="D431" s="104"/>
    </row>
    <row r="432" spans="3:4" ht="18.75" customHeight="1" x14ac:dyDescent="0.25">
      <c r="C432" s="6"/>
      <c r="D432" s="104"/>
    </row>
    <row r="433" spans="3:4" ht="18.75" customHeight="1" x14ac:dyDescent="0.25">
      <c r="C433" s="6"/>
      <c r="D433" s="104"/>
    </row>
    <row r="434" spans="3:4" ht="18.75" customHeight="1" x14ac:dyDescent="0.25">
      <c r="C434" s="6"/>
      <c r="D434" s="104"/>
    </row>
    <row r="435" spans="3:4" ht="18.75" customHeight="1" x14ac:dyDescent="0.25">
      <c r="C435" s="6"/>
      <c r="D435" s="104"/>
    </row>
    <row r="436" spans="3:4" ht="18.75" customHeight="1" x14ac:dyDescent="0.25">
      <c r="C436" s="6"/>
      <c r="D436" s="104"/>
    </row>
    <row r="437" spans="3:4" ht="18.75" customHeight="1" x14ac:dyDescent="0.25">
      <c r="C437" s="6"/>
      <c r="D437" s="104"/>
    </row>
    <row r="438" spans="3:4" ht="18.75" customHeight="1" x14ac:dyDescent="0.25">
      <c r="C438" s="6"/>
      <c r="D438" s="104"/>
    </row>
    <row r="439" spans="3:4" ht="18.75" customHeight="1" x14ac:dyDescent="0.25">
      <c r="C439" s="6"/>
      <c r="D439" s="104"/>
    </row>
    <row r="440" spans="3:4" ht="18.75" customHeight="1" x14ac:dyDescent="0.25">
      <c r="C440" s="6"/>
      <c r="D440" s="104"/>
    </row>
    <row r="441" spans="3:4" ht="18.75" customHeight="1" x14ac:dyDescent="0.25">
      <c r="C441" s="6"/>
      <c r="D441" s="104"/>
    </row>
    <row r="442" spans="3:4" ht="18.75" customHeight="1" x14ac:dyDescent="0.25">
      <c r="C442" s="6"/>
      <c r="D442" s="104"/>
    </row>
    <row r="443" spans="3:4" ht="18.75" customHeight="1" x14ac:dyDescent="0.25">
      <c r="C443" s="6"/>
      <c r="D443" s="104"/>
    </row>
    <row r="444" spans="3:4" ht="18.75" customHeight="1" x14ac:dyDescent="0.25">
      <c r="C444" s="6"/>
      <c r="D444" s="104"/>
    </row>
    <row r="445" spans="3:4" ht="18.75" customHeight="1" x14ac:dyDescent="0.25">
      <c r="C445" s="6"/>
      <c r="D445" s="104"/>
    </row>
    <row r="446" spans="3:4" ht="18.75" customHeight="1" x14ac:dyDescent="0.25">
      <c r="C446" s="6"/>
      <c r="D446" s="104"/>
    </row>
    <row r="447" spans="3:4" ht="18.75" customHeight="1" x14ac:dyDescent="0.25">
      <c r="C447" s="6"/>
      <c r="D447" s="104"/>
    </row>
    <row r="448" spans="3:4" ht="18.75" customHeight="1" x14ac:dyDescent="0.25">
      <c r="C448" s="6"/>
      <c r="D448" s="104"/>
    </row>
    <row r="449" spans="3:4" ht="18.75" customHeight="1" x14ac:dyDescent="0.25">
      <c r="C449" s="6"/>
      <c r="D449" s="104"/>
    </row>
    <row r="450" spans="3:4" ht="18.75" customHeight="1" x14ac:dyDescent="0.25">
      <c r="C450" s="6"/>
      <c r="D450" s="104"/>
    </row>
    <row r="451" spans="3:4" ht="18.75" customHeight="1" x14ac:dyDescent="0.25">
      <c r="C451" s="6"/>
      <c r="D451" s="104"/>
    </row>
    <row r="452" spans="3:4" ht="18.75" customHeight="1" x14ac:dyDescent="0.25">
      <c r="C452" s="6"/>
      <c r="D452" s="104"/>
    </row>
    <row r="453" spans="3:4" ht="18.75" customHeight="1" x14ac:dyDescent="0.25">
      <c r="C453" s="6"/>
      <c r="D453" s="104"/>
    </row>
    <row r="454" spans="3:4" ht="18.75" customHeight="1" x14ac:dyDescent="0.25">
      <c r="C454" s="6"/>
      <c r="D454" s="104"/>
    </row>
    <row r="455" spans="3:4" ht="18.75" customHeight="1" x14ac:dyDescent="0.25">
      <c r="C455" s="6"/>
      <c r="D455" s="104"/>
    </row>
    <row r="456" spans="3:4" ht="18.75" customHeight="1" x14ac:dyDescent="0.25">
      <c r="C456" s="6"/>
      <c r="D456" s="104"/>
    </row>
    <row r="457" spans="3:4" ht="18.75" customHeight="1" x14ac:dyDescent="0.25">
      <c r="C457" s="6"/>
      <c r="D457" s="104"/>
    </row>
    <row r="458" spans="3:4" ht="18.75" customHeight="1" x14ac:dyDescent="0.25">
      <c r="C458" s="6"/>
      <c r="D458" s="104"/>
    </row>
    <row r="459" spans="3:4" ht="18.75" customHeight="1" x14ac:dyDescent="0.25">
      <c r="C459" s="6"/>
      <c r="D459" s="104"/>
    </row>
    <row r="460" spans="3:4" ht="18.75" customHeight="1" x14ac:dyDescent="0.25">
      <c r="C460" s="6"/>
      <c r="D460" s="104"/>
    </row>
    <row r="461" spans="3:4" ht="18.75" customHeight="1" x14ac:dyDescent="0.25">
      <c r="C461" s="6"/>
      <c r="D461" s="104"/>
    </row>
    <row r="462" spans="3:4" ht="18.75" customHeight="1" x14ac:dyDescent="0.25">
      <c r="C462" s="6"/>
      <c r="D462" s="104"/>
    </row>
    <row r="463" spans="3:4" ht="18.75" customHeight="1" x14ac:dyDescent="0.25">
      <c r="C463" s="6"/>
      <c r="D463" s="104"/>
    </row>
    <row r="464" spans="3:4" ht="18.75" customHeight="1" x14ac:dyDescent="0.25">
      <c r="C464" s="6"/>
      <c r="D464" s="104"/>
    </row>
    <row r="465" spans="3:4" ht="18.75" customHeight="1" x14ac:dyDescent="0.25">
      <c r="C465" s="6"/>
      <c r="D465" s="104"/>
    </row>
    <row r="466" spans="3:4" ht="18.75" customHeight="1" x14ac:dyDescent="0.25">
      <c r="C466" s="6"/>
      <c r="D466" s="104"/>
    </row>
    <row r="467" spans="3:4" ht="18.75" customHeight="1" x14ac:dyDescent="0.25">
      <c r="C467" s="6"/>
      <c r="D467" s="104"/>
    </row>
    <row r="468" spans="3:4" ht="18.75" customHeight="1" x14ac:dyDescent="0.25">
      <c r="C468" s="6"/>
      <c r="D468" s="104"/>
    </row>
    <row r="469" spans="3:4" ht="18.75" customHeight="1" x14ac:dyDescent="0.25">
      <c r="C469" s="6"/>
      <c r="D469" s="104"/>
    </row>
    <row r="470" spans="3:4" ht="18.75" customHeight="1" x14ac:dyDescent="0.25">
      <c r="C470" s="6"/>
      <c r="D470" s="104"/>
    </row>
    <row r="471" spans="3:4" ht="18.75" customHeight="1" x14ac:dyDescent="0.25">
      <c r="C471" s="6"/>
      <c r="D471" s="104"/>
    </row>
    <row r="472" spans="3:4" ht="18.75" customHeight="1" x14ac:dyDescent="0.25">
      <c r="C472" s="6"/>
      <c r="D472" s="104"/>
    </row>
    <row r="473" spans="3:4" ht="18.75" customHeight="1" x14ac:dyDescent="0.25">
      <c r="C473" s="6"/>
      <c r="D473" s="104"/>
    </row>
    <row r="474" spans="3:4" ht="18.75" customHeight="1" x14ac:dyDescent="0.25">
      <c r="C474" s="6"/>
      <c r="D474" s="104"/>
    </row>
    <row r="475" spans="3:4" ht="18.75" customHeight="1" x14ac:dyDescent="0.25">
      <c r="C475" s="6"/>
      <c r="D475" s="104"/>
    </row>
    <row r="476" spans="3:4" ht="18.75" customHeight="1" x14ac:dyDescent="0.25">
      <c r="C476" s="6"/>
      <c r="D476" s="104"/>
    </row>
    <row r="477" spans="3:4" ht="18.75" customHeight="1" x14ac:dyDescent="0.25">
      <c r="C477" s="6"/>
      <c r="D477" s="104"/>
    </row>
    <row r="478" spans="3:4" ht="18.75" customHeight="1" x14ac:dyDescent="0.25">
      <c r="C478" s="6"/>
      <c r="D478" s="104"/>
    </row>
    <row r="479" spans="3:4" ht="18.75" customHeight="1" x14ac:dyDescent="0.25">
      <c r="C479" s="6"/>
      <c r="D479" s="104"/>
    </row>
    <row r="480" spans="3:4" ht="18.75" customHeight="1" x14ac:dyDescent="0.25">
      <c r="C480" s="6"/>
      <c r="D480" s="104"/>
    </row>
    <row r="481" spans="3:4" ht="18.75" customHeight="1" x14ac:dyDescent="0.25">
      <c r="C481" s="6"/>
      <c r="D481" s="104"/>
    </row>
    <row r="482" spans="3:4" ht="18.75" customHeight="1" x14ac:dyDescent="0.25">
      <c r="C482" s="6"/>
      <c r="D482" s="104"/>
    </row>
    <row r="483" spans="3:4" ht="18.75" customHeight="1" x14ac:dyDescent="0.25">
      <c r="C483" s="6"/>
      <c r="D483" s="104"/>
    </row>
    <row r="484" spans="3:4" ht="18.75" customHeight="1" x14ac:dyDescent="0.25">
      <c r="C484" s="6"/>
      <c r="D484" s="104"/>
    </row>
    <row r="485" spans="3:4" ht="18.75" customHeight="1" x14ac:dyDescent="0.25">
      <c r="C485" s="6"/>
      <c r="D485" s="104"/>
    </row>
    <row r="486" spans="3:4" ht="18.75" customHeight="1" x14ac:dyDescent="0.25">
      <c r="C486" s="6"/>
      <c r="D486" s="104"/>
    </row>
    <row r="487" spans="3:4" ht="18.75" customHeight="1" x14ac:dyDescent="0.25">
      <c r="C487" s="6"/>
      <c r="D487" s="104"/>
    </row>
    <row r="488" spans="3:4" ht="18.75" customHeight="1" x14ac:dyDescent="0.25">
      <c r="C488" s="6"/>
      <c r="D488" s="104"/>
    </row>
    <row r="489" spans="3:4" ht="18.75" customHeight="1" x14ac:dyDescent="0.25">
      <c r="C489" s="6"/>
      <c r="D489" s="104"/>
    </row>
    <row r="490" spans="3:4" ht="18.75" customHeight="1" x14ac:dyDescent="0.25">
      <c r="C490" s="6"/>
      <c r="D490" s="104"/>
    </row>
    <row r="491" spans="3:4" ht="18.75" customHeight="1" x14ac:dyDescent="0.25">
      <c r="C491" s="6"/>
      <c r="D491" s="104"/>
    </row>
    <row r="492" spans="3:4" ht="18.75" customHeight="1" x14ac:dyDescent="0.25">
      <c r="C492" s="6"/>
      <c r="D492" s="104"/>
    </row>
    <row r="493" spans="3:4" ht="18.75" customHeight="1" x14ac:dyDescent="0.25">
      <c r="C493" s="6"/>
      <c r="D493" s="104"/>
    </row>
    <row r="494" spans="3:4" ht="18.75" customHeight="1" x14ac:dyDescent="0.25">
      <c r="C494" s="6"/>
      <c r="D494" s="104"/>
    </row>
    <row r="495" spans="3:4" ht="18.75" customHeight="1" x14ac:dyDescent="0.25">
      <c r="C495" s="6"/>
      <c r="D495" s="104"/>
    </row>
    <row r="496" spans="3:4" ht="18.75" customHeight="1" x14ac:dyDescent="0.25">
      <c r="C496" s="6"/>
      <c r="D496" s="104"/>
    </row>
    <row r="497" spans="3:4" ht="18.75" customHeight="1" x14ac:dyDescent="0.25">
      <c r="C497" s="6"/>
      <c r="D497" s="104"/>
    </row>
    <row r="498" spans="3:4" ht="18.75" customHeight="1" x14ac:dyDescent="0.25">
      <c r="C498" s="6"/>
      <c r="D498" s="104"/>
    </row>
    <row r="499" spans="3:4" ht="18.75" customHeight="1" x14ac:dyDescent="0.25">
      <c r="C499" s="6"/>
      <c r="D499" s="104"/>
    </row>
    <row r="500" spans="3:4" ht="18.75" customHeight="1" x14ac:dyDescent="0.25">
      <c r="C500" s="6"/>
      <c r="D500" s="104"/>
    </row>
    <row r="501" spans="3:4" ht="18.75" customHeight="1" x14ac:dyDescent="0.25">
      <c r="C501" s="6"/>
      <c r="D501" s="104"/>
    </row>
    <row r="502" spans="3:4" ht="18.75" customHeight="1" x14ac:dyDescent="0.25">
      <c r="C502" s="6"/>
      <c r="D502" s="104"/>
    </row>
    <row r="503" spans="3:4" ht="18.75" customHeight="1" x14ac:dyDescent="0.25">
      <c r="C503" s="6"/>
      <c r="D503" s="104"/>
    </row>
    <row r="504" spans="3:4" ht="18.75" customHeight="1" x14ac:dyDescent="0.25">
      <c r="C504" s="6"/>
      <c r="D504" s="104"/>
    </row>
    <row r="505" spans="3:4" ht="18.75" customHeight="1" x14ac:dyDescent="0.25">
      <c r="C505" s="6"/>
      <c r="D505" s="104"/>
    </row>
    <row r="506" spans="3:4" ht="18.75" customHeight="1" x14ac:dyDescent="0.25">
      <c r="C506" s="6"/>
      <c r="D506" s="104"/>
    </row>
    <row r="507" spans="3:4" ht="18.75" customHeight="1" x14ac:dyDescent="0.25">
      <c r="C507" s="6"/>
      <c r="D507" s="104"/>
    </row>
    <row r="508" spans="3:4" ht="18.75" customHeight="1" x14ac:dyDescent="0.25">
      <c r="C508" s="6"/>
      <c r="D508" s="104"/>
    </row>
    <row r="509" spans="3:4" ht="18.75" customHeight="1" x14ac:dyDescent="0.25">
      <c r="C509" s="6"/>
      <c r="D509" s="104"/>
    </row>
    <row r="510" spans="3:4" ht="18.75" customHeight="1" x14ac:dyDescent="0.25">
      <c r="C510" s="6"/>
      <c r="D510" s="104"/>
    </row>
    <row r="511" spans="3:4" ht="18.75" customHeight="1" x14ac:dyDescent="0.25">
      <c r="C511" s="6"/>
      <c r="D511" s="104"/>
    </row>
    <row r="512" spans="3:4" ht="18.75" customHeight="1" x14ac:dyDescent="0.25">
      <c r="C512" s="6"/>
      <c r="D512" s="104"/>
    </row>
    <row r="513" spans="3:4" ht="18.75" customHeight="1" x14ac:dyDescent="0.25">
      <c r="C513" s="6"/>
      <c r="D513" s="104"/>
    </row>
    <row r="514" spans="3:4" ht="18.75" customHeight="1" x14ac:dyDescent="0.25">
      <c r="C514" s="6"/>
      <c r="D514" s="104"/>
    </row>
    <row r="515" spans="3:4" ht="18.75" customHeight="1" x14ac:dyDescent="0.25">
      <c r="C515" s="6"/>
      <c r="D515" s="104"/>
    </row>
    <row r="516" spans="3:4" ht="18.75" customHeight="1" x14ac:dyDescent="0.25">
      <c r="C516" s="6"/>
      <c r="D516" s="104"/>
    </row>
    <row r="517" spans="3:4" ht="18.75" customHeight="1" x14ac:dyDescent="0.25">
      <c r="C517" s="6"/>
      <c r="D517" s="104"/>
    </row>
    <row r="518" spans="3:4" ht="18.75" customHeight="1" x14ac:dyDescent="0.25">
      <c r="C518" s="6"/>
      <c r="D518" s="104"/>
    </row>
    <row r="519" spans="3:4" ht="18.75" customHeight="1" x14ac:dyDescent="0.25">
      <c r="C519" s="6"/>
      <c r="D519" s="104"/>
    </row>
    <row r="520" spans="3:4" ht="18.75" customHeight="1" x14ac:dyDescent="0.25">
      <c r="C520" s="6"/>
      <c r="D520" s="104"/>
    </row>
    <row r="521" spans="3:4" ht="18.75" customHeight="1" x14ac:dyDescent="0.25">
      <c r="C521" s="6"/>
      <c r="D521" s="104"/>
    </row>
    <row r="522" spans="3:4" ht="18.75" customHeight="1" x14ac:dyDescent="0.25">
      <c r="C522" s="6"/>
      <c r="D522" s="104"/>
    </row>
    <row r="523" spans="3:4" ht="18.75" customHeight="1" x14ac:dyDescent="0.25">
      <c r="C523" s="6"/>
      <c r="D523" s="104"/>
    </row>
    <row r="524" spans="3:4" ht="18.75" customHeight="1" x14ac:dyDescent="0.25">
      <c r="C524" s="6"/>
      <c r="D524" s="104"/>
    </row>
    <row r="525" spans="3:4" ht="18.75" customHeight="1" x14ac:dyDescent="0.25">
      <c r="C525" s="6"/>
      <c r="D525" s="104"/>
    </row>
    <row r="526" spans="3:4" ht="18.75" customHeight="1" x14ac:dyDescent="0.25">
      <c r="C526" s="6"/>
      <c r="D526" s="104"/>
    </row>
    <row r="527" spans="3:4" ht="18.75" customHeight="1" x14ac:dyDescent="0.25">
      <c r="C527" s="6"/>
      <c r="D527" s="104"/>
    </row>
    <row r="528" spans="3:4" ht="18.75" customHeight="1" x14ac:dyDescent="0.25">
      <c r="C528" s="6"/>
      <c r="D528" s="104"/>
    </row>
    <row r="529" spans="3:4" ht="18.75" customHeight="1" x14ac:dyDescent="0.25">
      <c r="C529" s="6"/>
      <c r="D529" s="104"/>
    </row>
    <row r="530" spans="3:4" ht="18.75" customHeight="1" x14ac:dyDescent="0.25">
      <c r="C530" s="6"/>
      <c r="D530" s="104"/>
    </row>
    <row r="531" spans="3:4" ht="18.75" customHeight="1" x14ac:dyDescent="0.25">
      <c r="C531" s="6"/>
      <c r="D531" s="104"/>
    </row>
    <row r="532" spans="3:4" ht="18.75" customHeight="1" x14ac:dyDescent="0.25">
      <c r="C532" s="6"/>
      <c r="D532" s="104"/>
    </row>
    <row r="533" spans="3:4" ht="18.75" customHeight="1" x14ac:dyDescent="0.25">
      <c r="C533" s="6"/>
      <c r="D533" s="104"/>
    </row>
    <row r="534" spans="3:4" ht="18.75" customHeight="1" x14ac:dyDescent="0.25">
      <c r="C534" s="6"/>
      <c r="D534" s="104"/>
    </row>
    <row r="535" spans="3:4" ht="18.75" customHeight="1" x14ac:dyDescent="0.25">
      <c r="C535" s="6"/>
      <c r="D535" s="104"/>
    </row>
    <row r="536" spans="3:4" ht="18.75" customHeight="1" x14ac:dyDescent="0.25">
      <c r="C536" s="6"/>
      <c r="D536" s="104"/>
    </row>
    <row r="537" spans="3:4" ht="18.75" customHeight="1" x14ac:dyDescent="0.25">
      <c r="C537" s="6"/>
      <c r="D537" s="104"/>
    </row>
    <row r="538" spans="3:4" ht="18.75" customHeight="1" x14ac:dyDescent="0.25">
      <c r="C538" s="6"/>
      <c r="D538" s="104"/>
    </row>
    <row r="539" spans="3:4" ht="18.75" customHeight="1" x14ac:dyDescent="0.25">
      <c r="C539" s="6"/>
      <c r="D539" s="104"/>
    </row>
    <row r="540" spans="3:4" ht="18.75" customHeight="1" x14ac:dyDescent="0.25">
      <c r="C540" s="6"/>
      <c r="D540" s="104"/>
    </row>
    <row r="541" spans="3:4" ht="18.75" customHeight="1" x14ac:dyDescent="0.25">
      <c r="C541" s="6"/>
      <c r="D541" s="104"/>
    </row>
    <row r="542" spans="3:4" ht="18.75" customHeight="1" x14ac:dyDescent="0.25">
      <c r="C542" s="6"/>
      <c r="D542" s="104"/>
    </row>
    <row r="543" spans="3:4" ht="18.75" customHeight="1" x14ac:dyDescent="0.25">
      <c r="C543" s="6"/>
      <c r="D543" s="104"/>
    </row>
    <row r="544" spans="3:4" ht="18.75" customHeight="1" x14ac:dyDescent="0.25">
      <c r="C544" s="6"/>
      <c r="D544" s="104"/>
    </row>
    <row r="545" spans="3:4" ht="18.75" customHeight="1" x14ac:dyDescent="0.25">
      <c r="C545" s="6"/>
      <c r="D545" s="104"/>
    </row>
    <row r="546" spans="3:4" ht="18.75" customHeight="1" x14ac:dyDescent="0.25">
      <c r="C546" s="6"/>
      <c r="D546" s="104"/>
    </row>
    <row r="547" spans="3:4" ht="18.75" customHeight="1" x14ac:dyDescent="0.25">
      <c r="C547" s="6"/>
      <c r="D547" s="104"/>
    </row>
    <row r="548" spans="3:4" ht="18.75" customHeight="1" x14ac:dyDescent="0.25">
      <c r="C548" s="6"/>
      <c r="D548" s="104"/>
    </row>
    <row r="549" spans="3:4" ht="18.75" customHeight="1" x14ac:dyDescent="0.25">
      <c r="C549" s="6"/>
      <c r="D549" s="104"/>
    </row>
    <row r="550" spans="3:4" ht="18.75" customHeight="1" x14ac:dyDescent="0.25">
      <c r="C550" s="6"/>
      <c r="D550" s="104"/>
    </row>
    <row r="551" spans="3:4" ht="18.75" customHeight="1" x14ac:dyDescent="0.25">
      <c r="C551" s="6"/>
      <c r="D551" s="104"/>
    </row>
    <row r="552" spans="3:4" ht="18.75" customHeight="1" x14ac:dyDescent="0.25">
      <c r="C552" s="6"/>
      <c r="D552" s="104"/>
    </row>
    <row r="553" spans="3:4" ht="18.75" customHeight="1" x14ac:dyDescent="0.25">
      <c r="C553" s="6"/>
      <c r="D553" s="104"/>
    </row>
    <row r="554" spans="3:4" ht="18.75" customHeight="1" x14ac:dyDescent="0.25">
      <c r="C554" s="6"/>
      <c r="D554" s="104"/>
    </row>
    <row r="555" spans="3:4" ht="18.75" customHeight="1" x14ac:dyDescent="0.25">
      <c r="C555" s="6"/>
      <c r="D555" s="104"/>
    </row>
    <row r="556" spans="3:4" ht="18.75" customHeight="1" x14ac:dyDescent="0.25">
      <c r="C556" s="6"/>
      <c r="D556" s="104"/>
    </row>
    <row r="557" spans="3:4" ht="18.75" customHeight="1" x14ac:dyDescent="0.25">
      <c r="C557" s="6"/>
      <c r="D557" s="104"/>
    </row>
    <row r="558" spans="3:4" ht="18.75" customHeight="1" x14ac:dyDescent="0.25">
      <c r="C558" s="6"/>
      <c r="D558" s="104"/>
    </row>
    <row r="559" spans="3:4" ht="18.75" customHeight="1" x14ac:dyDescent="0.25">
      <c r="C559" s="6"/>
      <c r="D559" s="104"/>
    </row>
    <row r="560" spans="3:4" ht="18.75" customHeight="1" x14ac:dyDescent="0.25">
      <c r="C560" s="6"/>
      <c r="D560" s="104"/>
    </row>
    <row r="561" spans="3:4" ht="18.75" customHeight="1" x14ac:dyDescent="0.25">
      <c r="C561" s="6"/>
      <c r="D561" s="104"/>
    </row>
    <row r="562" spans="3:4" ht="18.75" customHeight="1" x14ac:dyDescent="0.25">
      <c r="C562" s="6"/>
      <c r="D562" s="104"/>
    </row>
    <row r="563" spans="3:4" ht="18.75" customHeight="1" x14ac:dyDescent="0.25">
      <c r="C563" s="6"/>
      <c r="D563" s="104"/>
    </row>
    <row r="564" spans="3:4" ht="18.75" customHeight="1" x14ac:dyDescent="0.25">
      <c r="C564" s="6"/>
      <c r="D564" s="104"/>
    </row>
    <row r="565" spans="3:4" ht="18.75" customHeight="1" x14ac:dyDescent="0.25">
      <c r="C565" s="6"/>
      <c r="D565" s="104"/>
    </row>
    <row r="566" spans="3:4" ht="18.75" customHeight="1" x14ac:dyDescent="0.25">
      <c r="C566" s="6"/>
      <c r="D566" s="104"/>
    </row>
    <row r="567" spans="3:4" ht="18.75" customHeight="1" x14ac:dyDescent="0.25">
      <c r="C567" s="6"/>
      <c r="D567" s="104"/>
    </row>
    <row r="568" spans="3:4" ht="18.75" customHeight="1" x14ac:dyDescent="0.25">
      <c r="C568" s="6"/>
      <c r="D568" s="104"/>
    </row>
    <row r="569" spans="3:4" ht="18.75" customHeight="1" x14ac:dyDescent="0.25">
      <c r="C569" s="6"/>
      <c r="D569" s="104"/>
    </row>
    <row r="570" spans="3:4" ht="18.75" customHeight="1" x14ac:dyDescent="0.25">
      <c r="C570" s="6"/>
      <c r="D570" s="104"/>
    </row>
    <row r="571" spans="3:4" ht="18.75" customHeight="1" x14ac:dyDescent="0.25">
      <c r="C571" s="6"/>
      <c r="D571" s="104"/>
    </row>
    <row r="572" spans="3:4" ht="18.75" customHeight="1" x14ac:dyDescent="0.25">
      <c r="C572" s="6"/>
      <c r="D572" s="104"/>
    </row>
    <row r="573" spans="3:4" ht="18.75" customHeight="1" x14ac:dyDescent="0.25">
      <c r="C573" s="6"/>
      <c r="D573" s="104"/>
    </row>
    <row r="574" spans="3:4" ht="18.75" customHeight="1" x14ac:dyDescent="0.25">
      <c r="C574" s="6"/>
      <c r="D574" s="104"/>
    </row>
    <row r="575" spans="3:4" ht="18.75" customHeight="1" x14ac:dyDescent="0.25">
      <c r="C575" s="6"/>
      <c r="D575" s="104"/>
    </row>
    <row r="576" spans="3:4" ht="18.75" customHeight="1" x14ac:dyDescent="0.25">
      <c r="C576" s="6"/>
      <c r="D576" s="104"/>
    </row>
    <row r="577" spans="3:4" ht="18.75" customHeight="1" x14ac:dyDescent="0.25">
      <c r="C577" s="6"/>
      <c r="D577" s="104"/>
    </row>
    <row r="578" spans="3:4" ht="18.75" customHeight="1" x14ac:dyDescent="0.25">
      <c r="C578" s="6"/>
      <c r="D578" s="104"/>
    </row>
    <row r="579" spans="3:4" ht="18.75" customHeight="1" x14ac:dyDescent="0.25">
      <c r="C579" s="6"/>
      <c r="D579" s="104"/>
    </row>
    <row r="580" spans="3:4" ht="18.75" customHeight="1" x14ac:dyDescent="0.25">
      <c r="C580" s="6"/>
      <c r="D580" s="104"/>
    </row>
    <row r="581" spans="3:4" ht="18.75" customHeight="1" x14ac:dyDescent="0.25">
      <c r="C581" s="6"/>
      <c r="D581" s="104"/>
    </row>
    <row r="582" spans="3:4" ht="18.75" customHeight="1" x14ac:dyDescent="0.25">
      <c r="C582" s="6"/>
      <c r="D582" s="104"/>
    </row>
    <row r="583" spans="3:4" ht="18.75" customHeight="1" x14ac:dyDescent="0.25">
      <c r="C583" s="6"/>
      <c r="D583" s="104"/>
    </row>
    <row r="584" spans="3:4" ht="18.75" customHeight="1" x14ac:dyDescent="0.25">
      <c r="C584" s="6"/>
      <c r="D584" s="104"/>
    </row>
    <row r="585" spans="3:4" ht="18.75" customHeight="1" x14ac:dyDescent="0.25">
      <c r="C585" s="6"/>
      <c r="D585" s="104"/>
    </row>
    <row r="586" spans="3:4" ht="18.75" customHeight="1" x14ac:dyDescent="0.25">
      <c r="C586" s="6"/>
      <c r="D586" s="104"/>
    </row>
    <row r="587" spans="3:4" ht="18.75" customHeight="1" x14ac:dyDescent="0.25">
      <c r="C587" s="6"/>
      <c r="D587" s="104"/>
    </row>
    <row r="588" spans="3:4" ht="18.75" customHeight="1" x14ac:dyDescent="0.25">
      <c r="C588" s="6"/>
      <c r="D588" s="104"/>
    </row>
    <row r="589" spans="3:4" ht="18.75" customHeight="1" x14ac:dyDescent="0.25">
      <c r="C589" s="6"/>
      <c r="D589" s="104"/>
    </row>
    <row r="590" spans="3:4" ht="18.75" customHeight="1" x14ac:dyDescent="0.25">
      <c r="C590" s="6"/>
      <c r="D590" s="104"/>
    </row>
    <row r="591" spans="3:4" ht="18.75" customHeight="1" x14ac:dyDescent="0.25">
      <c r="C591" s="6"/>
      <c r="D591" s="104"/>
    </row>
    <row r="592" spans="3:4" ht="18.75" customHeight="1" x14ac:dyDescent="0.25">
      <c r="C592" s="6"/>
      <c r="D592" s="104"/>
    </row>
    <row r="593" spans="3:4" ht="18.75" customHeight="1" x14ac:dyDescent="0.25">
      <c r="C593" s="6"/>
      <c r="D593" s="104"/>
    </row>
    <row r="594" spans="3:4" ht="18.75" customHeight="1" x14ac:dyDescent="0.25">
      <c r="C594" s="6"/>
      <c r="D594" s="104"/>
    </row>
    <row r="595" spans="3:4" ht="18.75" customHeight="1" x14ac:dyDescent="0.25">
      <c r="C595" s="6"/>
      <c r="D595" s="104"/>
    </row>
    <row r="596" spans="3:4" ht="18.75" customHeight="1" x14ac:dyDescent="0.25">
      <c r="C596" s="6"/>
      <c r="D596" s="104"/>
    </row>
    <row r="597" spans="3:4" ht="18.75" customHeight="1" x14ac:dyDescent="0.25">
      <c r="C597" s="6"/>
      <c r="D597" s="104"/>
    </row>
    <row r="598" spans="3:4" ht="18.75" customHeight="1" x14ac:dyDescent="0.25">
      <c r="C598" s="6"/>
      <c r="D598" s="104"/>
    </row>
    <row r="599" spans="3:4" ht="18.75" customHeight="1" x14ac:dyDescent="0.25">
      <c r="C599" s="6"/>
      <c r="D599" s="104"/>
    </row>
    <row r="600" spans="3:4" ht="18.75" customHeight="1" x14ac:dyDescent="0.25">
      <c r="C600" s="6"/>
      <c r="D600" s="104"/>
    </row>
    <row r="601" spans="3:4" ht="18.75" customHeight="1" x14ac:dyDescent="0.25">
      <c r="C601" s="6"/>
      <c r="D601" s="104"/>
    </row>
    <row r="602" spans="3:4" ht="18.75" customHeight="1" x14ac:dyDescent="0.25">
      <c r="C602" s="6"/>
      <c r="D602" s="104"/>
    </row>
    <row r="603" spans="3:4" ht="18.75" customHeight="1" x14ac:dyDescent="0.25">
      <c r="C603" s="6"/>
      <c r="D603" s="104"/>
    </row>
    <row r="604" spans="3:4" ht="18.75" customHeight="1" x14ac:dyDescent="0.25">
      <c r="C604" s="6"/>
      <c r="D604" s="104"/>
    </row>
    <row r="605" spans="3:4" ht="18.75" customHeight="1" x14ac:dyDescent="0.25">
      <c r="C605" s="6"/>
      <c r="D605" s="104"/>
    </row>
    <row r="606" spans="3:4" ht="18.75" customHeight="1" x14ac:dyDescent="0.25">
      <c r="C606" s="6"/>
      <c r="D606" s="104"/>
    </row>
    <row r="607" spans="3:4" ht="18.75" customHeight="1" x14ac:dyDescent="0.25">
      <c r="C607" s="6"/>
      <c r="D607" s="104"/>
    </row>
    <row r="608" spans="3:4" ht="18.75" customHeight="1" x14ac:dyDescent="0.25">
      <c r="C608" s="6"/>
      <c r="D608" s="104"/>
    </row>
    <row r="609" spans="3:4" ht="18.75" customHeight="1" x14ac:dyDescent="0.25">
      <c r="C609" s="6"/>
      <c r="D609" s="104"/>
    </row>
    <row r="610" spans="3:4" ht="18.75" customHeight="1" x14ac:dyDescent="0.25">
      <c r="C610" s="6"/>
      <c r="D610" s="104"/>
    </row>
    <row r="611" spans="3:4" ht="18.75" customHeight="1" x14ac:dyDescent="0.25">
      <c r="C611" s="6"/>
      <c r="D611" s="104"/>
    </row>
    <row r="612" spans="3:4" ht="18.75" customHeight="1" x14ac:dyDescent="0.25">
      <c r="C612" s="6"/>
      <c r="D612" s="104"/>
    </row>
    <row r="613" spans="3:4" ht="18.75" customHeight="1" x14ac:dyDescent="0.25">
      <c r="C613" s="6"/>
      <c r="D613" s="104"/>
    </row>
    <row r="614" spans="3:4" ht="18.75" customHeight="1" x14ac:dyDescent="0.25">
      <c r="C614" s="6"/>
      <c r="D614" s="104"/>
    </row>
    <row r="615" spans="3:4" ht="18.75" customHeight="1" x14ac:dyDescent="0.25">
      <c r="C615" s="6"/>
      <c r="D615" s="104"/>
    </row>
    <row r="616" spans="3:4" ht="18.75" customHeight="1" x14ac:dyDescent="0.25">
      <c r="C616" s="6"/>
      <c r="D616" s="104"/>
    </row>
    <row r="617" spans="3:4" ht="18.75" customHeight="1" x14ac:dyDescent="0.25">
      <c r="C617" s="6"/>
      <c r="D617" s="104"/>
    </row>
    <row r="618" spans="3:4" ht="18.75" customHeight="1" x14ac:dyDescent="0.25">
      <c r="C618" s="6"/>
      <c r="D618" s="104"/>
    </row>
    <row r="619" spans="3:4" ht="18.75" customHeight="1" x14ac:dyDescent="0.25">
      <c r="C619" s="6"/>
      <c r="D619" s="104"/>
    </row>
    <row r="620" spans="3:4" ht="18.75" customHeight="1" x14ac:dyDescent="0.25">
      <c r="C620" s="6"/>
      <c r="D620" s="104"/>
    </row>
    <row r="621" spans="3:4" ht="18.75" customHeight="1" x14ac:dyDescent="0.25">
      <c r="C621" s="6"/>
      <c r="D621" s="104"/>
    </row>
    <row r="622" spans="3:4" ht="18.75" customHeight="1" x14ac:dyDescent="0.25">
      <c r="C622" s="6"/>
      <c r="D622" s="104"/>
    </row>
    <row r="623" spans="3:4" ht="18.75" customHeight="1" x14ac:dyDescent="0.25">
      <c r="C623" s="6"/>
      <c r="D623" s="104"/>
    </row>
    <row r="624" spans="3:4" ht="18.75" customHeight="1" x14ac:dyDescent="0.25">
      <c r="C624" s="6"/>
      <c r="D624" s="104"/>
    </row>
    <row r="625" spans="3:4" ht="18.75" customHeight="1" x14ac:dyDescent="0.25">
      <c r="C625" s="6"/>
      <c r="D625" s="104"/>
    </row>
    <row r="626" spans="3:4" ht="18.75" customHeight="1" x14ac:dyDescent="0.25">
      <c r="C626" s="6"/>
      <c r="D626" s="104"/>
    </row>
    <row r="627" spans="3:4" ht="18.75" customHeight="1" x14ac:dyDescent="0.25">
      <c r="C627" s="6"/>
      <c r="D627" s="104"/>
    </row>
    <row r="628" spans="3:4" ht="18.75" customHeight="1" x14ac:dyDescent="0.25">
      <c r="C628" s="6"/>
      <c r="D628" s="104"/>
    </row>
    <row r="629" spans="3:4" ht="18.75" customHeight="1" x14ac:dyDescent="0.25">
      <c r="C629" s="6"/>
      <c r="D629" s="104"/>
    </row>
    <row r="630" spans="3:4" ht="18.75" customHeight="1" x14ac:dyDescent="0.25">
      <c r="C630" s="6"/>
      <c r="D630" s="104"/>
    </row>
    <row r="631" spans="3:4" ht="18.75" customHeight="1" x14ac:dyDescent="0.25">
      <c r="C631" s="6"/>
      <c r="D631" s="104"/>
    </row>
    <row r="632" spans="3:4" ht="18.75" customHeight="1" x14ac:dyDescent="0.25">
      <c r="C632" s="6"/>
      <c r="D632" s="104"/>
    </row>
    <row r="633" spans="3:4" ht="18.75" customHeight="1" x14ac:dyDescent="0.25">
      <c r="C633" s="6"/>
      <c r="D633" s="104"/>
    </row>
    <row r="634" spans="3:4" ht="18.75" customHeight="1" x14ac:dyDescent="0.25">
      <c r="C634" s="6"/>
      <c r="D634" s="104"/>
    </row>
    <row r="635" spans="3:4" ht="18.75" customHeight="1" x14ac:dyDescent="0.25">
      <c r="C635" s="6"/>
      <c r="D635" s="104"/>
    </row>
    <row r="636" spans="3:4" ht="18.75" customHeight="1" x14ac:dyDescent="0.25">
      <c r="C636" s="6"/>
      <c r="D636" s="104"/>
    </row>
    <row r="637" spans="3:4" ht="18.75" customHeight="1" x14ac:dyDescent="0.25">
      <c r="C637" s="6"/>
      <c r="D637" s="104"/>
    </row>
    <row r="638" spans="3:4" ht="18.75" customHeight="1" x14ac:dyDescent="0.25">
      <c r="C638" s="6"/>
      <c r="D638" s="104"/>
    </row>
    <row r="639" spans="3:4" ht="18.75" customHeight="1" x14ac:dyDescent="0.25">
      <c r="C639" s="6"/>
      <c r="D639" s="104"/>
    </row>
    <row r="640" spans="3:4" ht="18.75" customHeight="1" x14ac:dyDescent="0.25">
      <c r="C640" s="6"/>
      <c r="D640" s="104"/>
    </row>
    <row r="641" spans="3:4" ht="18.75" customHeight="1" x14ac:dyDescent="0.25">
      <c r="C641" s="6"/>
      <c r="D641" s="104"/>
    </row>
    <row r="642" spans="3:4" ht="18.75" customHeight="1" x14ac:dyDescent="0.25">
      <c r="C642" s="6"/>
      <c r="D642" s="104"/>
    </row>
    <row r="643" spans="3:4" ht="18.75" customHeight="1" x14ac:dyDescent="0.25">
      <c r="C643" s="6"/>
      <c r="D643" s="104"/>
    </row>
    <row r="644" spans="3:4" ht="18.75" customHeight="1" x14ac:dyDescent="0.25">
      <c r="C644" s="6"/>
      <c r="D644" s="104"/>
    </row>
    <row r="645" spans="3:4" ht="18.75" customHeight="1" x14ac:dyDescent="0.25">
      <c r="C645" s="6"/>
      <c r="D645" s="104"/>
    </row>
    <row r="646" spans="3:4" ht="18.75" customHeight="1" x14ac:dyDescent="0.25">
      <c r="C646" s="6"/>
      <c r="D646" s="104"/>
    </row>
    <row r="647" spans="3:4" ht="18.75" customHeight="1" x14ac:dyDescent="0.25">
      <c r="C647" s="6"/>
      <c r="D647" s="104"/>
    </row>
    <row r="648" spans="3:4" ht="18.75" customHeight="1" x14ac:dyDescent="0.25">
      <c r="C648" s="6"/>
      <c r="D648" s="104"/>
    </row>
    <row r="649" spans="3:4" ht="18.75" customHeight="1" x14ac:dyDescent="0.25">
      <c r="C649" s="6"/>
      <c r="D649" s="104"/>
    </row>
    <row r="650" spans="3:4" ht="18.75" customHeight="1" x14ac:dyDescent="0.25">
      <c r="C650" s="6"/>
      <c r="D650" s="104"/>
    </row>
    <row r="651" spans="3:4" ht="18.75" customHeight="1" x14ac:dyDescent="0.25">
      <c r="C651" s="6"/>
      <c r="D651" s="104"/>
    </row>
    <row r="652" spans="3:4" ht="18.75" customHeight="1" x14ac:dyDescent="0.25">
      <c r="C652" s="6"/>
      <c r="D652" s="104"/>
    </row>
    <row r="653" spans="3:4" ht="18.75" customHeight="1" x14ac:dyDescent="0.25">
      <c r="C653" s="6"/>
      <c r="D653" s="104"/>
    </row>
    <row r="654" spans="3:4" ht="18.75" customHeight="1" x14ac:dyDescent="0.25">
      <c r="C654" s="6"/>
      <c r="D654" s="104"/>
    </row>
    <row r="655" spans="3:4" ht="18.75" customHeight="1" x14ac:dyDescent="0.25">
      <c r="C655" s="6"/>
      <c r="D655" s="104"/>
    </row>
    <row r="656" spans="3:4" ht="18.75" customHeight="1" x14ac:dyDescent="0.25">
      <c r="C656" s="6"/>
      <c r="D656" s="104"/>
    </row>
    <row r="657" spans="3:4" ht="18.75" customHeight="1" x14ac:dyDescent="0.25">
      <c r="C657" s="6"/>
      <c r="D657" s="104"/>
    </row>
    <row r="658" spans="3:4" ht="18.75" customHeight="1" x14ac:dyDescent="0.25">
      <c r="C658" s="6"/>
      <c r="D658" s="104"/>
    </row>
    <row r="659" spans="3:4" ht="18.75" customHeight="1" x14ac:dyDescent="0.25">
      <c r="C659" s="6"/>
      <c r="D659" s="104"/>
    </row>
    <row r="660" spans="3:4" ht="18.75" customHeight="1" x14ac:dyDescent="0.25">
      <c r="C660" s="6"/>
      <c r="D660" s="104"/>
    </row>
    <row r="661" spans="3:4" ht="18.75" customHeight="1" x14ac:dyDescent="0.25">
      <c r="C661" s="6"/>
      <c r="D661" s="104"/>
    </row>
    <row r="662" spans="3:4" ht="18.75" customHeight="1" x14ac:dyDescent="0.25">
      <c r="C662" s="6"/>
      <c r="D662" s="104"/>
    </row>
    <row r="663" spans="3:4" ht="18.75" customHeight="1" x14ac:dyDescent="0.25">
      <c r="C663" s="6"/>
      <c r="D663" s="104"/>
    </row>
    <row r="664" spans="3:4" ht="18.75" customHeight="1" x14ac:dyDescent="0.25">
      <c r="C664" s="6"/>
      <c r="D664" s="104"/>
    </row>
    <row r="665" spans="3:4" ht="18.75" customHeight="1" x14ac:dyDescent="0.25">
      <c r="C665" s="6"/>
      <c r="D665" s="104"/>
    </row>
    <row r="666" spans="3:4" ht="18.75" customHeight="1" x14ac:dyDescent="0.25">
      <c r="C666" s="6"/>
      <c r="D666" s="104"/>
    </row>
    <row r="667" spans="3:4" ht="18.75" customHeight="1" x14ac:dyDescent="0.25">
      <c r="C667" s="6"/>
      <c r="D667" s="104"/>
    </row>
    <row r="668" spans="3:4" ht="18.75" customHeight="1" x14ac:dyDescent="0.25">
      <c r="C668" s="6"/>
      <c r="D668" s="104"/>
    </row>
    <row r="669" spans="3:4" ht="18.75" customHeight="1" x14ac:dyDescent="0.25">
      <c r="C669" s="6"/>
      <c r="D669" s="104"/>
    </row>
    <row r="670" spans="3:4" ht="18.75" customHeight="1" x14ac:dyDescent="0.25">
      <c r="C670" s="6"/>
      <c r="D670" s="104"/>
    </row>
    <row r="671" spans="3:4" ht="18.75" customHeight="1" x14ac:dyDescent="0.25">
      <c r="C671" s="6"/>
      <c r="D671" s="104"/>
    </row>
    <row r="672" spans="3:4" ht="18.75" customHeight="1" x14ac:dyDescent="0.25">
      <c r="C672" s="6"/>
      <c r="D672" s="104"/>
    </row>
    <row r="673" spans="3:4" ht="18.75" customHeight="1" x14ac:dyDescent="0.25">
      <c r="C673" s="6"/>
      <c r="D673" s="104"/>
    </row>
    <row r="674" spans="3:4" ht="18.75" customHeight="1" x14ac:dyDescent="0.25">
      <c r="C674" s="6"/>
      <c r="D674" s="104"/>
    </row>
    <row r="675" spans="3:4" ht="18.75" customHeight="1" x14ac:dyDescent="0.25">
      <c r="C675" s="6"/>
      <c r="D675" s="104"/>
    </row>
    <row r="676" spans="3:4" ht="18.75" customHeight="1" x14ac:dyDescent="0.25">
      <c r="C676" s="6"/>
      <c r="D676" s="104"/>
    </row>
    <row r="677" spans="3:4" ht="18.75" customHeight="1" x14ac:dyDescent="0.25">
      <c r="C677" s="6"/>
      <c r="D677" s="104"/>
    </row>
    <row r="678" spans="3:4" ht="18.75" customHeight="1" x14ac:dyDescent="0.25">
      <c r="C678" s="6"/>
      <c r="D678" s="104"/>
    </row>
    <row r="679" spans="3:4" ht="18.75" customHeight="1" x14ac:dyDescent="0.25">
      <c r="C679" s="6"/>
      <c r="D679" s="104"/>
    </row>
    <row r="680" spans="3:4" ht="18.75" customHeight="1" x14ac:dyDescent="0.25">
      <c r="C680" s="6"/>
      <c r="D680" s="104"/>
    </row>
    <row r="681" spans="3:4" ht="18.75" customHeight="1" x14ac:dyDescent="0.25">
      <c r="C681" s="6"/>
      <c r="D681" s="104"/>
    </row>
    <row r="682" spans="3:4" ht="18.75" customHeight="1" x14ac:dyDescent="0.25">
      <c r="C682" s="6"/>
      <c r="D682" s="104"/>
    </row>
    <row r="683" spans="3:4" ht="18.75" customHeight="1" x14ac:dyDescent="0.25">
      <c r="C683" s="6"/>
      <c r="D683" s="104"/>
    </row>
    <row r="684" spans="3:4" ht="18.75" customHeight="1" x14ac:dyDescent="0.25">
      <c r="C684" s="6"/>
      <c r="D684" s="104"/>
    </row>
    <row r="685" spans="3:4" ht="18.75" customHeight="1" x14ac:dyDescent="0.25">
      <c r="C685" s="6"/>
      <c r="D685" s="104"/>
    </row>
    <row r="686" spans="3:4" ht="18.75" customHeight="1" x14ac:dyDescent="0.25">
      <c r="C686" s="6"/>
      <c r="D686" s="104"/>
    </row>
    <row r="687" spans="3:4" ht="18.75" customHeight="1" x14ac:dyDescent="0.25">
      <c r="C687" s="6"/>
      <c r="D687" s="104"/>
    </row>
    <row r="688" spans="3:4" ht="18.75" customHeight="1" x14ac:dyDescent="0.25">
      <c r="C688" s="6"/>
      <c r="D688" s="104"/>
    </row>
    <row r="689" spans="3:4" ht="18.75" customHeight="1" x14ac:dyDescent="0.25">
      <c r="C689" s="6"/>
      <c r="D689" s="104"/>
    </row>
    <row r="690" spans="3:4" ht="18.75" customHeight="1" x14ac:dyDescent="0.25">
      <c r="C690" s="6"/>
      <c r="D690" s="104"/>
    </row>
    <row r="691" spans="3:4" ht="18.75" customHeight="1" x14ac:dyDescent="0.25">
      <c r="C691" s="6"/>
      <c r="D691" s="104"/>
    </row>
    <row r="692" spans="3:4" ht="18.75" customHeight="1" x14ac:dyDescent="0.25">
      <c r="C692" s="6"/>
      <c r="D692" s="104"/>
    </row>
    <row r="693" spans="3:4" ht="18.75" customHeight="1" x14ac:dyDescent="0.25">
      <c r="C693" s="6"/>
      <c r="D693" s="104"/>
    </row>
    <row r="694" spans="3:4" ht="18.75" customHeight="1" x14ac:dyDescent="0.25">
      <c r="C694" s="6"/>
      <c r="D694" s="104"/>
    </row>
    <row r="695" spans="3:4" ht="18.75" customHeight="1" x14ac:dyDescent="0.25">
      <c r="C695" s="6"/>
      <c r="D695" s="104"/>
    </row>
    <row r="696" spans="3:4" ht="18.75" customHeight="1" x14ac:dyDescent="0.25">
      <c r="C696" s="6"/>
      <c r="D696" s="104"/>
    </row>
    <row r="697" spans="3:4" ht="18.75" customHeight="1" x14ac:dyDescent="0.25">
      <c r="C697" s="6"/>
      <c r="D697" s="104"/>
    </row>
    <row r="698" spans="3:4" ht="18.75" customHeight="1" x14ac:dyDescent="0.25">
      <c r="C698" s="6"/>
      <c r="D698" s="104"/>
    </row>
    <row r="699" spans="3:4" ht="18.75" customHeight="1" x14ac:dyDescent="0.25">
      <c r="C699" s="6"/>
      <c r="D699" s="104"/>
    </row>
    <row r="700" spans="3:4" ht="18.75" customHeight="1" x14ac:dyDescent="0.25">
      <c r="C700" s="6"/>
      <c r="D700" s="104"/>
    </row>
    <row r="701" spans="3:4" ht="18.75" customHeight="1" x14ac:dyDescent="0.25">
      <c r="C701" s="6"/>
      <c r="D701" s="104"/>
    </row>
    <row r="702" spans="3:4" ht="18.75" customHeight="1" x14ac:dyDescent="0.25">
      <c r="C702" s="6"/>
      <c r="D702" s="104"/>
    </row>
    <row r="703" spans="3:4" ht="18.75" customHeight="1" x14ac:dyDescent="0.25">
      <c r="C703" s="6"/>
      <c r="D703" s="104"/>
    </row>
    <row r="704" spans="3:4" ht="18.75" customHeight="1" x14ac:dyDescent="0.25">
      <c r="C704" s="6"/>
      <c r="D704" s="104"/>
    </row>
    <row r="705" spans="3:4" ht="18.75" customHeight="1" x14ac:dyDescent="0.25">
      <c r="C705" s="6"/>
      <c r="D705" s="104"/>
    </row>
    <row r="706" spans="3:4" ht="18.75" customHeight="1" x14ac:dyDescent="0.25">
      <c r="C706" s="6"/>
      <c r="D706" s="104"/>
    </row>
    <row r="707" spans="3:4" ht="18.75" customHeight="1" x14ac:dyDescent="0.25">
      <c r="C707" s="6"/>
      <c r="D707" s="104"/>
    </row>
    <row r="708" spans="3:4" ht="18.75" customHeight="1" x14ac:dyDescent="0.25">
      <c r="C708" s="6"/>
      <c r="D708" s="104"/>
    </row>
    <row r="709" spans="3:4" ht="18.75" customHeight="1" x14ac:dyDescent="0.25">
      <c r="C709" s="6"/>
      <c r="D709" s="104"/>
    </row>
    <row r="710" spans="3:4" ht="18.75" customHeight="1" x14ac:dyDescent="0.25">
      <c r="C710" s="6"/>
      <c r="D710" s="104"/>
    </row>
    <row r="711" spans="3:4" ht="18.75" customHeight="1" x14ac:dyDescent="0.25">
      <c r="C711" s="6"/>
      <c r="D711" s="104"/>
    </row>
    <row r="712" spans="3:4" ht="18.75" customHeight="1" x14ac:dyDescent="0.25">
      <c r="C712" s="6"/>
      <c r="D712" s="104"/>
    </row>
    <row r="713" spans="3:4" ht="18.75" customHeight="1" x14ac:dyDescent="0.25">
      <c r="C713" s="6"/>
      <c r="D713" s="104"/>
    </row>
    <row r="714" spans="3:4" ht="18.75" customHeight="1" x14ac:dyDescent="0.25">
      <c r="C714" s="6"/>
      <c r="D714" s="104"/>
    </row>
    <row r="715" spans="3:4" ht="18.75" customHeight="1" x14ac:dyDescent="0.25">
      <c r="C715" s="6"/>
      <c r="D715" s="104"/>
    </row>
    <row r="716" spans="3:4" ht="18.75" customHeight="1" x14ac:dyDescent="0.25">
      <c r="C716" s="6"/>
      <c r="D716" s="104"/>
    </row>
    <row r="717" spans="3:4" ht="18.75" customHeight="1" x14ac:dyDescent="0.25">
      <c r="C717" s="6"/>
      <c r="D717" s="104"/>
    </row>
    <row r="718" spans="3:4" ht="18.75" customHeight="1" x14ac:dyDescent="0.25">
      <c r="C718" s="6"/>
      <c r="D718" s="104"/>
    </row>
    <row r="719" spans="3:4" ht="18.75" customHeight="1" x14ac:dyDescent="0.25">
      <c r="C719" s="6"/>
      <c r="D719" s="104"/>
    </row>
    <row r="720" spans="3:4" ht="18.75" customHeight="1" x14ac:dyDescent="0.25">
      <c r="C720" s="6"/>
      <c r="D720" s="104"/>
    </row>
    <row r="721" spans="3:4" ht="18.75" customHeight="1" x14ac:dyDescent="0.25">
      <c r="C721" s="6"/>
      <c r="D721" s="104"/>
    </row>
    <row r="722" spans="3:4" ht="18.75" customHeight="1" x14ac:dyDescent="0.25">
      <c r="C722" s="6"/>
      <c r="D722" s="104"/>
    </row>
    <row r="723" spans="3:4" ht="18.75" customHeight="1" x14ac:dyDescent="0.25">
      <c r="C723" s="6"/>
      <c r="D723" s="104"/>
    </row>
    <row r="724" spans="3:4" ht="18.75" customHeight="1" x14ac:dyDescent="0.25">
      <c r="C724" s="6"/>
      <c r="D724" s="104"/>
    </row>
    <row r="725" spans="3:4" ht="18.75" customHeight="1" x14ac:dyDescent="0.25">
      <c r="C725" s="6"/>
      <c r="D725" s="104"/>
    </row>
    <row r="726" spans="3:4" ht="18.75" customHeight="1" x14ac:dyDescent="0.25">
      <c r="C726" s="6"/>
      <c r="D726" s="104"/>
    </row>
    <row r="727" spans="3:4" ht="18.75" customHeight="1" x14ac:dyDescent="0.25">
      <c r="C727" s="6"/>
      <c r="D727" s="104"/>
    </row>
    <row r="728" spans="3:4" ht="18.75" customHeight="1" x14ac:dyDescent="0.25">
      <c r="C728" s="6"/>
      <c r="D728" s="104"/>
    </row>
    <row r="729" spans="3:4" ht="18.75" customHeight="1" x14ac:dyDescent="0.25">
      <c r="C729" s="6"/>
      <c r="D729" s="104"/>
    </row>
    <row r="730" spans="3:4" ht="18.75" customHeight="1" x14ac:dyDescent="0.25">
      <c r="C730" s="6"/>
      <c r="D730" s="104"/>
    </row>
    <row r="731" spans="3:4" ht="18.75" customHeight="1" x14ac:dyDescent="0.25">
      <c r="C731" s="6"/>
      <c r="D731" s="104"/>
    </row>
    <row r="732" spans="3:4" ht="18.75" customHeight="1" x14ac:dyDescent="0.25">
      <c r="C732" s="6"/>
      <c r="D732" s="104"/>
    </row>
    <row r="733" spans="3:4" ht="18.75" customHeight="1" x14ac:dyDescent="0.25">
      <c r="C733" s="6"/>
      <c r="D733" s="104"/>
    </row>
    <row r="734" spans="3:4" ht="18.75" customHeight="1" x14ac:dyDescent="0.25">
      <c r="C734" s="6"/>
      <c r="D734" s="104"/>
    </row>
    <row r="735" spans="3:4" ht="18.75" customHeight="1" x14ac:dyDescent="0.25">
      <c r="C735" s="6"/>
      <c r="D735" s="104"/>
    </row>
    <row r="736" spans="3:4" ht="18.75" customHeight="1" x14ac:dyDescent="0.25">
      <c r="C736" s="6"/>
      <c r="D736" s="104"/>
    </row>
    <row r="737" spans="3:4" ht="18.75" customHeight="1" x14ac:dyDescent="0.25">
      <c r="C737" s="6"/>
      <c r="D737" s="104"/>
    </row>
    <row r="738" spans="3:4" ht="18.75" customHeight="1" x14ac:dyDescent="0.25">
      <c r="C738" s="6"/>
      <c r="D738" s="104"/>
    </row>
    <row r="739" spans="3:4" ht="18.75" customHeight="1" x14ac:dyDescent="0.25">
      <c r="C739" s="6"/>
      <c r="D739" s="104"/>
    </row>
    <row r="740" spans="3:4" ht="18.75" customHeight="1" x14ac:dyDescent="0.25">
      <c r="C740" s="6"/>
      <c r="D740" s="104"/>
    </row>
    <row r="741" spans="3:4" ht="18.75" customHeight="1" x14ac:dyDescent="0.25">
      <c r="C741" s="6"/>
      <c r="D741" s="104"/>
    </row>
    <row r="742" spans="3:4" ht="18.75" customHeight="1" x14ac:dyDescent="0.25">
      <c r="C742" s="6"/>
      <c r="D742" s="104"/>
    </row>
    <row r="743" spans="3:4" ht="18.75" customHeight="1" x14ac:dyDescent="0.25">
      <c r="C743" s="6"/>
      <c r="D743" s="104"/>
    </row>
    <row r="744" spans="3:4" ht="18.75" customHeight="1" x14ac:dyDescent="0.25">
      <c r="C744" s="6"/>
      <c r="D744" s="104"/>
    </row>
    <row r="745" spans="3:4" ht="18.75" customHeight="1" x14ac:dyDescent="0.25">
      <c r="C745" s="6"/>
      <c r="D745" s="104"/>
    </row>
    <row r="746" spans="3:4" ht="18.75" customHeight="1" x14ac:dyDescent="0.25">
      <c r="C746" s="6"/>
      <c r="D746" s="104"/>
    </row>
    <row r="747" spans="3:4" ht="18.75" customHeight="1" x14ac:dyDescent="0.25">
      <c r="C747" s="6"/>
      <c r="D747" s="104"/>
    </row>
    <row r="748" spans="3:4" ht="18.75" customHeight="1" x14ac:dyDescent="0.25">
      <c r="C748" s="6"/>
      <c r="D748" s="104"/>
    </row>
    <row r="749" spans="3:4" ht="18.75" customHeight="1" x14ac:dyDescent="0.25">
      <c r="C749" s="6"/>
      <c r="D749" s="104"/>
    </row>
    <row r="750" spans="3:4" ht="18.75" customHeight="1" x14ac:dyDescent="0.25">
      <c r="C750" s="6"/>
      <c r="D750" s="104"/>
    </row>
    <row r="751" spans="3:4" ht="18.75" customHeight="1" x14ac:dyDescent="0.25">
      <c r="C751" s="6"/>
      <c r="D751" s="104"/>
    </row>
    <row r="752" spans="3:4" ht="18.75" customHeight="1" x14ac:dyDescent="0.25">
      <c r="C752" s="6"/>
      <c r="D752" s="104"/>
    </row>
    <row r="753" spans="3:4" ht="18.75" customHeight="1" x14ac:dyDescent="0.25">
      <c r="C753" s="6"/>
      <c r="D753" s="104"/>
    </row>
    <row r="754" spans="3:4" ht="18.75" customHeight="1" x14ac:dyDescent="0.25">
      <c r="C754" s="6"/>
      <c r="D754" s="104"/>
    </row>
    <row r="755" spans="3:4" ht="18.75" customHeight="1" x14ac:dyDescent="0.25">
      <c r="C755" s="6"/>
      <c r="D755" s="104"/>
    </row>
    <row r="756" spans="3:4" ht="18.75" customHeight="1" x14ac:dyDescent="0.25">
      <c r="C756" s="6"/>
      <c r="D756" s="104"/>
    </row>
    <row r="757" spans="3:4" ht="18.75" customHeight="1" x14ac:dyDescent="0.25">
      <c r="C757" s="6"/>
      <c r="D757" s="104"/>
    </row>
    <row r="758" spans="3:4" ht="18.75" customHeight="1" x14ac:dyDescent="0.25">
      <c r="C758" s="6"/>
      <c r="D758" s="104"/>
    </row>
    <row r="759" spans="3:4" ht="18.75" customHeight="1" x14ac:dyDescent="0.25">
      <c r="C759" s="6"/>
      <c r="D759" s="104"/>
    </row>
    <row r="760" spans="3:4" ht="18.75" customHeight="1" x14ac:dyDescent="0.25">
      <c r="C760" s="6"/>
      <c r="D760" s="104"/>
    </row>
    <row r="761" spans="3:4" ht="18.75" customHeight="1" x14ac:dyDescent="0.25">
      <c r="C761" s="6"/>
      <c r="D761" s="104"/>
    </row>
    <row r="762" spans="3:4" ht="18.75" customHeight="1" x14ac:dyDescent="0.25">
      <c r="C762" s="6"/>
      <c r="D762" s="104"/>
    </row>
    <row r="763" spans="3:4" ht="18.75" customHeight="1" x14ac:dyDescent="0.25">
      <c r="C763" s="6"/>
      <c r="D763" s="104"/>
    </row>
    <row r="764" spans="3:4" ht="18.75" customHeight="1" x14ac:dyDescent="0.25">
      <c r="C764" s="6"/>
      <c r="D764" s="104"/>
    </row>
    <row r="765" spans="3:4" ht="18.75" customHeight="1" x14ac:dyDescent="0.25">
      <c r="C765" s="6"/>
      <c r="D765" s="104"/>
    </row>
    <row r="766" spans="3:4" ht="18.75" customHeight="1" x14ac:dyDescent="0.25">
      <c r="C766" s="6"/>
      <c r="D766" s="104"/>
    </row>
    <row r="767" spans="3:4" ht="18.75" customHeight="1" x14ac:dyDescent="0.25">
      <c r="C767" s="6"/>
      <c r="D767" s="104"/>
    </row>
    <row r="768" spans="3:4" ht="18.75" customHeight="1" x14ac:dyDescent="0.25">
      <c r="C768" s="6"/>
      <c r="D768" s="104"/>
    </row>
    <row r="769" spans="3:4" ht="18.75" customHeight="1" x14ac:dyDescent="0.25">
      <c r="C769" s="6"/>
      <c r="D769" s="104"/>
    </row>
    <row r="770" spans="3:4" ht="18.75" customHeight="1" x14ac:dyDescent="0.25">
      <c r="C770" s="6"/>
      <c r="D770" s="104"/>
    </row>
    <row r="771" spans="3:4" ht="18.75" customHeight="1" x14ac:dyDescent="0.25">
      <c r="C771" s="6"/>
      <c r="D771" s="104"/>
    </row>
    <row r="772" spans="3:4" ht="18.75" customHeight="1" x14ac:dyDescent="0.25">
      <c r="C772" s="6"/>
      <c r="D772" s="104"/>
    </row>
    <row r="773" spans="3:4" ht="18.75" customHeight="1" x14ac:dyDescent="0.25">
      <c r="C773" s="6"/>
      <c r="D773" s="104"/>
    </row>
    <row r="774" spans="3:4" ht="18.75" customHeight="1" x14ac:dyDescent="0.25">
      <c r="C774" s="6"/>
      <c r="D774" s="104"/>
    </row>
    <row r="775" spans="3:4" ht="18.75" customHeight="1" x14ac:dyDescent="0.25">
      <c r="C775" s="6"/>
      <c r="D775" s="104"/>
    </row>
    <row r="776" spans="3:4" ht="18.75" customHeight="1" x14ac:dyDescent="0.25">
      <c r="C776" s="6"/>
      <c r="D776" s="104"/>
    </row>
    <row r="777" spans="3:4" ht="18.75" customHeight="1" x14ac:dyDescent="0.25">
      <c r="C777" s="6"/>
      <c r="D777" s="104"/>
    </row>
    <row r="778" spans="3:4" ht="18.75" customHeight="1" x14ac:dyDescent="0.25">
      <c r="C778" s="6"/>
      <c r="D778" s="104"/>
    </row>
    <row r="779" spans="3:4" ht="18.75" customHeight="1" x14ac:dyDescent="0.25">
      <c r="C779" s="6"/>
      <c r="D779" s="104"/>
    </row>
    <row r="780" spans="3:4" ht="18.75" customHeight="1" x14ac:dyDescent="0.25">
      <c r="C780" s="6"/>
      <c r="D780" s="104"/>
    </row>
    <row r="781" spans="3:4" ht="18.75" customHeight="1" x14ac:dyDescent="0.25">
      <c r="C781" s="6"/>
      <c r="D781" s="104"/>
    </row>
    <row r="782" spans="3:4" ht="18.75" customHeight="1" x14ac:dyDescent="0.25">
      <c r="C782" s="6"/>
      <c r="D782" s="104"/>
    </row>
    <row r="783" spans="3:4" ht="18.75" customHeight="1" x14ac:dyDescent="0.25">
      <c r="C783" s="6"/>
      <c r="D783" s="104"/>
    </row>
    <row r="784" spans="3:4" ht="18.75" customHeight="1" x14ac:dyDescent="0.25">
      <c r="C784" s="6"/>
      <c r="D784" s="104"/>
    </row>
    <row r="785" spans="3:4" ht="18.75" customHeight="1" x14ac:dyDescent="0.25">
      <c r="C785" s="6"/>
      <c r="D785" s="104"/>
    </row>
    <row r="786" spans="3:4" ht="18.75" customHeight="1" x14ac:dyDescent="0.25">
      <c r="C786" s="6"/>
      <c r="D786" s="104"/>
    </row>
    <row r="787" spans="3:4" ht="18.75" customHeight="1" x14ac:dyDescent="0.25">
      <c r="C787" s="6"/>
      <c r="D787" s="104"/>
    </row>
    <row r="788" spans="3:4" ht="18.75" customHeight="1" x14ac:dyDescent="0.25">
      <c r="C788" s="6"/>
      <c r="D788" s="104"/>
    </row>
    <row r="789" spans="3:4" ht="18.75" customHeight="1" x14ac:dyDescent="0.25">
      <c r="C789" s="6"/>
      <c r="D789" s="104"/>
    </row>
    <row r="790" spans="3:4" ht="18.75" customHeight="1" x14ac:dyDescent="0.25">
      <c r="C790" s="6"/>
      <c r="D790" s="104"/>
    </row>
    <row r="791" spans="3:4" ht="18.75" customHeight="1" x14ac:dyDescent="0.25">
      <c r="C791" s="6"/>
      <c r="D791" s="104"/>
    </row>
    <row r="792" spans="3:4" ht="18.75" customHeight="1" x14ac:dyDescent="0.25">
      <c r="C792" s="6"/>
      <c r="D792" s="104"/>
    </row>
    <row r="793" spans="3:4" ht="18.75" customHeight="1" x14ac:dyDescent="0.25">
      <c r="C793" s="6"/>
      <c r="D793" s="104"/>
    </row>
    <row r="794" spans="3:4" ht="18.75" customHeight="1" x14ac:dyDescent="0.25">
      <c r="C794" s="6"/>
      <c r="D794" s="104"/>
    </row>
    <row r="795" spans="3:4" ht="18.75" customHeight="1" x14ac:dyDescent="0.25">
      <c r="C795" s="6"/>
      <c r="D795" s="104"/>
    </row>
    <row r="796" spans="3:4" ht="18.75" customHeight="1" x14ac:dyDescent="0.25">
      <c r="C796" s="6"/>
      <c r="D796" s="104"/>
    </row>
    <row r="797" spans="3:4" ht="18.75" customHeight="1" x14ac:dyDescent="0.25">
      <c r="C797" s="6"/>
      <c r="D797" s="104"/>
    </row>
    <row r="798" spans="3:4" ht="18.75" customHeight="1" x14ac:dyDescent="0.25">
      <c r="C798" s="6"/>
      <c r="D798" s="104"/>
    </row>
    <row r="799" spans="3:4" ht="18.75" customHeight="1" x14ac:dyDescent="0.25">
      <c r="C799" s="6"/>
      <c r="D799" s="104"/>
    </row>
    <row r="800" spans="3:4" ht="18.75" customHeight="1" x14ac:dyDescent="0.25">
      <c r="C800" s="6"/>
      <c r="D800" s="104"/>
    </row>
    <row r="801" spans="3:4" ht="18.75" customHeight="1" x14ac:dyDescent="0.25">
      <c r="C801" s="6"/>
      <c r="D801" s="104"/>
    </row>
    <row r="802" spans="3:4" ht="18.75" customHeight="1" x14ac:dyDescent="0.25">
      <c r="C802" s="6"/>
      <c r="D802" s="104"/>
    </row>
    <row r="803" spans="3:4" ht="18.75" customHeight="1" x14ac:dyDescent="0.25">
      <c r="C803" s="6"/>
      <c r="D803" s="104"/>
    </row>
    <row r="804" spans="3:4" ht="18.75" customHeight="1" x14ac:dyDescent="0.25">
      <c r="C804" s="6"/>
      <c r="D804" s="104"/>
    </row>
    <row r="805" spans="3:4" ht="18.75" customHeight="1" x14ac:dyDescent="0.25">
      <c r="C805" s="6"/>
      <c r="D805" s="104"/>
    </row>
    <row r="806" spans="3:4" ht="18.75" customHeight="1" x14ac:dyDescent="0.25">
      <c r="C806" s="6"/>
      <c r="D806" s="104"/>
    </row>
    <row r="807" spans="3:4" ht="18.75" customHeight="1" x14ac:dyDescent="0.25">
      <c r="C807" s="6"/>
      <c r="D807" s="104"/>
    </row>
    <row r="808" spans="3:4" ht="18.75" customHeight="1" x14ac:dyDescent="0.25">
      <c r="C808" s="6"/>
      <c r="D808" s="104"/>
    </row>
    <row r="809" spans="3:4" ht="18.75" customHeight="1" x14ac:dyDescent="0.25">
      <c r="C809" s="6"/>
      <c r="D809" s="104"/>
    </row>
    <row r="810" spans="3:4" ht="18.75" customHeight="1" x14ac:dyDescent="0.25">
      <c r="C810" s="6"/>
      <c r="D810" s="104"/>
    </row>
    <row r="811" spans="3:4" ht="18.75" customHeight="1" x14ac:dyDescent="0.25">
      <c r="C811" s="6"/>
      <c r="D811" s="104"/>
    </row>
    <row r="812" spans="3:4" ht="18.75" customHeight="1" x14ac:dyDescent="0.25">
      <c r="C812" s="6"/>
      <c r="D812" s="104"/>
    </row>
    <row r="813" spans="3:4" ht="18.75" customHeight="1" x14ac:dyDescent="0.25">
      <c r="C813" s="6"/>
      <c r="D813" s="104"/>
    </row>
    <row r="814" spans="3:4" ht="18.75" customHeight="1" x14ac:dyDescent="0.25">
      <c r="C814" s="6"/>
      <c r="D814" s="104"/>
    </row>
    <row r="815" spans="3:4" ht="18.75" customHeight="1" x14ac:dyDescent="0.25">
      <c r="C815" s="6"/>
      <c r="D815" s="104"/>
    </row>
    <row r="816" spans="3:4" ht="18.75" customHeight="1" x14ac:dyDescent="0.25">
      <c r="C816" s="6"/>
      <c r="D816" s="104"/>
    </row>
    <row r="817" spans="3:4" ht="18.75" customHeight="1" x14ac:dyDescent="0.25">
      <c r="C817" s="6"/>
      <c r="D817" s="104"/>
    </row>
    <row r="818" spans="3:4" ht="18.75" customHeight="1" x14ac:dyDescent="0.25">
      <c r="C818" s="6"/>
      <c r="D818" s="104"/>
    </row>
    <row r="819" spans="3:4" ht="18.75" customHeight="1" x14ac:dyDescent="0.25">
      <c r="C819" s="6"/>
      <c r="D819" s="104"/>
    </row>
    <row r="820" spans="3:4" ht="18.75" customHeight="1" x14ac:dyDescent="0.25">
      <c r="C820" s="6"/>
      <c r="D820" s="104"/>
    </row>
    <row r="821" spans="3:4" ht="18.75" customHeight="1" x14ac:dyDescent="0.25">
      <c r="C821" s="6"/>
      <c r="D821" s="104"/>
    </row>
    <row r="822" spans="3:4" ht="18.75" customHeight="1" x14ac:dyDescent="0.25">
      <c r="C822" s="6"/>
      <c r="D822" s="104"/>
    </row>
    <row r="823" spans="3:4" ht="18.75" customHeight="1" x14ac:dyDescent="0.25">
      <c r="C823" s="6"/>
      <c r="D823" s="104"/>
    </row>
    <row r="824" spans="3:4" ht="18.75" customHeight="1" x14ac:dyDescent="0.25">
      <c r="C824" s="6"/>
      <c r="D824" s="104"/>
    </row>
    <row r="825" spans="3:4" ht="18.75" customHeight="1" x14ac:dyDescent="0.25">
      <c r="C825" s="6"/>
      <c r="D825" s="104"/>
    </row>
    <row r="826" spans="3:4" ht="18.75" customHeight="1" x14ac:dyDescent="0.25">
      <c r="C826" s="6"/>
      <c r="D826" s="104"/>
    </row>
    <row r="827" spans="3:4" ht="18.75" customHeight="1" x14ac:dyDescent="0.25">
      <c r="C827" s="6"/>
      <c r="D827" s="104"/>
    </row>
    <row r="828" spans="3:4" ht="18.75" customHeight="1" x14ac:dyDescent="0.25">
      <c r="C828" s="6"/>
      <c r="D828" s="104"/>
    </row>
    <row r="829" spans="3:4" ht="18.75" customHeight="1" x14ac:dyDescent="0.25">
      <c r="C829" s="6"/>
      <c r="D829" s="104"/>
    </row>
    <row r="830" spans="3:4" ht="18.75" customHeight="1" x14ac:dyDescent="0.25">
      <c r="C830" s="6"/>
      <c r="D830" s="104"/>
    </row>
    <row r="831" spans="3:4" ht="18.75" customHeight="1" x14ac:dyDescent="0.25">
      <c r="C831" s="6"/>
      <c r="D831" s="104"/>
    </row>
    <row r="832" spans="3:4" ht="18.75" customHeight="1" x14ac:dyDescent="0.25">
      <c r="C832" s="6"/>
      <c r="D832" s="104"/>
    </row>
    <row r="833" spans="3:4" ht="18.75" customHeight="1" x14ac:dyDescent="0.25">
      <c r="C833" s="6"/>
      <c r="D833" s="104"/>
    </row>
    <row r="834" spans="3:4" ht="18.75" customHeight="1" x14ac:dyDescent="0.25">
      <c r="C834" s="6"/>
      <c r="D834" s="104"/>
    </row>
    <row r="835" spans="3:4" ht="18.75" customHeight="1" x14ac:dyDescent="0.25">
      <c r="C835" s="6"/>
      <c r="D835" s="104"/>
    </row>
    <row r="836" spans="3:4" ht="18.75" customHeight="1" x14ac:dyDescent="0.25">
      <c r="C836" s="6"/>
      <c r="D836" s="104"/>
    </row>
    <row r="837" spans="3:4" ht="18.75" customHeight="1" x14ac:dyDescent="0.25">
      <c r="C837" s="6"/>
      <c r="D837" s="104"/>
    </row>
    <row r="838" spans="3:4" ht="18.75" customHeight="1" x14ac:dyDescent="0.25">
      <c r="C838" s="6"/>
      <c r="D838" s="104"/>
    </row>
    <row r="839" spans="3:4" ht="18.75" customHeight="1" x14ac:dyDescent="0.25">
      <c r="C839" s="6"/>
      <c r="D839" s="104"/>
    </row>
    <row r="840" spans="3:4" ht="18.75" customHeight="1" x14ac:dyDescent="0.25">
      <c r="C840" s="6"/>
      <c r="D840" s="104"/>
    </row>
    <row r="841" spans="3:4" ht="18.75" customHeight="1" x14ac:dyDescent="0.25">
      <c r="C841" s="6"/>
      <c r="D841" s="104"/>
    </row>
    <row r="842" spans="3:4" ht="18.75" customHeight="1" x14ac:dyDescent="0.25">
      <c r="C842" s="6"/>
      <c r="D842" s="104"/>
    </row>
    <row r="843" spans="3:4" ht="18.75" customHeight="1" x14ac:dyDescent="0.25">
      <c r="C843" s="6"/>
      <c r="D843" s="104"/>
    </row>
    <row r="844" spans="3:4" ht="18.75" customHeight="1" x14ac:dyDescent="0.25">
      <c r="C844" s="6"/>
      <c r="D844" s="104"/>
    </row>
    <row r="845" spans="3:4" ht="18.75" customHeight="1" x14ac:dyDescent="0.25">
      <c r="C845" s="6"/>
      <c r="D845" s="104"/>
    </row>
    <row r="846" spans="3:4" ht="18.75" customHeight="1" x14ac:dyDescent="0.25">
      <c r="C846" s="6"/>
      <c r="D846" s="104"/>
    </row>
    <row r="847" spans="3:4" ht="18.75" customHeight="1" x14ac:dyDescent="0.25">
      <c r="C847" s="6"/>
      <c r="D847" s="104"/>
    </row>
    <row r="848" spans="3:4" ht="18.75" customHeight="1" x14ac:dyDescent="0.25">
      <c r="C848" s="6"/>
      <c r="D848" s="104"/>
    </row>
    <row r="849" spans="3:4" ht="18.75" customHeight="1" x14ac:dyDescent="0.25">
      <c r="C849" s="6"/>
      <c r="D849" s="104"/>
    </row>
    <row r="850" spans="3:4" ht="18.75" customHeight="1" x14ac:dyDescent="0.25">
      <c r="C850" s="6"/>
      <c r="D850" s="104"/>
    </row>
    <row r="851" spans="3:4" ht="18.75" customHeight="1" x14ac:dyDescent="0.25">
      <c r="C851" s="6"/>
      <c r="D851" s="104"/>
    </row>
    <row r="852" spans="3:4" ht="18.75" customHeight="1" x14ac:dyDescent="0.25">
      <c r="C852" s="6"/>
      <c r="D852" s="104"/>
    </row>
    <row r="853" spans="3:4" ht="18.75" customHeight="1" x14ac:dyDescent="0.25">
      <c r="C853" s="6"/>
      <c r="D853" s="104"/>
    </row>
    <row r="854" spans="3:4" ht="18.75" customHeight="1" x14ac:dyDescent="0.25">
      <c r="C854" s="6"/>
      <c r="D854" s="104"/>
    </row>
    <row r="855" spans="3:4" ht="18.75" customHeight="1" x14ac:dyDescent="0.25">
      <c r="C855" s="6"/>
      <c r="D855" s="104"/>
    </row>
    <row r="856" spans="3:4" ht="18.75" customHeight="1" x14ac:dyDescent="0.25">
      <c r="C856" s="6"/>
      <c r="D856" s="104"/>
    </row>
    <row r="857" spans="3:4" ht="18.75" customHeight="1" x14ac:dyDescent="0.25">
      <c r="C857" s="6"/>
      <c r="D857" s="104"/>
    </row>
    <row r="858" spans="3:4" ht="18.75" customHeight="1" x14ac:dyDescent="0.25">
      <c r="C858" s="6"/>
      <c r="D858" s="104"/>
    </row>
    <row r="859" spans="3:4" ht="18.75" customHeight="1" x14ac:dyDescent="0.25">
      <c r="C859" s="6"/>
      <c r="D859" s="104"/>
    </row>
    <row r="860" spans="3:4" ht="18.75" customHeight="1" x14ac:dyDescent="0.25">
      <c r="C860" s="6"/>
      <c r="D860" s="104"/>
    </row>
    <row r="861" spans="3:4" ht="18.75" customHeight="1" x14ac:dyDescent="0.25">
      <c r="C861" s="6"/>
      <c r="D861" s="104"/>
    </row>
    <row r="862" spans="3:4" ht="18.75" customHeight="1" x14ac:dyDescent="0.25">
      <c r="C862" s="6"/>
      <c r="D862" s="104"/>
    </row>
    <row r="863" spans="3:4" ht="18.75" customHeight="1" x14ac:dyDescent="0.25">
      <c r="C863" s="6"/>
      <c r="D863" s="104"/>
    </row>
    <row r="864" spans="3:4" ht="18.75" customHeight="1" x14ac:dyDescent="0.25">
      <c r="C864" s="6"/>
      <c r="D864" s="104"/>
    </row>
    <row r="865" spans="3:4" ht="18.75" customHeight="1" x14ac:dyDescent="0.25">
      <c r="C865" s="6"/>
      <c r="D865" s="104"/>
    </row>
    <row r="866" spans="3:4" ht="18.75" customHeight="1" x14ac:dyDescent="0.25">
      <c r="C866" s="6"/>
      <c r="D866" s="104"/>
    </row>
    <row r="867" spans="3:4" ht="18.75" customHeight="1" x14ac:dyDescent="0.25">
      <c r="C867" s="6"/>
      <c r="D867" s="104"/>
    </row>
    <row r="868" spans="3:4" ht="18.75" customHeight="1" x14ac:dyDescent="0.25">
      <c r="C868" s="6"/>
      <c r="D868" s="104"/>
    </row>
    <row r="869" spans="3:4" ht="18.75" customHeight="1" x14ac:dyDescent="0.25">
      <c r="C869" s="6"/>
      <c r="D869" s="104"/>
    </row>
    <row r="870" spans="3:4" ht="18.75" customHeight="1" x14ac:dyDescent="0.25">
      <c r="C870" s="6"/>
      <c r="D870" s="104"/>
    </row>
    <row r="871" spans="3:4" ht="18.75" customHeight="1" x14ac:dyDescent="0.25">
      <c r="C871" s="6"/>
      <c r="D871" s="104"/>
    </row>
    <row r="872" spans="3:4" ht="18.75" customHeight="1" x14ac:dyDescent="0.25">
      <c r="C872" s="6"/>
      <c r="D872" s="104"/>
    </row>
    <row r="873" spans="3:4" ht="18.75" customHeight="1" x14ac:dyDescent="0.25">
      <c r="C873" s="6"/>
      <c r="D873" s="104"/>
    </row>
    <row r="874" spans="3:4" ht="18.75" customHeight="1" x14ac:dyDescent="0.25">
      <c r="C874" s="6"/>
      <c r="D874" s="104"/>
    </row>
    <row r="875" spans="3:4" ht="18.75" customHeight="1" x14ac:dyDescent="0.25">
      <c r="C875" s="6"/>
      <c r="D875" s="104"/>
    </row>
    <row r="876" spans="3:4" ht="18.75" customHeight="1" x14ac:dyDescent="0.25">
      <c r="C876" s="6"/>
      <c r="D876" s="104"/>
    </row>
    <row r="877" spans="3:4" ht="18.75" customHeight="1" x14ac:dyDescent="0.25">
      <c r="C877" s="6"/>
      <c r="D877" s="104"/>
    </row>
    <row r="878" spans="3:4" ht="18.75" customHeight="1" x14ac:dyDescent="0.25">
      <c r="C878" s="6"/>
      <c r="D878" s="104"/>
    </row>
    <row r="879" spans="3:4" ht="18.75" customHeight="1" x14ac:dyDescent="0.25">
      <c r="C879" s="6"/>
      <c r="D879" s="104"/>
    </row>
    <row r="880" spans="3:4" ht="18.75" customHeight="1" x14ac:dyDescent="0.25">
      <c r="C880" s="6"/>
      <c r="D880" s="104"/>
    </row>
    <row r="881" spans="3:4" ht="18.75" customHeight="1" x14ac:dyDescent="0.25">
      <c r="C881" s="6"/>
      <c r="D881" s="104"/>
    </row>
    <row r="882" spans="3:4" ht="18.75" customHeight="1" x14ac:dyDescent="0.25">
      <c r="C882" s="6"/>
      <c r="D882" s="104"/>
    </row>
    <row r="883" spans="3:4" ht="18.75" customHeight="1" x14ac:dyDescent="0.25">
      <c r="C883" s="6"/>
      <c r="D883" s="104"/>
    </row>
    <row r="884" spans="3:4" ht="18.75" customHeight="1" x14ac:dyDescent="0.25">
      <c r="C884" s="6"/>
      <c r="D884" s="104"/>
    </row>
    <row r="885" spans="3:4" ht="18.75" customHeight="1" x14ac:dyDescent="0.25">
      <c r="C885" s="6"/>
      <c r="D885" s="104"/>
    </row>
    <row r="886" spans="3:4" ht="18.75" customHeight="1" x14ac:dyDescent="0.25">
      <c r="C886" s="6"/>
      <c r="D886" s="104"/>
    </row>
    <row r="887" spans="3:4" ht="18.75" customHeight="1" x14ac:dyDescent="0.25">
      <c r="C887" s="6"/>
      <c r="D887" s="104"/>
    </row>
    <row r="888" spans="3:4" ht="18.75" customHeight="1" x14ac:dyDescent="0.25">
      <c r="C888" s="6"/>
      <c r="D888" s="104"/>
    </row>
    <row r="889" spans="3:4" ht="18.75" customHeight="1" x14ac:dyDescent="0.25">
      <c r="C889" s="6"/>
      <c r="D889" s="104"/>
    </row>
    <row r="890" spans="3:4" ht="18.75" customHeight="1" x14ac:dyDescent="0.25">
      <c r="C890" s="6"/>
      <c r="D890" s="104"/>
    </row>
    <row r="891" spans="3:4" ht="18.75" customHeight="1" x14ac:dyDescent="0.25">
      <c r="C891" s="6"/>
      <c r="D891" s="104"/>
    </row>
    <row r="892" spans="3:4" ht="18.75" customHeight="1" x14ac:dyDescent="0.25">
      <c r="C892" s="6"/>
      <c r="D892" s="104"/>
    </row>
    <row r="893" spans="3:4" ht="18.75" customHeight="1" x14ac:dyDescent="0.25">
      <c r="C893" s="6"/>
      <c r="D893" s="104"/>
    </row>
    <row r="894" spans="3:4" ht="18.75" customHeight="1" x14ac:dyDescent="0.25">
      <c r="C894" s="6"/>
      <c r="D894" s="104"/>
    </row>
    <row r="895" spans="3:4" ht="18.75" customHeight="1" x14ac:dyDescent="0.25">
      <c r="C895" s="6"/>
      <c r="D895" s="104"/>
    </row>
    <row r="896" spans="3:4" ht="18.75" customHeight="1" x14ac:dyDescent="0.25">
      <c r="C896" s="6"/>
      <c r="D896" s="104"/>
    </row>
    <row r="897" spans="3:4" ht="18.75" customHeight="1" x14ac:dyDescent="0.25">
      <c r="C897" s="6"/>
      <c r="D897" s="104"/>
    </row>
    <row r="898" spans="3:4" ht="18.75" customHeight="1" x14ac:dyDescent="0.25">
      <c r="C898" s="6"/>
      <c r="D898" s="104"/>
    </row>
    <row r="899" spans="3:4" ht="18.75" customHeight="1" x14ac:dyDescent="0.25">
      <c r="C899" s="6"/>
      <c r="D899" s="104"/>
    </row>
    <row r="900" spans="3:4" ht="18.75" customHeight="1" x14ac:dyDescent="0.25">
      <c r="C900" s="6"/>
      <c r="D900" s="104"/>
    </row>
    <row r="901" spans="3:4" ht="18.75" customHeight="1" x14ac:dyDescent="0.25">
      <c r="C901" s="6"/>
      <c r="D901" s="104"/>
    </row>
    <row r="902" spans="3:4" ht="18.75" customHeight="1" x14ac:dyDescent="0.25">
      <c r="C902" s="6"/>
      <c r="D902" s="104"/>
    </row>
    <row r="903" spans="3:4" ht="18.75" customHeight="1" x14ac:dyDescent="0.25">
      <c r="C903" s="6"/>
      <c r="D903" s="104"/>
    </row>
    <row r="904" spans="3:4" ht="18.75" customHeight="1" x14ac:dyDescent="0.25">
      <c r="C904" s="6"/>
      <c r="D904" s="104"/>
    </row>
    <row r="905" spans="3:4" ht="18.75" customHeight="1" x14ac:dyDescent="0.25">
      <c r="C905" s="6"/>
      <c r="D905" s="104"/>
    </row>
    <row r="906" spans="3:4" ht="18.75" customHeight="1" x14ac:dyDescent="0.25">
      <c r="C906" s="6"/>
      <c r="D906" s="104"/>
    </row>
    <row r="907" spans="3:4" ht="18.75" customHeight="1" x14ac:dyDescent="0.25">
      <c r="C907" s="6"/>
      <c r="D907" s="104"/>
    </row>
    <row r="908" spans="3:4" ht="18.75" customHeight="1" x14ac:dyDescent="0.25">
      <c r="C908" s="6"/>
      <c r="D908" s="104"/>
    </row>
    <row r="909" spans="3:4" ht="18.75" customHeight="1" x14ac:dyDescent="0.25">
      <c r="C909" s="6"/>
      <c r="D909" s="104"/>
    </row>
    <row r="910" spans="3:4" ht="18.75" customHeight="1" x14ac:dyDescent="0.25">
      <c r="C910" s="6"/>
      <c r="D910" s="104"/>
    </row>
    <row r="911" spans="3:4" ht="18.75" customHeight="1" x14ac:dyDescent="0.25">
      <c r="C911" s="6"/>
      <c r="D911" s="104"/>
    </row>
    <row r="912" spans="3:4" ht="18.75" customHeight="1" x14ac:dyDescent="0.25">
      <c r="C912" s="6"/>
      <c r="D912" s="104"/>
    </row>
    <row r="913" spans="3:4" ht="18.75" customHeight="1" x14ac:dyDescent="0.25">
      <c r="C913" s="6"/>
      <c r="D913" s="104"/>
    </row>
    <row r="914" spans="3:4" ht="18.75" customHeight="1" x14ac:dyDescent="0.25">
      <c r="C914" s="6"/>
      <c r="D914" s="104"/>
    </row>
    <row r="915" spans="3:4" ht="18.75" customHeight="1" x14ac:dyDescent="0.25">
      <c r="C915" s="6"/>
      <c r="D915" s="104"/>
    </row>
    <row r="916" spans="3:4" ht="18.75" customHeight="1" x14ac:dyDescent="0.25">
      <c r="C916" s="6"/>
      <c r="D916" s="104"/>
    </row>
    <row r="917" spans="3:4" ht="18.75" customHeight="1" x14ac:dyDescent="0.25">
      <c r="C917" s="6"/>
      <c r="D917" s="104"/>
    </row>
    <row r="918" spans="3:4" ht="18.75" customHeight="1" x14ac:dyDescent="0.25">
      <c r="C918" s="6"/>
      <c r="D918" s="104"/>
    </row>
    <row r="919" spans="3:4" ht="18.75" customHeight="1" x14ac:dyDescent="0.25">
      <c r="C919" s="6"/>
      <c r="D919" s="104"/>
    </row>
    <row r="920" spans="3:4" ht="18.75" customHeight="1" x14ac:dyDescent="0.25">
      <c r="C920" s="6"/>
      <c r="D920" s="104"/>
    </row>
    <row r="921" spans="3:4" ht="18.75" customHeight="1" x14ac:dyDescent="0.25">
      <c r="C921" s="6"/>
      <c r="D921" s="104"/>
    </row>
    <row r="922" spans="3:4" ht="18.75" customHeight="1" x14ac:dyDescent="0.25">
      <c r="C922" s="6"/>
      <c r="D922" s="104"/>
    </row>
    <row r="923" spans="3:4" ht="18.75" customHeight="1" x14ac:dyDescent="0.25">
      <c r="C923" s="6"/>
      <c r="D923" s="104"/>
    </row>
    <row r="924" spans="3:4" ht="18.75" customHeight="1" x14ac:dyDescent="0.25">
      <c r="C924" s="6"/>
      <c r="D924" s="104"/>
    </row>
    <row r="925" spans="3:4" ht="18.75" customHeight="1" x14ac:dyDescent="0.25">
      <c r="C925" s="6"/>
      <c r="D925" s="104"/>
    </row>
    <row r="926" spans="3:4" ht="18.75" customHeight="1" x14ac:dyDescent="0.25">
      <c r="C926" s="6"/>
      <c r="D926" s="104"/>
    </row>
    <row r="927" spans="3:4" ht="18.75" customHeight="1" x14ac:dyDescent="0.25">
      <c r="C927" s="6"/>
      <c r="D927" s="104"/>
    </row>
    <row r="928" spans="3:4" ht="18.75" customHeight="1" x14ac:dyDescent="0.25">
      <c r="C928" s="6"/>
      <c r="D928" s="104"/>
    </row>
    <row r="929" spans="3:4" ht="18.75" customHeight="1" x14ac:dyDescent="0.25">
      <c r="C929" s="6"/>
      <c r="D929" s="104"/>
    </row>
    <row r="930" spans="3:4" ht="18.75" customHeight="1" x14ac:dyDescent="0.25">
      <c r="C930" s="6"/>
      <c r="D930" s="104"/>
    </row>
    <row r="931" spans="3:4" ht="18.75" customHeight="1" x14ac:dyDescent="0.25">
      <c r="C931" s="6"/>
      <c r="D931" s="104"/>
    </row>
    <row r="932" spans="3:4" ht="18.75" customHeight="1" x14ac:dyDescent="0.25">
      <c r="C932" s="6"/>
      <c r="D932" s="104"/>
    </row>
    <row r="933" spans="3:4" ht="18.75" customHeight="1" x14ac:dyDescent="0.25">
      <c r="C933" s="6"/>
      <c r="D933" s="104"/>
    </row>
    <row r="934" spans="3:4" ht="18.75" customHeight="1" x14ac:dyDescent="0.25">
      <c r="C934" s="6"/>
      <c r="D934" s="104"/>
    </row>
    <row r="935" spans="3:4" ht="18.75" customHeight="1" x14ac:dyDescent="0.25">
      <c r="C935" s="6"/>
      <c r="D935" s="104"/>
    </row>
    <row r="936" spans="3:4" ht="18.75" customHeight="1" x14ac:dyDescent="0.25">
      <c r="C936" s="6"/>
      <c r="D936" s="104"/>
    </row>
    <row r="937" spans="3:4" ht="18.75" customHeight="1" x14ac:dyDescent="0.25">
      <c r="C937" s="6"/>
      <c r="D937" s="104"/>
    </row>
    <row r="938" spans="3:4" ht="18.75" customHeight="1" x14ac:dyDescent="0.25">
      <c r="C938" s="6"/>
      <c r="D938" s="104"/>
    </row>
    <row r="939" spans="3:4" ht="18.75" customHeight="1" x14ac:dyDescent="0.25">
      <c r="C939" s="6"/>
      <c r="D939" s="104"/>
    </row>
    <row r="940" spans="3:4" ht="18.75" customHeight="1" x14ac:dyDescent="0.25">
      <c r="C940" s="6"/>
      <c r="D940" s="104"/>
    </row>
    <row r="941" spans="3:4" ht="18.75" customHeight="1" x14ac:dyDescent="0.25">
      <c r="C941" s="6"/>
      <c r="D941" s="104"/>
    </row>
    <row r="942" spans="3:4" ht="18.75" customHeight="1" x14ac:dyDescent="0.25">
      <c r="C942" s="6"/>
      <c r="D942" s="104"/>
    </row>
    <row r="943" spans="3:4" ht="18.75" customHeight="1" x14ac:dyDescent="0.25">
      <c r="C943" s="6"/>
      <c r="D943" s="104"/>
    </row>
    <row r="944" spans="3:4" ht="18.75" customHeight="1" x14ac:dyDescent="0.25">
      <c r="C944" s="6"/>
      <c r="D944" s="104"/>
    </row>
    <row r="945" spans="3:4" ht="18.75" customHeight="1" x14ac:dyDescent="0.25">
      <c r="C945" s="6"/>
      <c r="D945" s="104"/>
    </row>
    <row r="946" spans="3:4" ht="18.75" customHeight="1" x14ac:dyDescent="0.25">
      <c r="C946" s="6"/>
      <c r="D946" s="104"/>
    </row>
    <row r="947" spans="3:4" ht="18.75" customHeight="1" x14ac:dyDescent="0.25">
      <c r="C947" s="6"/>
      <c r="D947" s="104"/>
    </row>
    <row r="948" spans="3:4" ht="18.75" customHeight="1" x14ac:dyDescent="0.25">
      <c r="C948" s="6"/>
      <c r="D948" s="104"/>
    </row>
    <row r="949" spans="3:4" ht="18.75" customHeight="1" x14ac:dyDescent="0.25">
      <c r="C949" s="6"/>
      <c r="D949" s="104"/>
    </row>
    <row r="950" spans="3:4" ht="18.75" customHeight="1" x14ac:dyDescent="0.25">
      <c r="C950" s="6"/>
      <c r="D950" s="104"/>
    </row>
    <row r="951" spans="3:4" ht="18.75" customHeight="1" x14ac:dyDescent="0.25">
      <c r="C951" s="6"/>
      <c r="D951" s="104"/>
    </row>
    <row r="952" spans="3:4" ht="18.75" customHeight="1" x14ac:dyDescent="0.25">
      <c r="C952" s="6"/>
      <c r="D952" s="104"/>
    </row>
    <row r="953" spans="3:4" ht="18.75" customHeight="1" x14ac:dyDescent="0.25">
      <c r="C953" s="6"/>
      <c r="D953" s="104"/>
    </row>
    <row r="954" spans="3:4" ht="18.75" customHeight="1" x14ac:dyDescent="0.25">
      <c r="C954" s="6"/>
      <c r="D954" s="104"/>
    </row>
    <row r="955" spans="3:4" ht="18.75" customHeight="1" x14ac:dyDescent="0.25">
      <c r="C955" s="6"/>
      <c r="D955" s="104"/>
    </row>
    <row r="956" spans="3:4" ht="18.75" customHeight="1" x14ac:dyDescent="0.25">
      <c r="C956" s="6"/>
      <c r="D956" s="104"/>
    </row>
    <row r="957" spans="3:4" ht="18.75" customHeight="1" x14ac:dyDescent="0.25">
      <c r="C957" s="6"/>
      <c r="D957" s="104"/>
    </row>
    <row r="958" spans="3:4" ht="18.75" customHeight="1" x14ac:dyDescent="0.25">
      <c r="C958" s="6"/>
      <c r="D958" s="104"/>
    </row>
    <row r="959" spans="3:4" ht="18.75" customHeight="1" x14ac:dyDescent="0.25">
      <c r="C959" s="6"/>
      <c r="D959" s="104"/>
    </row>
    <row r="960" spans="3:4" ht="18.75" customHeight="1" x14ac:dyDescent="0.25">
      <c r="C960" s="6"/>
      <c r="D960" s="104"/>
    </row>
    <row r="961" spans="3:4" ht="18.75" customHeight="1" x14ac:dyDescent="0.25">
      <c r="C961" s="6"/>
      <c r="D961" s="104"/>
    </row>
    <row r="962" spans="3:4" ht="18.75" customHeight="1" x14ac:dyDescent="0.25">
      <c r="C962" s="6"/>
      <c r="D962" s="104"/>
    </row>
    <row r="963" spans="3:4" ht="18.75" customHeight="1" x14ac:dyDescent="0.25">
      <c r="C963" s="6"/>
      <c r="D963" s="104"/>
    </row>
    <row r="964" spans="3:4" ht="18.75" customHeight="1" x14ac:dyDescent="0.25">
      <c r="C964" s="6"/>
      <c r="D964" s="104"/>
    </row>
    <row r="965" spans="3:4" ht="18.75" customHeight="1" x14ac:dyDescent="0.25">
      <c r="C965" s="6"/>
      <c r="D965" s="104"/>
    </row>
    <row r="966" spans="3:4" ht="18.75" customHeight="1" x14ac:dyDescent="0.25">
      <c r="C966" s="6"/>
      <c r="D966" s="104"/>
    </row>
    <row r="967" spans="3:4" ht="18.75" customHeight="1" x14ac:dyDescent="0.25">
      <c r="C967" s="6"/>
      <c r="D967" s="104"/>
    </row>
    <row r="968" spans="3:4" ht="18.75" customHeight="1" x14ac:dyDescent="0.25">
      <c r="C968" s="6"/>
      <c r="D968" s="104"/>
    </row>
    <row r="969" spans="3:4" ht="18.75" customHeight="1" x14ac:dyDescent="0.25">
      <c r="C969" s="6"/>
      <c r="D969" s="104"/>
    </row>
    <row r="970" spans="3:4" ht="18.75" customHeight="1" x14ac:dyDescent="0.25">
      <c r="C970" s="6"/>
      <c r="D970" s="104"/>
    </row>
    <row r="971" spans="3:4" ht="18.75" customHeight="1" x14ac:dyDescent="0.25">
      <c r="C971" s="6"/>
      <c r="D971" s="104"/>
    </row>
    <row r="972" spans="3:4" ht="18.75" customHeight="1" x14ac:dyDescent="0.25">
      <c r="C972" s="6"/>
      <c r="D972" s="104"/>
    </row>
    <row r="973" spans="3:4" ht="18.75" customHeight="1" x14ac:dyDescent="0.25">
      <c r="C973" s="6"/>
      <c r="D973" s="104"/>
    </row>
    <row r="974" spans="3:4" ht="18.75" customHeight="1" x14ac:dyDescent="0.25">
      <c r="C974" s="6"/>
      <c r="D974" s="104"/>
    </row>
    <row r="975" spans="3:4" ht="18.75" customHeight="1" x14ac:dyDescent="0.25">
      <c r="C975" s="6"/>
      <c r="D975" s="104"/>
    </row>
    <row r="976" spans="3:4" ht="18.75" customHeight="1" x14ac:dyDescent="0.25">
      <c r="C976" s="6"/>
      <c r="D976" s="104"/>
    </row>
    <row r="977" spans="3:4" ht="18.75" customHeight="1" x14ac:dyDescent="0.25">
      <c r="C977" s="6"/>
      <c r="D977" s="104"/>
    </row>
    <row r="978" spans="3:4" ht="18.75" customHeight="1" x14ac:dyDescent="0.25">
      <c r="C978" s="6"/>
      <c r="D978" s="104"/>
    </row>
    <row r="979" spans="3:4" ht="18.75" customHeight="1" x14ac:dyDescent="0.25">
      <c r="C979" s="6"/>
      <c r="D979" s="104"/>
    </row>
    <row r="980" spans="3:4" ht="18.75" customHeight="1" x14ac:dyDescent="0.25">
      <c r="C980" s="6"/>
      <c r="D980" s="104"/>
    </row>
    <row r="981" spans="3:4" ht="18.75" customHeight="1" x14ac:dyDescent="0.25">
      <c r="C981" s="6"/>
      <c r="D981" s="104"/>
    </row>
    <row r="982" spans="3:4" ht="18.75" customHeight="1" x14ac:dyDescent="0.25">
      <c r="C982" s="6"/>
      <c r="D982" s="104"/>
    </row>
    <row r="983" spans="3:4" ht="18.75" customHeight="1" x14ac:dyDescent="0.25">
      <c r="C983" s="6"/>
      <c r="D983" s="104"/>
    </row>
    <row r="984" spans="3:4" ht="18.75" customHeight="1" x14ac:dyDescent="0.25">
      <c r="C984" s="6"/>
      <c r="D984" s="104"/>
    </row>
    <row r="985" spans="3:4" ht="18.75" customHeight="1" x14ac:dyDescent="0.25">
      <c r="C985" s="6"/>
      <c r="D985" s="104"/>
    </row>
    <row r="986" spans="3:4" ht="18.75" customHeight="1" x14ac:dyDescent="0.25">
      <c r="C986" s="6"/>
      <c r="D986" s="104"/>
    </row>
    <row r="987" spans="3:4" ht="18.75" customHeight="1" x14ac:dyDescent="0.25">
      <c r="C987" s="6"/>
      <c r="D987" s="104"/>
    </row>
    <row r="988" spans="3:4" ht="18.75" customHeight="1" x14ac:dyDescent="0.25">
      <c r="C988" s="6"/>
      <c r="D988" s="104"/>
    </row>
    <row r="989" spans="3:4" ht="18.75" customHeight="1" x14ac:dyDescent="0.25">
      <c r="C989" s="6"/>
      <c r="D989" s="104"/>
    </row>
    <row r="990" spans="3:4" ht="18.75" customHeight="1" x14ac:dyDescent="0.25">
      <c r="C990" s="6"/>
      <c r="D990" s="104"/>
    </row>
    <row r="991" spans="3:4" ht="18.75" customHeight="1" x14ac:dyDescent="0.25">
      <c r="C991" s="6"/>
      <c r="D991" s="104"/>
    </row>
    <row r="992" spans="3:4" ht="18.75" customHeight="1" x14ac:dyDescent="0.25">
      <c r="C992" s="6"/>
      <c r="D992" s="104"/>
    </row>
    <row r="993" spans="3:4" ht="18.75" customHeight="1" x14ac:dyDescent="0.25">
      <c r="C993" s="6"/>
      <c r="D993" s="104"/>
    </row>
    <row r="994" spans="3:4" ht="18.75" customHeight="1" x14ac:dyDescent="0.25">
      <c r="C994" s="6"/>
      <c r="D994" s="104"/>
    </row>
    <row r="995" spans="3:4" ht="18.75" customHeight="1" x14ac:dyDescent="0.25">
      <c r="C995" s="6"/>
      <c r="D995" s="104"/>
    </row>
    <row r="996" spans="3:4" ht="18.75" customHeight="1" x14ac:dyDescent="0.25">
      <c r="C996" s="6"/>
      <c r="D996" s="104"/>
    </row>
    <row r="997" spans="3:4" ht="18.75" customHeight="1" x14ac:dyDescent="0.25">
      <c r="C997" s="6"/>
      <c r="D997" s="104"/>
    </row>
    <row r="998" spans="3:4" ht="18.75" customHeight="1" x14ac:dyDescent="0.25">
      <c r="C998" s="6"/>
      <c r="D998" s="104"/>
    </row>
    <row r="999" spans="3:4" ht="18.75" customHeight="1" x14ac:dyDescent="0.25">
      <c r="C999" s="6"/>
      <c r="D999" s="104"/>
    </row>
    <row r="1000" spans="3:4" ht="18.75" customHeight="1" x14ac:dyDescent="0.25">
      <c r="C1000" s="6"/>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575" priority="1" operator="equal">
      <formula>"TRUE"</formula>
    </cfRule>
  </conditionalFormatting>
  <conditionalFormatting sqref="F5:F14">
    <cfRule type="cellIs" dxfId="574" priority="2" operator="equal">
      <formula>"TRUE"</formula>
    </cfRule>
  </conditionalFormatting>
  <conditionalFormatting sqref="G5:G14">
    <cfRule type="cellIs" dxfId="573" priority="3" operator="equal">
      <formula>"TRUE"</formula>
    </cfRule>
  </conditionalFormatting>
  <conditionalFormatting sqref="H5:I14">
    <cfRule type="cellIs" dxfId="572" priority="4" operator="equal">
      <formula>"TRUE"</formula>
    </cfRule>
  </conditionalFormatting>
  <conditionalFormatting sqref="I5:I14">
    <cfRule type="cellIs" dxfId="571" priority="5" operator="equal">
      <formula>"TRUE"</formula>
    </cfRule>
  </conditionalFormatting>
  <conditionalFormatting sqref="J5:J14">
    <cfRule type="cellIs" dxfId="570" priority="6" operator="equal">
      <formula>"TRUE"</formula>
    </cfRule>
  </conditionalFormatting>
  <conditionalFormatting sqref="K5:K14">
    <cfRule type="cellIs" dxfId="569" priority="7" operator="equal">
      <formula>"TRUE"</formula>
    </cfRule>
  </conditionalFormatting>
  <conditionalFormatting sqref="L5:L14">
    <cfRule type="cellIs" dxfId="568" priority="8" operator="equal">
      <formula>"TRUE"</formula>
    </cfRule>
  </conditionalFormatting>
  <conditionalFormatting sqref="M5:M14">
    <cfRule type="cellIs" dxfId="567" priority="9" operator="equal">
      <formula>"TRUE"</formula>
    </cfRule>
  </conditionalFormatting>
  <conditionalFormatting sqref="N5:N14">
    <cfRule type="cellIs" dxfId="566" priority="10" operator="equal">
      <formula>"TRUE"</formula>
    </cfRule>
  </conditionalFormatting>
  <conditionalFormatting sqref="O5:O14">
    <cfRule type="cellIs" dxfId="565" priority="11" operator="equal">
      <formula>"TRUE"</formula>
    </cfRule>
  </conditionalFormatting>
  <conditionalFormatting sqref="P5:P14">
    <cfRule type="cellIs" dxfId="564" priority="12" operator="equal">
      <formula>"TRUE"</formula>
    </cfRule>
  </conditionalFormatting>
  <conditionalFormatting sqref="Q5:Q14">
    <cfRule type="cellIs" dxfId="563" priority="13" operator="equal">
      <formula>"TRUE"</formula>
    </cfRule>
  </conditionalFormatting>
  <conditionalFormatting sqref="R5:R14">
    <cfRule type="cellIs" dxfId="562" priority="14" operator="equal">
      <formula>"TRUE"</formula>
    </cfRule>
  </conditionalFormatting>
  <conditionalFormatting sqref="S5:S14">
    <cfRule type="cellIs" dxfId="561" priority="15" operator="equal">
      <formula>"TRUE"</formula>
    </cfRule>
  </conditionalFormatting>
  <conditionalFormatting sqref="T5:T14">
    <cfRule type="cellIs" dxfId="560" priority="16" operator="equal">
      <formula>"TRUE"</formula>
    </cfRule>
  </conditionalFormatting>
  <conditionalFormatting sqref="U5:U14">
    <cfRule type="cellIs" dxfId="559" priority="17" operator="equal">
      <formula>"TRUE"</formula>
    </cfRule>
  </conditionalFormatting>
  <conditionalFormatting sqref="V5:V14">
    <cfRule type="cellIs" dxfId="558" priority="18" operator="equal">
      <formula>"TRUE"</formula>
    </cfRule>
  </conditionalFormatting>
  <pageMargins left="0.7" right="0.7" top="0.75" bottom="0.75" header="0" footer="0"/>
  <pageSetup paperSize="9" fitToWidth="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Y1000"/>
  <sheetViews>
    <sheetView zoomScale="55" zoomScaleNormal="55" workbookViewId="0">
      <selection activeCell="C17" sqref="C17"/>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134</v>
      </c>
      <c r="B2" s="83">
        <v>12</v>
      </c>
      <c r="C2" s="103" t="s">
        <v>79</v>
      </c>
      <c r="D2" s="83" t="s">
        <v>88</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236</v>
      </c>
      <c r="D5" s="85" t="str">
        <f>_xlfn.TEXTJOIN(", ",TRUE,IF(OR(E5,F5),"1",""),IF(OR(G5,H5,I5,J5),"2",""),IF(OR(K5,L5),"3",""),IF(OR(M5,N5),"4",""),IF(OR(O5,P5),"5",""),IF(OR(Q5,R5,S5,T5),"6",""),IF(OR(U5,V5),"7",""))</f>
        <v>1</v>
      </c>
      <c r="E5" s="107" t="b">
        <v>0</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PI12</v>
      </c>
      <c r="X5" s="6"/>
      <c r="Y5" s="6"/>
    </row>
    <row r="6" spans="1:25" ht="45" customHeight="1" x14ac:dyDescent="0.25">
      <c r="A6" s="143"/>
      <c r="B6" s="97"/>
      <c r="C6" s="115"/>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115"/>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6" t="s">
        <v>237</v>
      </c>
      <c r="D8" s="85" t="str">
        <f t="shared" si="0"/>
        <v>1</v>
      </c>
      <c r="E8" s="107" t="b">
        <v>0</v>
      </c>
      <c r="F8" s="107" t="b">
        <v>1</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PI12</v>
      </c>
      <c r="X8" s="6"/>
      <c r="Y8" s="6"/>
    </row>
    <row r="9" spans="1:25" ht="45" customHeight="1" x14ac:dyDescent="0.25">
      <c r="A9" s="143"/>
      <c r="B9" s="99">
        <v>2.2000000000000002</v>
      </c>
      <c r="C9" s="116" t="s">
        <v>238</v>
      </c>
      <c r="D9" s="85" t="str">
        <f t="shared" si="0"/>
        <v>1</v>
      </c>
      <c r="E9" s="107" t="b">
        <v>0</v>
      </c>
      <c r="F9" s="107" t="b">
        <v>1</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PI12</v>
      </c>
      <c r="X9" s="6"/>
      <c r="Y9" s="6"/>
    </row>
    <row r="10" spans="1:25" ht="45" customHeight="1" x14ac:dyDescent="0.25">
      <c r="A10" s="143"/>
      <c r="B10" s="99">
        <v>2.2999999999999998</v>
      </c>
      <c r="C10" s="116" t="s">
        <v>239</v>
      </c>
      <c r="D10" s="85" t="str">
        <f t="shared" si="0"/>
        <v>1, 6</v>
      </c>
      <c r="E10" s="107" t="b">
        <v>0</v>
      </c>
      <c r="F10" s="107" t="b">
        <v>1</v>
      </c>
      <c r="G10" s="107" t="b">
        <v>0</v>
      </c>
      <c r="H10" s="107" t="b">
        <v>0</v>
      </c>
      <c r="I10" s="107" t="b">
        <v>0</v>
      </c>
      <c r="J10" s="107" t="b">
        <v>0</v>
      </c>
      <c r="K10" s="107" t="b">
        <v>0</v>
      </c>
      <c r="L10" s="107" t="b">
        <v>0</v>
      </c>
      <c r="M10" s="107" t="b">
        <v>0</v>
      </c>
      <c r="N10" s="107" t="b">
        <v>0</v>
      </c>
      <c r="O10" s="107" t="b">
        <v>0</v>
      </c>
      <c r="P10" s="107" t="b">
        <v>0</v>
      </c>
      <c r="Q10" s="107" t="b">
        <v>0</v>
      </c>
      <c r="R10" s="107" t="b">
        <v>1</v>
      </c>
      <c r="S10" s="107" t="b">
        <v>1</v>
      </c>
      <c r="T10" s="107" t="b">
        <v>1</v>
      </c>
      <c r="U10" s="107" t="b">
        <v>0</v>
      </c>
      <c r="V10" s="107" t="b">
        <v>0</v>
      </c>
      <c r="W10" s="83" t="str" cm="1">
        <f t="array" ref="W10">_xlfn.TEXTJOIN(", ",TRUE,IF(E10:V10,{"PI11","PI12","PI21","PI22","PI23","PI24","PI31","PI32","PI41","PI42","PI51","PI52","PI61","PI62","PI63","PI64","PI71","PI72"},""))</f>
        <v>PI12, PI62, PI63, PI64</v>
      </c>
      <c r="X10" s="6"/>
      <c r="Y10" s="6"/>
    </row>
    <row r="11" spans="1:25" ht="45" customHeight="1" x14ac:dyDescent="0.25">
      <c r="A11" s="143"/>
      <c r="B11" s="99"/>
      <c r="C11" s="117"/>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17"/>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8" t="s">
        <v>240</v>
      </c>
      <c r="D13" s="85" t="str">
        <f t="shared" si="0"/>
        <v>5</v>
      </c>
      <c r="E13" s="107" t="b">
        <v>0</v>
      </c>
      <c r="F13" s="107" t="b">
        <v>0</v>
      </c>
      <c r="G13" s="107" t="b">
        <v>0</v>
      </c>
      <c r="H13" s="107" t="b">
        <v>0</v>
      </c>
      <c r="I13" s="107" t="b">
        <v>0</v>
      </c>
      <c r="J13" s="107" t="b">
        <v>0</v>
      </c>
      <c r="K13" s="107" t="b">
        <v>0</v>
      </c>
      <c r="L13" s="107" t="b">
        <v>0</v>
      </c>
      <c r="M13" s="107" t="b">
        <v>0</v>
      </c>
      <c r="N13" s="107" t="b">
        <v>0</v>
      </c>
      <c r="O13" s="107" t="b">
        <v>1</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PI51</v>
      </c>
      <c r="X13" s="6"/>
      <c r="Y13" s="6"/>
    </row>
    <row r="14" spans="1:25" ht="45" customHeight="1" x14ac:dyDescent="0.25">
      <c r="A14" s="144"/>
      <c r="B14" s="101">
        <v>3.2</v>
      </c>
      <c r="C14" s="118" t="s">
        <v>135</v>
      </c>
      <c r="D14" s="85" t="str">
        <f t="shared" si="0"/>
        <v>4</v>
      </c>
      <c r="E14" s="107" t="b">
        <v>0</v>
      </c>
      <c r="F14" s="107" t="b">
        <v>0</v>
      </c>
      <c r="G14" s="107" t="b">
        <v>0</v>
      </c>
      <c r="H14" s="107" t="b">
        <v>0</v>
      </c>
      <c r="I14" s="107" t="b">
        <v>0</v>
      </c>
      <c r="J14" s="107" t="b">
        <v>0</v>
      </c>
      <c r="K14" s="107" t="b">
        <v>0</v>
      </c>
      <c r="L14" s="107" t="b">
        <v>0</v>
      </c>
      <c r="M14" s="107" t="b">
        <v>1</v>
      </c>
      <c r="N14" s="107" t="b">
        <v>1</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PI41, PI42</v>
      </c>
      <c r="X14" s="6"/>
      <c r="Y14" s="6"/>
    </row>
    <row r="15" spans="1:25" ht="30" customHeight="1" x14ac:dyDescent="0.25">
      <c r="A15" s="103" t="s">
        <v>133</v>
      </c>
      <c r="B15" s="103"/>
      <c r="C15" s="83" t="str">
        <f>C2</f>
        <v>Introduction to Circuits</v>
      </c>
      <c r="D15" s="85" t="str">
        <f>A2</f>
        <v>EE 201</v>
      </c>
      <c r="E15" s="68" t="str">
        <f t="shared" ref="E15:V15" si="1">IF(COUNTIF(E$5:E$14,TRUE)&gt;0,$D$2,"")</f>
        <v/>
      </c>
      <c r="F15" s="69" t="str">
        <f t="shared" si="1"/>
        <v>I</v>
      </c>
      <c r="G15" s="70" t="str">
        <f t="shared" si="1"/>
        <v/>
      </c>
      <c r="H15" s="71" t="str">
        <f t="shared" si="1"/>
        <v/>
      </c>
      <c r="I15" s="72" t="str">
        <f t="shared" si="1"/>
        <v/>
      </c>
      <c r="J15" s="73" t="str">
        <f t="shared" si="1"/>
        <v/>
      </c>
      <c r="K15" s="74" t="str">
        <f t="shared" si="1"/>
        <v/>
      </c>
      <c r="L15" s="86" t="str">
        <f t="shared" si="1"/>
        <v/>
      </c>
      <c r="M15" s="87" t="str">
        <f t="shared" si="1"/>
        <v>I</v>
      </c>
      <c r="N15" s="88" t="str">
        <f t="shared" si="1"/>
        <v>I</v>
      </c>
      <c r="O15" s="89" t="str">
        <f t="shared" si="1"/>
        <v>I</v>
      </c>
      <c r="P15" s="90" t="str">
        <f t="shared" si="1"/>
        <v/>
      </c>
      <c r="Q15" s="91" t="str">
        <f t="shared" si="1"/>
        <v/>
      </c>
      <c r="R15" s="92" t="str">
        <f t="shared" si="1"/>
        <v>I</v>
      </c>
      <c r="S15" s="93" t="str">
        <f t="shared" si="1"/>
        <v>I</v>
      </c>
      <c r="T15" s="94" t="str">
        <f t="shared" si="1"/>
        <v>I</v>
      </c>
      <c r="U15" s="95" t="str">
        <f t="shared" si="1"/>
        <v/>
      </c>
      <c r="V15" s="96" t="str">
        <f t="shared" si="1"/>
        <v/>
      </c>
      <c r="W15" s="6"/>
      <c r="X15" s="6"/>
      <c r="Y15" s="6"/>
    </row>
    <row r="16" spans="1:25" ht="30" customHeight="1" x14ac:dyDescent="0.25">
      <c r="A16" s="103" t="s">
        <v>136</v>
      </c>
      <c r="B16" s="103"/>
      <c r="C16" s="83" t="str">
        <f>C2</f>
        <v>Introduction to Circuits</v>
      </c>
      <c r="D16" s="85" t="str">
        <f>A2</f>
        <v>EE 201</v>
      </c>
      <c r="E16" s="147" t="str">
        <f>IF(COUNTIF(E$5:F$14,TRUE)&gt;0,$D$2,"")</f>
        <v>I</v>
      </c>
      <c r="F16" s="125"/>
      <c r="G16" s="148" t="str">
        <f>IF(COUNTIF(G$5:J$14,TRUE)&gt;0,$D$2,"")</f>
        <v/>
      </c>
      <c r="H16" s="129"/>
      <c r="I16" s="129"/>
      <c r="J16" s="125"/>
      <c r="K16" s="149" t="str">
        <f>IF(COUNTIF(K$5:L$14,TRUE)&gt;0,$D$2,"")</f>
        <v/>
      </c>
      <c r="L16" s="125"/>
      <c r="M16" s="137" t="str">
        <f>IF(COUNTIF(M$5:N$14,TRUE)&gt;0,$D$2,"")</f>
        <v>I</v>
      </c>
      <c r="N16" s="125"/>
      <c r="O16" s="138" t="str">
        <f>IF(COUNTIF(O$5:P$14,TRUE)&gt;0,$D$2,"")</f>
        <v>I</v>
      </c>
      <c r="P16" s="125"/>
      <c r="Q16" s="139" t="str">
        <f>IF(COUNTIF(Q$5:T$14,TRUE)&gt;0,$D$2,"")</f>
        <v>I</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C18" s="6"/>
      <c r="D18" s="104"/>
    </row>
    <row r="19" spans="1:25" ht="18.75" customHeight="1" x14ac:dyDescent="0.25">
      <c r="C19" s="6"/>
      <c r="D19" s="104"/>
    </row>
    <row r="20" spans="1:25" ht="18.75" customHeight="1" x14ac:dyDescent="0.25">
      <c r="C20" s="6"/>
      <c r="D20" s="104"/>
    </row>
    <row r="21" spans="1:25" ht="18.75" customHeight="1" x14ac:dyDescent="0.25">
      <c r="C21" s="6"/>
      <c r="D21" s="104"/>
    </row>
    <row r="22" spans="1:25" ht="18.75" customHeight="1" x14ac:dyDescent="0.25">
      <c r="C22" s="6"/>
      <c r="D22" s="104"/>
    </row>
    <row r="23" spans="1:25" ht="18.75" customHeight="1" x14ac:dyDescent="0.25">
      <c r="C23" s="6"/>
      <c r="D23" s="104"/>
    </row>
    <row r="24" spans="1:25" ht="18.75" customHeight="1" x14ac:dyDescent="0.25">
      <c r="C24" s="6"/>
      <c r="D24" s="104"/>
    </row>
    <row r="25" spans="1:25" ht="18.75" customHeight="1" x14ac:dyDescent="0.25">
      <c r="C25" s="6"/>
      <c r="D25" s="104"/>
    </row>
    <row r="26" spans="1:25" ht="18.75" customHeight="1" x14ac:dyDescent="0.25">
      <c r="C26" s="6"/>
      <c r="D26" s="104"/>
    </row>
    <row r="27" spans="1:25" ht="18.75" customHeight="1" x14ac:dyDescent="0.25">
      <c r="C27" s="6"/>
      <c r="D27" s="104"/>
    </row>
    <row r="28" spans="1:25" ht="18.75" customHeight="1" x14ac:dyDescent="0.25">
      <c r="C28" s="6"/>
      <c r="D28" s="104"/>
    </row>
    <row r="29" spans="1:25" ht="18.75" customHeight="1" x14ac:dyDescent="0.25">
      <c r="C29" s="6"/>
      <c r="D29" s="104"/>
    </row>
    <row r="30" spans="1:25" ht="18.75" customHeight="1" x14ac:dyDescent="0.25">
      <c r="C30" s="6"/>
      <c r="D30" s="104"/>
    </row>
    <row r="31" spans="1:25" ht="18.75" customHeight="1" x14ac:dyDescent="0.25">
      <c r="C31" s="6"/>
      <c r="D31" s="104"/>
    </row>
    <row r="32" spans="1:25" ht="18.75" customHeight="1" x14ac:dyDescent="0.25">
      <c r="C32" s="6"/>
      <c r="D32" s="104"/>
    </row>
    <row r="33" spans="3:4" ht="18.75" customHeight="1" x14ac:dyDescent="0.25">
      <c r="C33" s="6"/>
      <c r="D33" s="104"/>
    </row>
    <row r="34" spans="3:4" ht="18.75" customHeight="1" x14ac:dyDescent="0.25">
      <c r="C34" s="6"/>
      <c r="D34" s="104"/>
    </row>
    <row r="35" spans="3:4" ht="18.75" customHeight="1" x14ac:dyDescent="0.25">
      <c r="C35" s="6"/>
      <c r="D35" s="104"/>
    </row>
    <row r="36" spans="3:4" ht="18.75" customHeight="1" x14ac:dyDescent="0.25">
      <c r="C36" s="6"/>
      <c r="D36" s="104"/>
    </row>
    <row r="37" spans="3:4" ht="18.75" customHeight="1" x14ac:dyDescent="0.25">
      <c r="C37" s="6"/>
      <c r="D37" s="104"/>
    </row>
    <row r="38" spans="3:4" ht="18.75" customHeight="1" x14ac:dyDescent="0.25">
      <c r="C38" s="6"/>
      <c r="D38" s="104"/>
    </row>
    <row r="39" spans="3:4" ht="18.75" customHeight="1" x14ac:dyDescent="0.25">
      <c r="C39" s="6"/>
      <c r="D39" s="104"/>
    </row>
    <row r="40" spans="3:4" ht="18.75" customHeight="1" x14ac:dyDescent="0.25">
      <c r="C40" s="6"/>
      <c r="D40" s="104"/>
    </row>
    <row r="41" spans="3:4" ht="18.75" customHeight="1" x14ac:dyDescent="0.25">
      <c r="C41" s="6"/>
      <c r="D41" s="104"/>
    </row>
    <row r="42" spans="3:4" ht="18.75" customHeight="1" x14ac:dyDescent="0.25">
      <c r="C42" s="6"/>
      <c r="D42" s="104"/>
    </row>
    <row r="43" spans="3:4" ht="18.75" customHeight="1" x14ac:dyDescent="0.25">
      <c r="C43" s="6"/>
      <c r="D43" s="104"/>
    </row>
    <row r="44" spans="3:4" ht="18.75" customHeight="1" x14ac:dyDescent="0.25">
      <c r="C44" s="6"/>
      <c r="D44" s="104"/>
    </row>
    <row r="45" spans="3:4" ht="18.75" customHeight="1" x14ac:dyDescent="0.25">
      <c r="C45" s="6"/>
      <c r="D45" s="104"/>
    </row>
    <row r="46" spans="3:4" ht="18.75" customHeight="1" x14ac:dyDescent="0.25">
      <c r="C46" s="6"/>
      <c r="D46" s="104"/>
    </row>
    <row r="47" spans="3:4" ht="18.75" customHeight="1" x14ac:dyDescent="0.25">
      <c r="C47" s="6"/>
      <c r="D47" s="104"/>
    </row>
    <row r="48" spans="3:4" ht="18.75" customHeight="1" x14ac:dyDescent="0.25">
      <c r="C48" s="6"/>
      <c r="D48" s="104"/>
    </row>
    <row r="49" spans="3:4" ht="18.75" customHeight="1" x14ac:dyDescent="0.25">
      <c r="C49" s="6"/>
      <c r="D49" s="104"/>
    </row>
    <row r="50" spans="3:4" ht="18.75" customHeight="1" x14ac:dyDescent="0.25">
      <c r="C50" s="6"/>
      <c r="D50" s="104"/>
    </row>
    <row r="51" spans="3:4" ht="18.75" customHeight="1" x14ac:dyDescent="0.25">
      <c r="C51" s="6"/>
      <c r="D51" s="104"/>
    </row>
    <row r="52" spans="3:4" ht="18.75" customHeight="1" x14ac:dyDescent="0.25">
      <c r="C52" s="6"/>
      <c r="D52" s="104"/>
    </row>
    <row r="53" spans="3:4" ht="18.75" customHeight="1" x14ac:dyDescent="0.25">
      <c r="C53" s="6"/>
      <c r="D53" s="104"/>
    </row>
    <row r="54" spans="3:4" ht="18.75" customHeight="1" x14ac:dyDescent="0.25">
      <c r="C54" s="6"/>
      <c r="D54" s="104"/>
    </row>
    <row r="55" spans="3:4" ht="18.75" customHeight="1" x14ac:dyDescent="0.25">
      <c r="C55" s="6"/>
      <c r="D55" s="104"/>
    </row>
    <row r="56" spans="3:4" ht="18.75" customHeight="1" x14ac:dyDescent="0.25">
      <c r="C56" s="6"/>
      <c r="D56" s="104"/>
    </row>
    <row r="57" spans="3:4" ht="18.75" customHeight="1" x14ac:dyDescent="0.25">
      <c r="C57" s="6"/>
      <c r="D57" s="104"/>
    </row>
    <row r="58" spans="3:4" ht="18.75" customHeight="1" x14ac:dyDescent="0.25">
      <c r="C58" s="6"/>
      <c r="D58" s="104"/>
    </row>
    <row r="59" spans="3:4" ht="18.75" customHeight="1" x14ac:dyDescent="0.25">
      <c r="C59" s="6"/>
      <c r="D59" s="104"/>
    </row>
    <row r="60" spans="3:4" ht="18.75" customHeight="1" x14ac:dyDescent="0.25">
      <c r="C60" s="6"/>
      <c r="D60" s="104"/>
    </row>
    <row r="61" spans="3:4" ht="18.75" customHeight="1" x14ac:dyDescent="0.25">
      <c r="C61" s="6"/>
      <c r="D61" s="104"/>
    </row>
    <row r="62" spans="3:4" ht="18.75" customHeight="1" x14ac:dyDescent="0.25">
      <c r="C62" s="6"/>
      <c r="D62" s="104"/>
    </row>
    <row r="63" spans="3:4" ht="18.75" customHeight="1" x14ac:dyDescent="0.25">
      <c r="C63" s="6"/>
      <c r="D63" s="104"/>
    </row>
    <row r="64" spans="3:4" ht="18.75" customHeight="1" x14ac:dyDescent="0.25">
      <c r="C64" s="6"/>
      <c r="D64" s="104"/>
    </row>
    <row r="65" spans="3:4" ht="18.75" customHeight="1" x14ac:dyDescent="0.25">
      <c r="C65" s="6"/>
      <c r="D65" s="104"/>
    </row>
    <row r="66" spans="3:4" ht="18.75" customHeight="1" x14ac:dyDescent="0.25">
      <c r="C66" s="6"/>
      <c r="D66" s="104"/>
    </row>
    <row r="67" spans="3:4" ht="18.75" customHeight="1" x14ac:dyDescent="0.25">
      <c r="C67" s="6"/>
      <c r="D67" s="104"/>
    </row>
    <row r="68" spans="3:4" ht="18.75" customHeight="1" x14ac:dyDescent="0.25">
      <c r="C68" s="6"/>
      <c r="D68" s="104"/>
    </row>
    <row r="69" spans="3:4" ht="18.75" customHeight="1" x14ac:dyDescent="0.25">
      <c r="C69" s="6"/>
      <c r="D69" s="104"/>
    </row>
    <row r="70" spans="3:4" ht="18.75" customHeight="1" x14ac:dyDescent="0.25">
      <c r="C70" s="6"/>
      <c r="D70" s="104"/>
    </row>
    <row r="71" spans="3:4" ht="18.75" customHeight="1" x14ac:dyDescent="0.25">
      <c r="C71" s="6"/>
      <c r="D71" s="104"/>
    </row>
    <row r="72" spans="3:4" ht="18.75" customHeight="1" x14ac:dyDescent="0.25">
      <c r="C72" s="6"/>
      <c r="D72" s="104"/>
    </row>
    <row r="73" spans="3:4" ht="18.75" customHeight="1" x14ac:dyDescent="0.25">
      <c r="C73" s="6"/>
      <c r="D73" s="104"/>
    </row>
    <row r="74" spans="3:4" ht="18.75" customHeight="1" x14ac:dyDescent="0.25">
      <c r="C74" s="6"/>
      <c r="D74" s="104"/>
    </row>
    <row r="75" spans="3:4" ht="18.75" customHeight="1" x14ac:dyDescent="0.25">
      <c r="C75" s="6"/>
      <c r="D75" s="104"/>
    </row>
    <row r="76" spans="3:4" ht="18.75" customHeight="1" x14ac:dyDescent="0.25">
      <c r="C76" s="6"/>
      <c r="D76" s="104"/>
    </row>
    <row r="77" spans="3:4" ht="18.75" customHeight="1" x14ac:dyDescent="0.25">
      <c r="C77" s="6"/>
      <c r="D77" s="104"/>
    </row>
    <row r="78" spans="3:4" ht="18.75" customHeight="1" x14ac:dyDescent="0.25">
      <c r="C78" s="6"/>
      <c r="D78" s="104"/>
    </row>
    <row r="79" spans="3:4" ht="18.75" customHeight="1" x14ac:dyDescent="0.25">
      <c r="C79" s="6"/>
      <c r="D79" s="104"/>
    </row>
    <row r="80" spans="3:4" ht="18.75" customHeight="1" x14ac:dyDescent="0.25">
      <c r="C80" s="6"/>
      <c r="D80" s="104"/>
    </row>
    <row r="81" spans="3:4" ht="18.75" customHeight="1" x14ac:dyDescent="0.25">
      <c r="C81" s="6"/>
      <c r="D81" s="104"/>
    </row>
    <row r="82" spans="3:4" ht="18.75" customHeight="1" x14ac:dyDescent="0.25">
      <c r="C82" s="6"/>
      <c r="D82" s="104"/>
    </row>
    <row r="83" spans="3:4" ht="18.75" customHeight="1" x14ac:dyDescent="0.25">
      <c r="C83" s="6"/>
      <c r="D83" s="104"/>
    </row>
    <row r="84" spans="3:4" ht="18.75" customHeight="1" x14ac:dyDescent="0.25">
      <c r="C84" s="6"/>
      <c r="D84" s="104"/>
    </row>
    <row r="85" spans="3:4" ht="18.75" customHeight="1" x14ac:dyDescent="0.25">
      <c r="C85" s="6"/>
      <c r="D85" s="104"/>
    </row>
    <row r="86" spans="3:4" ht="18.75" customHeight="1" x14ac:dyDescent="0.25">
      <c r="C86" s="6"/>
      <c r="D86" s="104"/>
    </row>
    <row r="87" spans="3:4" ht="18.75" customHeight="1" x14ac:dyDescent="0.25">
      <c r="C87" s="6"/>
      <c r="D87" s="104"/>
    </row>
    <row r="88" spans="3:4" ht="18.75" customHeight="1" x14ac:dyDescent="0.25">
      <c r="C88" s="6"/>
      <c r="D88" s="104"/>
    </row>
    <row r="89" spans="3:4" ht="18.75" customHeight="1" x14ac:dyDescent="0.25">
      <c r="C89" s="6"/>
      <c r="D89" s="104"/>
    </row>
    <row r="90" spans="3:4" ht="18.75" customHeight="1" x14ac:dyDescent="0.25">
      <c r="C90" s="6"/>
      <c r="D90" s="104"/>
    </row>
    <row r="91" spans="3:4" ht="18.75" customHeight="1" x14ac:dyDescent="0.25">
      <c r="C91" s="6"/>
      <c r="D91" s="104"/>
    </row>
    <row r="92" spans="3:4" ht="18.75" customHeight="1" x14ac:dyDescent="0.25">
      <c r="C92" s="6"/>
      <c r="D92" s="104"/>
    </row>
    <row r="93" spans="3:4" ht="18.75" customHeight="1" x14ac:dyDescent="0.25">
      <c r="C93" s="6"/>
      <c r="D93" s="104"/>
    </row>
    <row r="94" spans="3:4" ht="18.75" customHeight="1" x14ac:dyDescent="0.25">
      <c r="C94" s="6"/>
      <c r="D94" s="104"/>
    </row>
    <row r="95" spans="3:4" ht="18.75" customHeight="1" x14ac:dyDescent="0.25">
      <c r="C95" s="6"/>
      <c r="D95" s="104"/>
    </row>
    <row r="96" spans="3:4" ht="18.75" customHeight="1" x14ac:dyDescent="0.25">
      <c r="C96" s="6"/>
      <c r="D96" s="104"/>
    </row>
    <row r="97" spans="3:4" ht="18.75" customHeight="1" x14ac:dyDescent="0.25">
      <c r="C97" s="6"/>
      <c r="D97" s="104"/>
    </row>
    <row r="98" spans="3:4" ht="18.75" customHeight="1" x14ac:dyDescent="0.25">
      <c r="C98" s="6"/>
      <c r="D98" s="104"/>
    </row>
    <row r="99" spans="3:4" ht="18.75" customHeight="1" x14ac:dyDescent="0.25">
      <c r="C99" s="6"/>
      <c r="D99" s="104"/>
    </row>
    <row r="100" spans="3:4" ht="18.75" customHeight="1" x14ac:dyDescent="0.25">
      <c r="C100" s="6"/>
      <c r="D100" s="104"/>
    </row>
    <row r="101" spans="3:4" ht="18.75" customHeight="1" x14ac:dyDescent="0.25">
      <c r="C101" s="6"/>
      <c r="D101" s="104"/>
    </row>
    <row r="102" spans="3:4" ht="18.75" customHeight="1" x14ac:dyDescent="0.25">
      <c r="C102" s="6"/>
      <c r="D102" s="104"/>
    </row>
    <row r="103" spans="3:4" ht="18.75" customHeight="1" x14ac:dyDescent="0.25">
      <c r="C103" s="6"/>
      <c r="D103" s="104"/>
    </row>
    <row r="104" spans="3:4" ht="18.75" customHeight="1" x14ac:dyDescent="0.25">
      <c r="C104" s="6"/>
      <c r="D104" s="104"/>
    </row>
    <row r="105" spans="3:4" ht="18.75" customHeight="1" x14ac:dyDescent="0.25">
      <c r="C105" s="6"/>
      <c r="D105" s="104"/>
    </row>
    <row r="106" spans="3:4" ht="18.75" customHeight="1" x14ac:dyDescent="0.25">
      <c r="C106" s="6"/>
      <c r="D106" s="104"/>
    </row>
    <row r="107" spans="3:4" ht="18.75" customHeight="1" x14ac:dyDescent="0.25">
      <c r="C107" s="6"/>
      <c r="D107" s="104"/>
    </row>
    <row r="108" spans="3:4" ht="18.75" customHeight="1" x14ac:dyDescent="0.25">
      <c r="C108" s="6"/>
      <c r="D108" s="104"/>
    </row>
    <row r="109" spans="3:4" ht="18.75" customHeight="1" x14ac:dyDescent="0.25">
      <c r="C109" s="6"/>
      <c r="D109" s="104"/>
    </row>
    <row r="110" spans="3:4" ht="18.75" customHeight="1" x14ac:dyDescent="0.25">
      <c r="C110" s="6"/>
      <c r="D110" s="104"/>
    </row>
    <row r="111" spans="3:4" ht="18.75" customHeight="1" x14ac:dyDescent="0.25">
      <c r="C111" s="6"/>
      <c r="D111" s="104"/>
    </row>
    <row r="112" spans="3:4" ht="18.75" customHeight="1" x14ac:dyDescent="0.25">
      <c r="C112" s="6"/>
      <c r="D112" s="104"/>
    </row>
    <row r="113" spans="3:4" ht="18.75" customHeight="1" x14ac:dyDescent="0.25">
      <c r="C113" s="6"/>
      <c r="D113" s="104"/>
    </row>
    <row r="114" spans="3:4" ht="18.75" customHeight="1" x14ac:dyDescent="0.25">
      <c r="C114" s="6"/>
      <c r="D114" s="104"/>
    </row>
    <row r="115" spans="3:4" ht="18.75" customHeight="1" x14ac:dyDescent="0.25">
      <c r="C115" s="6"/>
      <c r="D115" s="104"/>
    </row>
    <row r="116" spans="3:4" ht="18.75" customHeight="1" x14ac:dyDescent="0.25">
      <c r="C116" s="6"/>
      <c r="D116" s="104"/>
    </row>
    <row r="117" spans="3:4" ht="18.75" customHeight="1" x14ac:dyDescent="0.25">
      <c r="C117" s="6"/>
      <c r="D117" s="104"/>
    </row>
    <row r="118" spans="3:4" ht="18.75" customHeight="1" x14ac:dyDescent="0.25">
      <c r="C118" s="6"/>
      <c r="D118" s="104"/>
    </row>
    <row r="119" spans="3:4" ht="18.75" customHeight="1" x14ac:dyDescent="0.25">
      <c r="C119" s="6"/>
      <c r="D119" s="104"/>
    </row>
    <row r="120" spans="3:4" ht="18.75" customHeight="1" x14ac:dyDescent="0.25">
      <c r="C120" s="6"/>
      <c r="D120" s="104"/>
    </row>
    <row r="121" spans="3:4" ht="18.75" customHeight="1" x14ac:dyDescent="0.25">
      <c r="C121" s="6"/>
      <c r="D121" s="104"/>
    </row>
    <row r="122" spans="3:4" ht="18.75" customHeight="1" x14ac:dyDescent="0.25">
      <c r="C122" s="6"/>
      <c r="D122" s="104"/>
    </row>
    <row r="123" spans="3:4" ht="18.75" customHeight="1" x14ac:dyDescent="0.25">
      <c r="C123" s="6"/>
      <c r="D123" s="104"/>
    </row>
    <row r="124" spans="3:4" ht="18.75" customHeight="1" x14ac:dyDescent="0.25">
      <c r="C124" s="6"/>
      <c r="D124" s="104"/>
    </row>
    <row r="125" spans="3:4" ht="18.75" customHeight="1" x14ac:dyDescent="0.25">
      <c r="C125" s="6"/>
      <c r="D125" s="104"/>
    </row>
    <row r="126" spans="3:4" ht="18.75" customHeight="1" x14ac:dyDescent="0.25">
      <c r="C126" s="6"/>
      <c r="D126" s="104"/>
    </row>
    <row r="127" spans="3:4" ht="18.75" customHeight="1" x14ac:dyDescent="0.25">
      <c r="C127" s="6"/>
      <c r="D127" s="104"/>
    </row>
    <row r="128" spans="3:4" ht="18.75" customHeight="1" x14ac:dyDescent="0.25">
      <c r="C128" s="6"/>
      <c r="D128" s="104"/>
    </row>
    <row r="129" spans="3:4" ht="18.75" customHeight="1" x14ac:dyDescent="0.25">
      <c r="C129" s="6"/>
      <c r="D129" s="104"/>
    </row>
    <row r="130" spans="3:4" ht="18.75" customHeight="1" x14ac:dyDescent="0.25">
      <c r="C130" s="6"/>
      <c r="D130" s="104"/>
    </row>
    <row r="131" spans="3:4" ht="18.75" customHeight="1" x14ac:dyDescent="0.25">
      <c r="C131" s="6"/>
      <c r="D131" s="104"/>
    </row>
    <row r="132" spans="3:4" ht="18.75" customHeight="1" x14ac:dyDescent="0.25">
      <c r="C132" s="6"/>
      <c r="D132" s="104"/>
    </row>
    <row r="133" spans="3:4" ht="18.75" customHeight="1" x14ac:dyDescent="0.25">
      <c r="C133" s="6"/>
      <c r="D133" s="104"/>
    </row>
    <row r="134" spans="3:4" ht="18.75" customHeight="1" x14ac:dyDescent="0.25">
      <c r="C134" s="6"/>
      <c r="D134" s="104"/>
    </row>
    <row r="135" spans="3:4" ht="18.75" customHeight="1" x14ac:dyDescent="0.25">
      <c r="C135" s="6"/>
      <c r="D135" s="104"/>
    </row>
    <row r="136" spans="3:4" ht="18.75" customHeight="1" x14ac:dyDescent="0.25">
      <c r="C136" s="6"/>
      <c r="D136" s="104"/>
    </row>
    <row r="137" spans="3:4" ht="18.75" customHeight="1" x14ac:dyDescent="0.25">
      <c r="C137" s="6"/>
      <c r="D137" s="104"/>
    </row>
    <row r="138" spans="3:4" ht="18.75" customHeight="1" x14ac:dyDescent="0.25">
      <c r="C138" s="6"/>
      <c r="D138" s="104"/>
    </row>
    <row r="139" spans="3:4" ht="18.75" customHeight="1" x14ac:dyDescent="0.25">
      <c r="C139" s="6"/>
      <c r="D139" s="104"/>
    </row>
    <row r="140" spans="3:4" ht="18.75" customHeight="1" x14ac:dyDescent="0.25">
      <c r="C140" s="6"/>
      <c r="D140" s="104"/>
    </row>
    <row r="141" spans="3:4" ht="18.75" customHeight="1" x14ac:dyDescent="0.25">
      <c r="C141" s="6"/>
      <c r="D141" s="104"/>
    </row>
    <row r="142" spans="3:4" ht="18.75" customHeight="1" x14ac:dyDescent="0.25">
      <c r="C142" s="6"/>
      <c r="D142" s="104"/>
    </row>
    <row r="143" spans="3:4" ht="18.75" customHeight="1" x14ac:dyDescent="0.25">
      <c r="C143" s="6"/>
      <c r="D143" s="104"/>
    </row>
    <row r="144" spans="3:4" ht="18.75" customHeight="1" x14ac:dyDescent="0.25">
      <c r="C144" s="6"/>
      <c r="D144" s="104"/>
    </row>
    <row r="145" spans="3:4" ht="18.75" customHeight="1" x14ac:dyDescent="0.25">
      <c r="C145" s="6"/>
      <c r="D145" s="104"/>
    </row>
    <row r="146" spans="3:4" ht="18.75" customHeight="1" x14ac:dyDescent="0.25">
      <c r="C146" s="6"/>
      <c r="D146" s="104"/>
    </row>
    <row r="147" spans="3:4" ht="18.75" customHeight="1" x14ac:dyDescent="0.25">
      <c r="C147" s="6"/>
      <c r="D147" s="104"/>
    </row>
    <row r="148" spans="3:4" ht="18.75" customHeight="1" x14ac:dyDescent="0.25">
      <c r="C148" s="6"/>
      <c r="D148" s="104"/>
    </row>
    <row r="149" spans="3:4" ht="18.75" customHeight="1" x14ac:dyDescent="0.25">
      <c r="C149" s="6"/>
      <c r="D149" s="104"/>
    </row>
    <row r="150" spans="3:4" ht="18.75" customHeight="1" x14ac:dyDescent="0.25">
      <c r="C150" s="6"/>
      <c r="D150" s="104"/>
    </row>
    <row r="151" spans="3:4" ht="18.75" customHeight="1" x14ac:dyDescent="0.25">
      <c r="C151" s="6"/>
      <c r="D151" s="104"/>
    </row>
    <row r="152" spans="3:4" ht="18.75" customHeight="1" x14ac:dyDescent="0.25">
      <c r="C152" s="6"/>
      <c r="D152" s="104"/>
    </row>
    <row r="153" spans="3:4" ht="18.75" customHeight="1" x14ac:dyDescent="0.25">
      <c r="C153" s="6"/>
      <c r="D153" s="104"/>
    </row>
    <row r="154" spans="3:4" ht="18.75" customHeight="1" x14ac:dyDescent="0.25">
      <c r="C154" s="6"/>
      <c r="D154" s="104"/>
    </row>
    <row r="155" spans="3:4" ht="18.75" customHeight="1" x14ac:dyDescent="0.25">
      <c r="C155" s="6"/>
      <c r="D155" s="104"/>
    </row>
    <row r="156" spans="3:4" ht="18.75" customHeight="1" x14ac:dyDescent="0.25">
      <c r="C156" s="6"/>
      <c r="D156" s="104"/>
    </row>
    <row r="157" spans="3:4" ht="18.75" customHeight="1" x14ac:dyDescent="0.25">
      <c r="C157" s="6"/>
      <c r="D157" s="104"/>
    </row>
    <row r="158" spans="3:4" ht="18.75" customHeight="1" x14ac:dyDescent="0.25">
      <c r="C158" s="6"/>
      <c r="D158" s="104"/>
    </row>
    <row r="159" spans="3:4" ht="18.75" customHeight="1" x14ac:dyDescent="0.25">
      <c r="C159" s="6"/>
      <c r="D159" s="104"/>
    </row>
    <row r="160" spans="3:4" ht="18.75" customHeight="1" x14ac:dyDescent="0.25">
      <c r="C160" s="6"/>
      <c r="D160" s="104"/>
    </row>
    <row r="161" spans="3:4" ht="18.75" customHeight="1" x14ac:dyDescent="0.25">
      <c r="C161" s="6"/>
      <c r="D161" s="104"/>
    </row>
    <row r="162" spans="3:4" ht="18.75" customHeight="1" x14ac:dyDescent="0.25">
      <c r="C162" s="6"/>
      <c r="D162" s="104"/>
    </row>
    <row r="163" spans="3:4" ht="18.75" customHeight="1" x14ac:dyDescent="0.25">
      <c r="C163" s="6"/>
      <c r="D163" s="104"/>
    </row>
    <row r="164" spans="3:4" ht="18.75" customHeight="1" x14ac:dyDescent="0.25">
      <c r="C164" s="6"/>
      <c r="D164" s="104"/>
    </row>
    <row r="165" spans="3:4" ht="18.75" customHeight="1" x14ac:dyDescent="0.25">
      <c r="C165" s="6"/>
      <c r="D165" s="104"/>
    </row>
    <row r="166" spans="3:4" ht="18.75" customHeight="1" x14ac:dyDescent="0.25">
      <c r="C166" s="6"/>
      <c r="D166" s="104"/>
    </row>
    <row r="167" spans="3:4" ht="18.75" customHeight="1" x14ac:dyDescent="0.25">
      <c r="C167" s="6"/>
      <c r="D167" s="104"/>
    </row>
    <row r="168" spans="3:4" ht="18.75" customHeight="1" x14ac:dyDescent="0.25">
      <c r="C168" s="6"/>
      <c r="D168" s="104"/>
    </row>
    <row r="169" spans="3:4" ht="18.75" customHeight="1" x14ac:dyDescent="0.25">
      <c r="C169" s="6"/>
      <c r="D169" s="104"/>
    </row>
    <row r="170" spans="3:4" ht="18.75" customHeight="1" x14ac:dyDescent="0.25">
      <c r="C170" s="6"/>
      <c r="D170" s="104"/>
    </row>
    <row r="171" spans="3:4" ht="18.75" customHeight="1" x14ac:dyDescent="0.25">
      <c r="C171" s="6"/>
      <c r="D171" s="104"/>
    </row>
    <row r="172" spans="3:4" ht="18.75" customHeight="1" x14ac:dyDescent="0.25">
      <c r="C172" s="6"/>
      <c r="D172" s="104"/>
    </row>
    <row r="173" spans="3:4" ht="18.75" customHeight="1" x14ac:dyDescent="0.25">
      <c r="C173" s="6"/>
      <c r="D173" s="104"/>
    </row>
    <row r="174" spans="3:4" ht="18.75" customHeight="1" x14ac:dyDescent="0.25">
      <c r="C174" s="6"/>
      <c r="D174" s="104"/>
    </row>
    <row r="175" spans="3:4" ht="18.75" customHeight="1" x14ac:dyDescent="0.25">
      <c r="C175" s="6"/>
      <c r="D175" s="104"/>
    </row>
    <row r="176" spans="3:4" ht="18.75" customHeight="1" x14ac:dyDescent="0.25">
      <c r="C176" s="6"/>
      <c r="D176" s="104"/>
    </row>
    <row r="177" spans="3:4" ht="18.75" customHeight="1" x14ac:dyDescent="0.25">
      <c r="C177" s="6"/>
      <c r="D177" s="104"/>
    </row>
    <row r="178" spans="3:4" ht="18.75" customHeight="1" x14ac:dyDescent="0.25">
      <c r="C178" s="6"/>
      <c r="D178" s="104"/>
    </row>
    <row r="179" spans="3:4" ht="18.75" customHeight="1" x14ac:dyDescent="0.25">
      <c r="C179" s="6"/>
      <c r="D179" s="104"/>
    </row>
    <row r="180" spans="3:4" ht="18.75" customHeight="1" x14ac:dyDescent="0.25">
      <c r="C180" s="6"/>
      <c r="D180" s="104"/>
    </row>
    <row r="181" spans="3:4" ht="18.75" customHeight="1" x14ac:dyDescent="0.25">
      <c r="C181" s="6"/>
      <c r="D181" s="104"/>
    </row>
    <row r="182" spans="3:4" ht="18.75" customHeight="1" x14ac:dyDescent="0.25">
      <c r="C182" s="6"/>
      <c r="D182" s="104"/>
    </row>
    <row r="183" spans="3:4" ht="18.75" customHeight="1" x14ac:dyDescent="0.25">
      <c r="C183" s="6"/>
      <c r="D183" s="104"/>
    </row>
    <row r="184" spans="3:4" ht="18.75" customHeight="1" x14ac:dyDescent="0.25">
      <c r="C184" s="6"/>
      <c r="D184" s="104"/>
    </row>
    <row r="185" spans="3:4" ht="18.75" customHeight="1" x14ac:dyDescent="0.25">
      <c r="C185" s="6"/>
      <c r="D185" s="104"/>
    </row>
    <row r="186" spans="3:4" ht="18.75" customHeight="1" x14ac:dyDescent="0.25">
      <c r="C186" s="6"/>
      <c r="D186" s="104"/>
    </row>
    <row r="187" spans="3:4" ht="18.75" customHeight="1" x14ac:dyDescent="0.25">
      <c r="C187" s="6"/>
      <c r="D187" s="104"/>
    </row>
    <row r="188" spans="3:4" ht="18.75" customHeight="1" x14ac:dyDescent="0.25">
      <c r="C188" s="6"/>
      <c r="D188" s="104"/>
    </row>
    <row r="189" spans="3:4" ht="18.75" customHeight="1" x14ac:dyDescent="0.25">
      <c r="C189" s="6"/>
      <c r="D189" s="104"/>
    </row>
    <row r="190" spans="3:4" ht="18.75" customHeight="1" x14ac:dyDescent="0.25">
      <c r="C190" s="6"/>
      <c r="D190" s="104"/>
    </row>
    <row r="191" spans="3:4" ht="18.75" customHeight="1" x14ac:dyDescent="0.25">
      <c r="C191" s="6"/>
      <c r="D191" s="104"/>
    </row>
    <row r="192" spans="3:4" ht="18.75" customHeight="1" x14ac:dyDescent="0.25">
      <c r="C192" s="6"/>
      <c r="D192" s="104"/>
    </row>
    <row r="193" spans="3:4" ht="18.75" customHeight="1" x14ac:dyDescent="0.25">
      <c r="C193" s="6"/>
      <c r="D193" s="104"/>
    </row>
    <row r="194" spans="3:4" ht="18.75" customHeight="1" x14ac:dyDescent="0.25">
      <c r="C194" s="6"/>
      <c r="D194" s="104"/>
    </row>
    <row r="195" spans="3:4" ht="18.75" customHeight="1" x14ac:dyDescent="0.25">
      <c r="C195" s="6"/>
      <c r="D195" s="104"/>
    </row>
    <row r="196" spans="3:4" ht="18.75" customHeight="1" x14ac:dyDescent="0.25">
      <c r="C196" s="6"/>
      <c r="D196" s="104"/>
    </row>
    <row r="197" spans="3:4" ht="18.75" customHeight="1" x14ac:dyDescent="0.25">
      <c r="C197" s="6"/>
      <c r="D197" s="104"/>
    </row>
    <row r="198" spans="3:4" ht="18.75" customHeight="1" x14ac:dyDescent="0.25">
      <c r="C198" s="6"/>
      <c r="D198" s="104"/>
    </row>
    <row r="199" spans="3:4" ht="18.75" customHeight="1" x14ac:dyDescent="0.25">
      <c r="C199" s="6"/>
      <c r="D199" s="104"/>
    </row>
    <row r="200" spans="3:4" ht="18.75" customHeight="1" x14ac:dyDescent="0.25">
      <c r="C200" s="6"/>
      <c r="D200" s="104"/>
    </row>
    <row r="201" spans="3:4" ht="18.75" customHeight="1" x14ac:dyDescent="0.25">
      <c r="C201" s="6"/>
      <c r="D201" s="104"/>
    </row>
    <row r="202" spans="3:4" ht="18.75" customHeight="1" x14ac:dyDescent="0.25">
      <c r="C202" s="6"/>
      <c r="D202" s="104"/>
    </row>
    <row r="203" spans="3:4" ht="18.75" customHeight="1" x14ac:dyDescent="0.25">
      <c r="C203" s="6"/>
      <c r="D203" s="104"/>
    </row>
    <row r="204" spans="3:4" ht="18.75" customHeight="1" x14ac:dyDescent="0.25">
      <c r="C204" s="6"/>
      <c r="D204" s="104"/>
    </row>
    <row r="205" spans="3:4" ht="18.75" customHeight="1" x14ac:dyDescent="0.25">
      <c r="C205" s="6"/>
      <c r="D205" s="104"/>
    </row>
    <row r="206" spans="3:4" ht="18.75" customHeight="1" x14ac:dyDescent="0.25">
      <c r="C206" s="6"/>
      <c r="D206" s="104"/>
    </row>
    <row r="207" spans="3:4" ht="18.75" customHeight="1" x14ac:dyDescent="0.25">
      <c r="C207" s="6"/>
      <c r="D207" s="104"/>
    </row>
    <row r="208" spans="3:4" ht="18.75" customHeight="1" x14ac:dyDescent="0.25">
      <c r="C208" s="6"/>
      <c r="D208" s="104"/>
    </row>
    <row r="209" spans="3:4" ht="18.75" customHeight="1" x14ac:dyDescent="0.25">
      <c r="C209" s="6"/>
      <c r="D209" s="104"/>
    </row>
    <row r="210" spans="3:4" ht="18.75" customHeight="1" x14ac:dyDescent="0.25">
      <c r="C210" s="6"/>
      <c r="D210" s="104"/>
    </row>
    <row r="211" spans="3:4" ht="18.75" customHeight="1" x14ac:dyDescent="0.25">
      <c r="C211" s="6"/>
      <c r="D211" s="104"/>
    </row>
    <row r="212" spans="3:4" ht="18.75" customHeight="1" x14ac:dyDescent="0.25">
      <c r="C212" s="6"/>
      <c r="D212" s="104"/>
    </row>
    <row r="213" spans="3:4" ht="18.75" customHeight="1" x14ac:dyDescent="0.25">
      <c r="C213" s="6"/>
      <c r="D213" s="104"/>
    </row>
    <row r="214" spans="3:4" ht="18.75" customHeight="1" x14ac:dyDescent="0.25">
      <c r="C214" s="6"/>
      <c r="D214" s="104"/>
    </row>
    <row r="215" spans="3:4" ht="18.75" customHeight="1" x14ac:dyDescent="0.25">
      <c r="C215" s="6"/>
      <c r="D215" s="104"/>
    </row>
    <row r="216" spans="3:4" ht="18.75" customHeight="1" x14ac:dyDescent="0.25">
      <c r="C216" s="6"/>
      <c r="D216" s="104"/>
    </row>
    <row r="217" spans="3:4" ht="18.75" customHeight="1" x14ac:dyDescent="0.25">
      <c r="C217" s="6"/>
      <c r="D217" s="104"/>
    </row>
    <row r="218" spans="3:4" ht="18.75" customHeight="1" x14ac:dyDescent="0.25">
      <c r="C218" s="6"/>
      <c r="D218" s="104"/>
    </row>
    <row r="219" spans="3:4" ht="18.75" customHeight="1" x14ac:dyDescent="0.25">
      <c r="C219" s="6"/>
      <c r="D219" s="104"/>
    </row>
    <row r="220" spans="3:4" ht="18.75" customHeight="1" x14ac:dyDescent="0.25">
      <c r="C220" s="6"/>
      <c r="D220" s="104"/>
    </row>
    <row r="221" spans="3:4" ht="18.75" customHeight="1" x14ac:dyDescent="0.25">
      <c r="C221" s="6"/>
      <c r="D221" s="104"/>
    </row>
    <row r="222" spans="3:4" ht="18.75" customHeight="1" x14ac:dyDescent="0.25">
      <c r="C222" s="6"/>
      <c r="D222" s="104"/>
    </row>
    <row r="223" spans="3:4" ht="18.75" customHeight="1" x14ac:dyDescent="0.25">
      <c r="C223" s="6"/>
      <c r="D223" s="104"/>
    </row>
    <row r="224" spans="3:4" ht="18.75" customHeight="1" x14ac:dyDescent="0.25">
      <c r="C224" s="6"/>
      <c r="D224" s="104"/>
    </row>
    <row r="225" spans="3:4" ht="18.75" customHeight="1" x14ac:dyDescent="0.25">
      <c r="C225" s="6"/>
      <c r="D225" s="104"/>
    </row>
    <row r="226" spans="3:4" ht="18.75" customHeight="1" x14ac:dyDescent="0.25">
      <c r="C226" s="6"/>
      <c r="D226" s="104"/>
    </row>
    <row r="227" spans="3:4" ht="18.75" customHeight="1" x14ac:dyDescent="0.25">
      <c r="C227" s="6"/>
      <c r="D227" s="104"/>
    </row>
    <row r="228" spans="3:4" ht="18.75" customHeight="1" x14ac:dyDescent="0.25">
      <c r="C228" s="6"/>
      <c r="D228" s="104"/>
    </row>
    <row r="229" spans="3:4" ht="18.75" customHeight="1" x14ac:dyDescent="0.25">
      <c r="C229" s="6"/>
      <c r="D229" s="104"/>
    </row>
    <row r="230" spans="3:4" ht="18.75" customHeight="1" x14ac:dyDescent="0.25">
      <c r="C230" s="6"/>
      <c r="D230" s="104"/>
    </row>
    <row r="231" spans="3:4" ht="18.75" customHeight="1" x14ac:dyDescent="0.25">
      <c r="C231" s="6"/>
      <c r="D231" s="104"/>
    </row>
    <row r="232" spans="3:4" ht="18.75" customHeight="1" x14ac:dyDescent="0.25">
      <c r="C232" s="6"/>
      <c r="D232" s="104"/>
    </row>
    <row r="233" spans="3:4" ht="18.75" customHeight="1" x14ac:dyDescent="0.25">
      <c r="C233" s="6"/>
      <c r="D233" s="104"/>
    </row>
    <row r="234" spans="3:4" ht="18.75" customHeight="1" x14ac:dyDescent="0.25">
      <c r="C234" s="6"/>
      <c r="D234" s="104"/>
    </row>
    <row r="235" spans="3:4" ht="18.75" customHeight="1" x14ac:dyDescent="0.25">
      <c r="C235" s="6"/>
      <c r="D235" s="104"/>
    </row>
    <row r="236" spans="3:4" ht="18.75" customHeight="1" x14ac:dyDescent="0.25">
      <c r="C236" s="6"/>
      <c r="D236" s="104"/>
    </row>
    <row r="237" spans="3:4" ht="18.75" customHeight="1" x14ac:dyDescent="0.25">
      <c r="C237" s="6"/>
      <c r="D237" s="104"/>
    </row>
    <row r="238" spans="3:4" ht="18.75" customHeight="1" x14ac:dyDescent="0.25">
      <c r="C238" s="6"/>
      <c r="D238" s="104"/>
    </row>
    <row r="239" spans="3:4" ht="18.75" customHeight="1" x14ac:dyDescent="0.25">
      <c r="C239" s="6"/>
      <c r="D239" s="104"/>
    </row>
    <row r="240" spans="3:4" ht="18.75" customHeight="1" x14ac:dyDescent="0.25">
      <c r="C240" s="6"/>
      <c r="D240" s="104"/>
    </row>
    <row r="241" spans="3:4" ht="18.75" customHeight="1" x14ac:dyDescent="0.25">
      <c r="C241" s="6"/>
      <c r="D241" s="104"/>
    </row>
    <row r="242" spans="3:4" ht="18.75" customHeight="1" x14ac:dyDescent="0.25">
      <c r="C242" s="6"/>
      <c r="D242" s="104"/>
    </row>
    <row r="243" spans="3:4" ht="18.75" customHeight="1" x14ac:dyDescent="0.25">
      <c r="C243" s="6"/>
      <c r="D243" s="104"/>
    </row>
    <row r="244" spans="3:4" ht="18.75" customHeight="1" x14ac:dyDescent="0.25">
      <c r="C244" s="6"/>
      <c r="D244" s="104"/>
    </row>
    <row r="245" spans="3:4" ht="18.75" customHeight="1" x14ac:dyDescent="0.25">
      <c r="C245" s="6"/>
      <c r="D245" s="104"/>
    </row>
    <row r="246" spans="3:4" ht="18.75" customHeight="1" x14ac:dyDescent="0.25">
      <c r="C246" s="6"/>
      <c r="D246" s="104"/>
    </row>
    <row r="247" spans="3:4" ht="18.75" customHeight="1" x14ac:dyDescent="0.25">
      <c r="C247" s="6"/>
      <c r="D247" s="104"/>
    </row>
    <row r="248" spans="3:4" ht="18.75" customHeight="1" x14ac:dyDescent="0.25">
      <c r="C248" s="6"/>
      <c r="D248" s="104"/>
    </row>
    <row r="249" spans="3:4" ht="18.75" customHeight="1" x14ac:dyDescent="0.25">
      <c r="C249" s="6"/>
      <c r="D249" s="104"/>
    </row>
    <row r="250" spans="3:4" ht="18.75" customHeight="1" x14ac:dyDescent="0.25">
      <c r="C250" s="6"/>
      <c r="D250" s="104"/>
    </row>
    <row r="251" spans="3:4" ht="18.75" customHeight="1" x14ac:dyDescent="0.25">
      <c r="C251" s="6"/>
      <c r="D251" s="104"/>
    </row>
    <row r="252" spans="3:4" ht="18.75" customHeight="1" x14ac:dyDescent="0.25">
      <c r="C252" s="6"/>
      <c r="D252" s="104"/>
    </row>
    <row r="253" spans="3:4" ht="18.75" customHeight="1" x14ac:dyDescent="0.25">
      <c r="C253" s="6"/>
      <c r="D253" s="104"/>
    </row>
    <row r="254" spans="3:4" ht="18.75" customHeight="1" x14ac:dyDescent="0.25">
      <c r="C254" s="6"/>
      <c r="D254" s="104"/>
    </row>
    <row r="255" spans="3:4" ht="18.75" customHeight="1" x14ac:dyDescent="0.25">
      <c r="C255" s="6"/>
      <c r="D255" s="104"/>
    </row>
    <row r="256" spans="3:4" ht="18.75" customHeight="1" x14ac:dyDescent="0.25">
      <c r="C256" s="6"/>
      <c r="D256" s="104"/>
    </row>
    <row r="257" spans="3:4" ht="18.75" customHeight="1" x14ac:dyDescent="0.25">
      <c r="C257" s="6"/>
      <c r="D257" s="104"/>
    </row>
    <row r="258" spans="3:4" ht="18.75" customHeight="1" x14ac:dyDescent="0.25">
      <c r="C258" s="6"/>
      <c r="D258" s="104"/>
    </row>
    <row r="259" spans="3:4" ht="18.75" customHeight="1" x14ac:dyDescent="0.25">
      <c r="C259" s="6"/>
      <c r="D259" s="104"/>
    </row>
    <row r="260" spans="3:4" ht="18.75" customHeight="1" x14ac:dyDescent="0.25">
      <c r="C260" s="6"/>
      <c r="D260" s="104"/>
    </row>
    <row r="261" spans="3:4" ht="18.75" customHeight="1" x14ac:dyDescent="0.25">
      <c r="C261" s="6"/>
      <c r="D261" s="104"/>
    </row>
    <row r="262" spans="3:4" ht="18.75" customHeight="1" x14ac:dyDescent="0.25">
      <c r="C262" s="6"/>
      <c r="D262" s="104"/>
    </row>
    <row r="263" spans="3:4" ht="18.75" customHeight="1" x14ac:dyDescent="0.25">
      <c r="C263" s="6"/>
      <c r="D263" s="104"/>
    </row>
    <row r="264" spans="3:4" ht="18.75" customHeight="1" x14ac:dyDescent="0.25">
      <c r="C264" s="6"/>
      <c r="D264" s="104"/>
    </row>
    <row r="265" spans="3:4" ht="18.75" customHeight="1" x14ac:dyDescent="0.25">
      <c r="C265" s="6"/>
      <c r="D265" s="104"/>
    </row>
    <row r="266" spans="3:4" ht="18.75" customHeight="1" x14ac:dyDescent="0.25">
      <c r="C266" s="6"/>
      <c r="D266" s="104"/>
    </row>
    <row r="267" spans="3:4" ht="18.75" customHeight="1" x14ac:dyDescent="0.25">
      <c r="C267" s="6"/>
      <c r="D267" s="104"/>
    </row>
    <row r="268" spans="3:4" ht="18.75" customHeight="1" x14ac:dyDescent="0.25">
      <c r="C268" s="6"/>
      <c r="D268" s="104"/>
    </row>
    <row r="269" spans="3:4" ht="18.75" customHeight="1" x14ac:dyDescent="0.25">
      <c r="C269" s="6"/>
      <c r="D269" s="104"/>
    </row>
    <row r="270" spans="3:4" ht="18.75" customHeight="1" x14ac:dyDescent="0.25">
      <c r="C270" s="6"/>
      <c r="D270" s="104"/>
    </row>
    <row r="271" spans="3:4" ht="18.75" customHeight="1" x14ac:dyDescent="0.25">
      <c r="C271" s="6"/>
      <c r="D271" s="104"/>
    </row>
    <row r="272" spans="3:4" ht="18.75" customHeight="1" x14ac:dyDescent="0.25">
      <c r="C272" s="6"/>
      <c r="D272" s="104"/>
    </row>
    <row r="273" spans="3:4" ht="18.75" customHeight="1" x14ac:dyDescent="0.25">
      <c r="C273" s="6"/>
      <c r="D273" s="104"/>
    </row>
    <row r="274" spans="3:4" ht="18.75" customHeight="1" x14ac:dyDescent="0.25">
      <c r="C274" s="6"/>
      <c r="D274" s="104"/>
    </row>
    <row r="275" spans="3:4" ht="18.75" customHeight="1" x14ac:dyDescent="0.25">
      <c r="C275" s="6"/>
      <c r="D275" s="104"/>
    </row>
    <row r="276" spans="3:4" ht="18.75" customHeight="1" x14ac:dyDescent="0.25">
      <c r="C276" s="6"/>
      <c r="D276" s="104"/>
    </row>
    <row r="277" spans="3:4" ht="18.75" customHeight="1" x14ac:dyDescent="0.25">
      <c r="C277" s="6"/>
      <c r="D277" s="104"/>
    </row>
    <row r="278" spans="3:4" ht="18.75" customHeight="1" x14ac:dyDescent="0.25">
      <c r="C278" s="6"/>
      <c r="D278" s="104"/>
    </row>
    <row r="279" spans="3:4" ht="18.75" customHeight="1" x14ac:dyDescent="0.25">
      <c r="C279" s="6"/>
      <c r="D279" s="104"/>
    </row>
    <row r="280" spans="3:4" ht="18.75" customHeight="1" x14ac:dyDescent="0.25">
      <c r="C280" s="6"/>
      <c r="D280" s="104"/>
    </row>
    <row r="281" spans="3:4" ht="18.75" customHeight="1" x14ac:dyDescent="0.25">
      <c r="C281" s="6"/>
      <c r="D281" s="104"/>
    </row>
    <row r="282" spans="3:4" ht="18.75" customHeight="1" x14ac:dyDescent="0.25">
      <c r="C282" s="6"/>
      <c r="D282" s="104"/>
    </row>
    <row r="283" spans="3:4" ht="18.75" customHeight="1" x14ac:dyDescent="0.25">
      <c r="C283" s="6"/>
      <c r="D283" s="104"/>
    </row>
    <row r="284" spans="3:4" ht="18.75" customHeight="1" x14ac:dyDescent="0.25">
      <c r="C284" s="6"/>
      <c r="D284" s="104"/>
    </row>
    <row r="285" spans="3:4" ht="18.75" customHeight="1" x14ac:dyDescent="0.25">
      <c r="C285" s="6"/>
      <c r="D285" s="104"/>
    </row>
    <row r="286" spans="3:4" ht="18.75" customHeight="1" x14ac:dyDescent="0.25">
      <c r="C286" s="6"/>
      <c r="D286" s="104"/>
    </row>
    <row r="287" spans="3:4" ht="18.75" customHeight="1" x14ac:dyDescent="0.25">
      <c r="C287" s="6"/>
      <c r="D287" s="104"/>
    </row>
    <row r="288" spans="3:4" ht="18.75" customHeight="1" x14ac:dyDescent="0.25">
      <c r="C288" s="6"/>
      <c r="D288" s="104"/>
    </row>
    <row r="289" spans="3:4" ht="18.75" customHeight="1" x14ac:dyDescent="0.25">
      <c r="C289" s="6"/>
      <c r="D289" s="104"/>
    </row>
    <row r="290" spans="3:4" ht="18.75" customHeight="1" x14ac:dyDescent="0.25">
      <c r="C290" s="6"/>
      <c r="D290" s="104"/>
    </row>
    <row r="291" spans="3:4" ht="18.75" customHeight="1" x14ac:dyDescent="0.25">
      <c r="C291" s="6"/>
      <c r="D291" s="104"/>
    </row>
    <row r="292" spans="3:4" ht="18.75" customHeight="1" x14ac:dyDescent="0.25">
      <c r="C292" s="6"/>
      <c r="D292" s="104"/>
    </row>
    <row r="293" spans="3:4" ht="18.75" customHeight="1" x14ac:dyDescent="0.25">
      <c r="C293" s="6"/>
      <c r="D293" s="104"/>
    </row>
    <row r="294" spans="3:4" ht="18.75" customHeight="1" x14ac:dyDescent="0.25">
      <c r="C294" s="6"/>
      <c r="D294" s="104"/>
    </row>
    <row r="295" spans="3:4" ht="18.75" customHeight="1" x14ac:dyDescent="0.25">
      <c r="C295" s="6"/>
      <c r="D295" s="104"/>
    </row>
    <row r="296" spans="3:4" ht="18.75" customHeight="1" x14ac:dyDescent="0.25">
      <c r="C296" s="6"/>
      <c r="D296" s="104"/>
    </row>
    <row r="297" spans="3:4" ht="18.75" customHeight="1" x14ac:dyDescent="0.25">
      <c r="C297" s="6"/>
      <c r="D297" s="104"/>
    </row>
    <row r="298" spans="3:4" ht="18.75" customHeight="1" x14ac:dyDescent="0.25">
      <c r="C298" s="6"/>
      <c r="D298" s="104"/>
    </row>
    <row r="299" spans="3:4" ht="18.75" customHeight="1" x14ac:dyDescent="0.25">
      <c r="C299" s="6"/>
      <c r="D299" s="104"/>
    </row>
    <row r="300" spans="3:4" ht="18.75" customHeight="1" x14ac:dyDescent="0.25">
      <c r="C300" s="6"/>
      <c r="D300" s="104"/>
    </row>
    <row r="301" spans="3:4" ht="18.75" customHeight="1" x14ac:dyDescent="0.25">
      <c r="C301" s="6"/>
      <c r="D301" s="104"/>
    </row>
    <row r="302" spans="3:4" ht="18.75" customHeight="1" x14ac:dyDescent="0.25">
      <c r="C302" s="6"/>
      <c r="D302" s="104"/>
    </row>
    <row r="303" spans="3:4" ht="18.75" customHeight="1" x14ac:dyDescent="0.25">
      <c r="C303" s="6"/>
      <c r="D303" s="104"/>
    </row>
    <row r="304" spans="3:4" ht="18.75" customHeight="1" x14ac:dyDescent="0.25">
      <c r="C304" s="6"/>
      <c r="D304" s="104"/>
    </row>
    <row r="305" spans="3:4" ht="18.75" customHeight="1" x14ac:dyDescent="0.25">
      <c r="C305" s="6"/>
      <c r="D305" s="104"/>
    </row>
    <row r="306" spans="3:4" ht="18.75" customHeight="1" x14ac:dyDescent="0.25">
      <c r="C306" s="6"/>
      <c r="D306" s="104"/>
    </row>
    <row r="307" spans="3:4" ht="18.75" customHeight="1" x14ac:dyDescent="0.25">
      <c r="C307" s="6"/>
      <c r="D307" s="104"/>
    </row>
    <row r="308" spans="3:4" ht="18.75" customHeight="1" x14ac:dyDescent="0.25">
      <c r="C308" s="6"/>
      <c r="D308" s="104"/>
    </row>
    <row r="309" spans="3:4" ht="18.75" customHeight="1" x14ac:dyDescent="0.25">
      <c r="C309" s="6"/>
      <c r="D309" s="104"/>
    </row>
    <row r="310" spans="3:4" ht="18.75" customHeight="1" x14ac:dyDescent="0.25">
      <c r="C310" s="6"/>
      <c r="D310" s="104"/>
    </row>
    <row r="311" spans="3:4" ht="18.75" customHeight="1" x14ac:dyDescent="0.25">
      <c r="C311" s="6"/>
      <c r="D311" s="104"/>
    </row>
    <row r="312" spans="3:4" ht="18.75" customHeight="1" x14ac:dyDescent="0.25">
      <c r="C312" s="6"/>
      <c r="D312" s="104"/>
    </row>
    <row r="313" spans="3:4" ht="18.75" customHeight="1" x14ac:dyDescent="0.25">
      <c r="C313" s="6"/>
      <c r="D313" s="104"/>
    </row>
    <row r="314" spans="3:4" ht="18.75" customHeight="1" x14ac:dyDescent="0.25">
      <c r="C314" s="6"/>
      <c r="D314" s="104"/>
    </row>
    <row r="315" spans="3:4" ht="18.75" customHeight="1" x14ac:dyDescent="0.25">
      <c r="C315" s="6"/>
      <c r="D315" s="104"/>
    </row>
    <row r="316" spans="3:4" ht="18.75" customHeight="1" x14ac:dyDescent="0.25">
      <c r="C316" s="6"/>
      <c r="D316" s="104"/>
    </row>
    <row r="317" spans="3:4" ht="18.75" customHeight="1" x14ac:dyDescent="0.25">
      <c r="C317" s="6"/>
      <c r="D317" s="104"/>
    </row>
    <row r="318" spans="3:4" ht="18.75" customHeight="1" x14ac:dyDescent="0.25">
      <c r="C318" s="6"/>
      <c r="D318" s="104"/>
    </row>
    <row r="319" spans="3:4" ht="18.75" customHeight="1" x14ac:dyDescent="0.25">
      <c r="C319" s="6"/>
      <c r="D319" s="104"/>
    </row>
    <row r="320" spans="3:4" ht="18.75" customHeight="1" x14ac:dyDescent="0.25">
      <c r="C320" s="6"/>
      <c r="D320" s="104"/>
    </row>
    <row r="321" spans="3:4" ht="18.75" customHeight="1" x14ac:dyDescent="0.25">
      <c r="C321" s="6"/>
      <c r="D321" s="104"/>
    </row>
    <row r="322" spans="3:4" ht="18.75" customHeight="1" x14ac:dyDescent="0.25">
      <c r="C322" s="6"/>
      <c r="D322" s="104"/>
    </row>
    <row r="323" spans="3:4" ht="18.75" customHeight="1" x14ac:dyDescent="0.25">
      <c r="C323" s="6"/>
      <c r="D323" s="104"/>
    </row>
    <row r="324" spans="3:4" ht="18.75" customHeight="1" x14ac:dyDescent="0.25">
      <c r="C324" s="6"/>
      <c r="D324" s="104"/>
    </row>
    <row r="325" spans="3:4" ht="18.75" customHeight="1" x14ac:dyDescent="0.25">
      <c r="C325" s="6"/>
      <c r="D325" s="104"/>
    </row>
    <row r="326" spans="3:4" ht="18.75" customHeight="1" x14ac:dyDescent="0.25">
      <c r="C326" s="6"/>
      <c r="D326" s="104"/>
    </row>
    <row r="327" spans="3:4" ht="18.75" customHeight="1" x14ac:dyDescent="0.25">
      <c r="C327" s="6"/>
      <c r="D327" s="104"/>
    </row>
    <row r="328" spans="3:4" ht="18.75" customHeight="1" x14ac:dyDescent="0.25">
      <c r="C328" s="6"/>
      <c r="D328" s="104"/>
    </row>
    <row r="329" spans="3:4" ht="18.75" customHeight="1" x14ac:dyDescent="0.25">
      <c r="C329" s="6"/>
      <c r="D329" s="104"/>
    </row>
    <row r="330" spans="3:4" ht="18.75" customHeight="1" x14ac:dyDescent="0.25">
      <c r="C330" s="6"/>
      <c r="D330" s="104"/>
    </row>
    <row r="331" spans="3:4" ht="18.75" customHeight="1" x14ac:dyDescent="0.25">
      <c r="C331" s="6"/>
      <c r="D331" s="104"/>
    </row>
    <row r="332" spans="3:4" ht="18.75" customHeight="1" x14ac:dyDescent="0.25">
      <c r="C332" s="6"/>
      <c r="D332" s="104"/>
    </row>
    <row r="333" spans="3:4" ht="18.75" customHeight="1" x14ac:dyDescent="0.25">
      <c r="C333" s="6"/>
      <c r="D333" s="104"/>
    </row>
    <row r="334" spans="3:4" ht="18.75" customHeight="1" x14ac:dyDescent="0.25">
      <c r="C334" s="6"/>
      <c r="D334" s="104"/>
    </row>
    <row r="335" spans="3:4" ht="18.75" customHeight="1" x14ac:dyDescent="0.25">
      <c r="C335" s="6"/>
      <c r="D335" s="104"/>
    </row>
    <row r="336" spans="3:4" ht="18.75" customHeight="1" x14ac:dyDescent="0.25">
      <c r="C336" s="6"/>
      <c r="D336" s="104"/>
    </row>
    <row r="337" spans="3:4" ht="18.75" customHeight="1" x14ac:dyDescent="0.25">
      <c r="C337" s="6"/>
      <c r="D337" s="104"/>
    </row>
    <row r="338" spans="3:4" ht="18.75" customHeight="1" x14ac:dyDescent="0.25">
      <c r="C338" s="6"/>
      <c r="D338" s="104"/>
    </row>
    <row r="339" spans="3:4" ht="18.75" customHeight="1" x14ac:dyDescent="0.25">
      <c r="C339" s="6"/>
      <c r="D339" s="104"/>
    </row>
    <row r="340" spans="3:4" ht="18.75" customHeight="1" x14ac:dyDescent="0.25">
      <c r="C340" s="6"/>
      <c r="D340" s="104"/>
    </row>
    <row r="341" spans="3:4" ht="18.75" customHeight="1" x14ac:dyDescent="0.25">
      <c r="C341" s="6"/>
      <c r="D341" s="104"/>
    </row>
    <row r="342" spans="3:4" ht="18.75" customHeight="1" x14ac:dyDescent="0.25">
      <c r="C342" s="6"/>
      <c r="D342" s="104"/>
    </row>
    <row r="343" spans="3:4" ht="18.75" customHeight="1" x14ac:dyDescent="0.25">
      <c r="C343" s="6"/>
      <c r="D343" s="104"/>
    </row>
    <row r="344" spans="3:4" ht="18.75" customHeight="1" x14ac:dyDescent="0.25">
      <c r="C344" s="6"/>
      <c r="D344" s="104"/>
    </row>
    <row r="345" spans="3:4" ht="18.75" customHeight="1" x14ac:dyDescent="0.25">
      <c r="C345" s="6"/>
      <c r="D345" s="104"/>
    </row>
    <row r="346" spans="3:4" ht="18.75" customHeight="1" x14ac:dyDescent="0.25">
      <c r="C346" s="6"/>
      <c r="D346" s="104"/>
    </row>
    <row r="347" spans="3:4" ht="18.75" customHeight="1" x14ac:dyDescent="0.25">
      <c r="C347" s="6"/>
      <c r="D347" s="104"/>
    </row>
    <row r="348" spans="3:4" ht="18.75" customHeight="1" x14ac:dyDescent="0.25">
      <c r="C348" s="6"/>
      <c r="D348" s="104"/>
    </row>
    <row r="349" spans="3:4" ht="18.75" customHeight="1" x14ac:dyDescent="0.25">
      <c r="C349" s="6"/>
      <c r="D349" s="104"/>
    </row>
    <row r="350" spans="3:4" ht="18.75" customHeight="1" x14ac:dyDescent="0.25">
      <c r="C350" s="6"/>
      <c r="D350" s="104"/>
    </row>
    <row r="351" spans="3:4" ht="18.75" customHeight="1" x14ac:dyDescent="0.25">
      <c r="C351" s="6"/>
      <c r="D351" s="104"/>
    </row>
    <row r="352" spans="3:4" ht="18.75" customHeight="1" x14ac:dyDescent="0.25">
      <c r="C352" s="6"/>
      <c r="D352" s="104"/>
    </row>
    <row r="353" spans="3:4" ht="18.75" customHeight="1" x14ac:dyDescent="0.25">
      <c r="C353" s="6"/>
      <c r="D353" s="104"/>
    </row>
    <row r="354" spans="3:4" ht="18.75" customHeight="1" x14ac:dyDescent="0.25">
      <c r="C354" s="6"/>
      <c r="D354" s="104"/>
    </row>
    <row r="355" spans="3:4" ht="18.75" customHeight="1" x14ac:dyDescent="0.25">
      <c r="C355" s="6"/>
      <c r="D355" s="104"/>
    </row>
    <row r="356" spans="3:4" ht="18.75" customHeight="1" x14ac:dyDescent="0.25">
      <c r="C356" s="6"/>
      <c r="D356" s="104"/>
    </row>
    <row r="357" spans="3:4" ht="18.75" customHeight="1" x14ac:dyDescent="0.25">
      <c r="C357" s="6"/>
      <c r="D357" s="104"/>
    </row>
    <row r="358" spans="3:4" ht="18.75" customHeight="1" x14ac:dyDescent="0.25">
      <c r="C358" s="6"/>
      <c r="D358" s="104"/>
    </row>
    <row r="359" spans="3:4" ht="18.75" customHeight="1" x14ac:dyDescent="0.25">
      <c r="C359" s="6"/>
      <c r="D359" s="104"/>
    </row>
    <row r="360" spans="3:4" ht="18.75" customHeight="1" x14ac:dyDescent="0.25">
      <c r="C360" s="6"/>
      <c r="D360" s="104"/>
    </row>
    <row r="361" spans="3:4" ht="18.75" customHeight="1" x14ac:dyDescent="0.25">
      <c r="C361" s="6"/>
      <c r="D361" s="104"/>
    </row>
    <row r="362" spans="3:4" ht="18.75" customHeight="1" x14ac:dyDescent="0.25">
      <c r="C362" s="6"/>
      <c r="D362" s="104"/>
    </row>
    <row r="363" spans="3:4" ht="18.75" customHeight="1" x14ac:dyDescent="0.25">
      <c r="C363" s="6"/>
      <c r="D363" s="104"/>
    </row>
    <row r="364" spans="3:4" ht="18.75" customHeight="1" x14ac:dyDescent="0.25">
      <c r="C364" s="6"/>
      <c r="D364" s="104"/>
    </row>
    <row r="365" spans="3:4" ht="18.75" customHeight="1" x14ac:dyDescent="0.25">
      <c r="C365" s="6"/>
      <c r="D365" s="104"/>
    </row>
    <row r="366" spans="3:4" ht="18.75" customHeight="1" x14ac:dyDescent="0.25">
      <c r="C366" s="6"/>
      <c r="D366" s="104"/>
    </row>
    <row r="367" spans="3:4" ht="18.75" customHeight="1" x14ac:dyDescent="0.25">
      <c r="C367" s="6"/>
      <c r="D367" s="104"/>
    </row>
    <row r="368" spans="3:4" ht="18.75" customHeight="1" x14ac:dyDescent="0.25">
      <c r="C368" s="6"/>
      <c r="D368" s="104"/>
    </row>
    <row r="369" spans="3:4" ht="18.75" customHeight="1" x14ac:dyDescent="0.25">
      <c r="C369" s="6"/>
      <c r="D369" s="104"/>
    </row>
    <row r="370" spans="3:4" ht="18.75" customHeight="1" x14ac:dyDescent="0.25">
      <c r="C370" s="6"/>
      <c r="D370" s="104"/>
    </row>
    <row r="371" spans="3:4" ht="18.75" customHeight="1" x14ac:dyDescent="0.25">
      <c r="C371" s="6"/>
      <c r="D371" s="104"/>
    </row>
    <row r="372" spans="3:4" ht="18.75" customHeight="1" x14ac:dyDescent="0.25">
      <c r="C372" s="6"/>
      <c r="D372" s="104"/>
    </row>
    <row r="373" spans="3:4" ht="18.75" customHeight="1" x14ac:dyDescent="0.25">
      <c r="C373" s="6"/>
      <c r="D373" s="104"/>
    </row>
    <row r="374" spans="3:4" ht="18.75" customHeight="1" x14ac:dyDescent="0.25">
      <c r="C374" s="6"/>
      <c r="D374" s="104"/>
    </row>
    <row r="375" spans="3:4" ht="18.75" customHeight="1" x14ac:dyDescent="0.25">
      <c r="C375" s="6"/>
      <c r="D375" s="104"/>
    </row>
    <row r="376" spans="3:4" ht="18.75" customHeight="1" x14ac:dyDescent="0.25">
      <c r="C376" s="6"/>
      <c r="D376" s="104"/>
    </row>
    <row r="377" spans="3:4" ht="18.75" customHeight="1" x14ac:dyDescent="0.25">
      <c r="C377" s="6"/>
      <c r="D377" s="104"/>
    </row>
    <row r="378" spans="3:4" ht="18.75" customHeight="1" x14ac:dyDescent="0.25">
      <c r="C378" s="6"/>
      <c r="D378" s="104"/>
    </row>
    <row r="379" spans="3:4" ht="18.75" customHeight="1" x14ac:dyDescent="0.25">
      <c r="C379" s="6"/>
      <c r="D379" s="104"/>
    </row>
    <row r="380" spans="3:4" ht="18.75" customHeight="1" x14ac:dyDescent="0.25">
      <c r="C380" s="6"/>
      <c r="D380" s="104"/>
    </row>
    <row r="381" spans="3:4" ht="18.75" customHeight="1" x14ac:dyDescent="0.25">
      <c r="C381" s="6"/>
      <c r="D381" s="104"/>
    </row>
    <row r="382" spans="3:4" ht="18.75" customHeight="1" x14ac:dyDescent="0.25">
      <c r="C382" s="6"/>
      <c r="D382" s="104"/>
    </row>
    <row r="383" spans="3:4" ht="18.75" customHeight="1" x14ac:dyDescent="0.25">
      <c r="C383" s="6"/>
      <c r="D383" s="104"/>
    </row>
    <row r="384" spans="3:4" ht="18.75" customHeight="1" x14ac:dyDescent="0.25">
      <c r="C384" s="6"/>
      <c r="D384" s="104"/>
    </row>
    <row r="385" spans="3:4" ht="18.75" customHeight="1" x14ac:dyDescent="0.25">
      <c r="C385" s="6"/>
      <c r="D385" s="104"/>
    </row>
    <row r="386" spans="3:4" ht="18.75" customHeight="1" x14ac:dyDescent="0.25">
      <c r="C386" s="6"/>
      <c r="D386" s="104"/>
    </row>
    <row r="387" spans="3:4" ht="18.75" customHeight="1" x14ac:dyDescent="0.25">
      <c r="C387" s="6"/>
      <c r="D387" s="104"/>
    </row>
    <row r="388" spans="3:4" ht="18.75" customHeight="1" x14ac:dyDescent="0.25">
      <c r="C388" s="6"/>
      <c r="D388" s="104"/>
    </row>
    <row r="389" spans="3:4" ht="18.75" customHeight="1" x14ac:dyDescent="0.25">
      <c r="C389" s="6"/>
      <c r="D389" s="104"/>
    </row>
    <row r="390" spans="3:4" ht="18.75" customHeight="1" x14ac:dyDescent="0.25">
      <c r="C390" s="6"/>
      <c r="D390" s="104"/>
    </row>
    <row r="391" spans="3:4" ht="18.75" customHeight="1" x14ac:dyDescent="0.25">
      <c r="C391" s="6"/>
      <c r="D391" s="104"/>
    </row>
    <row r="392" spans="3:4" ht="18.75" customHeight="1" x14ac:dyDescent="0.25">
      <c r="C392" s="6"/>
      <c r="D392" s="104"/>
    </row>
    <row r="393" spans="3:4" ht="18.75" customHeight="1" x14ac:dyDescent="0.25">
      <c r="C393" s="6"/>
      <c r="D393" s="104"/>
    </row>
    <row r="394" spans="3:4" ht="18.75" customHeight="1" x14ac:dyDescent="0.25">
      <c r="C394" s="6"/>
      <c r="D394" s="104"/>
    </row>
    <row r="395" spans="3:4" ht="18.75" customHeight="1" x14ac:dyDescent="0.25">
      <c r="C395" s="6"/>
      <c r="D395" s="104"/>
    </row>
    <row r="396" spans="3:4" ht="18.75" customHeight="1" x14ac:dyDescent="0.25">
      <c r="C396" s="6"/>
      <c r="D396" s="104"/>
    </row>
    <row r="397" spans="3:4" ht="18.75" customHeight="1" x14ac:dyDescent="0.25">
      <c r="C397" s="6"/>
      <c r="D397" s="104"/>
    </row>
    <row r="398" spans="3:4" ht="18.75" customHeight="1" x14ac:dyDescent="0.25">
      <c r="C398" s="6"/>
      <c r="D398" s="104"/>
    </row>
    <row r="399" spans="3:4" ht="18.75" customHeight="1" x14ac:dyDescent="0.25">
      <c r="C399" s="6"/>
      <c r="D399" s="104"/>
    </row>
    <row r="400" spans="3:4" ht="18.75" customHeight="1" x14ac:dyDescent="0.25">
      <c r="C400" s="6"/>
      <c r="D400" s="104"/>
    </row>
    <row r="401" spans="3:4" ht="18.75" customHeight="1" x14ac:dyDescent="0.25">
      <c r="C401" s="6"/>
      <c r="D401" s="104"/>
    </row>
    <row r="402" spans="3:4" ht="18.75" customHeight="1" x14ac:dyDescent="0.25">
      <c r="C402" s="6"/>
      <c r="D402" s="104"/>
    </row>
    <row r="403" spans="3:4" ht="18.75" customHeight="1" x14ac:dyDescent="0.25">
      <c r="C403" s="6"/>
      <c r="D403" s="104"/>
    </row>
    <row r="404" spans="3:4" ht="18.75" customHeight="1" x14ac:dyDescent="0.25">
      <c r="C404" s="6"/>
      <c r="D404" s="104"/>
    </row>
    <row r="405" spans="3:4" ht="18.75" customHeight="1" x14ac:dyDescent="0.25">
      <c r="C405" s="6"/>
      <c r="D405" s="104"/>
    </row>
    <row r="406" spans="3:4" ht="18.75" customHeight="1" x14ac:dyDescent="0.25">
      <c r="C406" s="6"/>
      <c r="D406" s="104"/>
    </row>
    <row r="407" spans="3:4" ht="18.75" customHeight="1" x14ac:dyDescent="0.25">
      <c r="C407" s="6"/>
      <c r="D407" s="104"/>
    </row>
    <row r="408" spans="3:4" ht="18.75" customHeight="1" x14ac:dyDescent="0.25">
      <c r="C408" s="6"/>
      <c r="D408" s="104"/>
    </row>
    <row r="409" spans="3:4" ht="18.75" customHeight="1" x14ac:dyDescent="0.25">
      <c r="C409" s="6"/>
      <c r="D409" s="104"/>
    </row>
    <row r="410" spans="3:4" ht="18.75" customHeight="1" x14ac:dyDescent="0.25">
      <c r="C410" s="6"/>
      <c r="D410" s="104"/>
    </row>
    <row r="411" spans="3:4" ht="18.75" customHeight="1" x14ac:dyDescent="0.25">
      <c r="C411" s="6"/>
      <c r="D411" s="104"/>
    </row>
    <row r="412" spans="3:4" ht="18.75" customHeight="1" x14ac:dyDescent="0.25">
      <c r="C412" s="6"/>
      <c r="D412" s="104"/>
    </row>
    <row r="413" spans="3:4" ht="18.75" customHeight="1" x14ac:dyDescent="0.25">
      <c r="C413" s="6"/>
      <c r="D413" s="104"/>
    </row>
    <row r="414" spans="3:4" ht="18.75" customHeight="1" x14ac:dyDescent="0.25">
      <c r="C414" s="6"/>
      <c r="D414" s="104"/>
    </row>
    <row r="415" spans="3:4" ht="18.75" customHeight="1" x14ac:dyDescent="0.25">
      <c r="C415" s="6"/>
      <c r="D415" s="104"/>
    </row>
    <row r="416" spans="3:4" ht="18.75" customHeight="1" x14ac:dyDescent="0.25">
      <c r="C416" s="6"/>
      <c r="D416" s="104"/>
    </row>
    <row r="417" spans="3:4" ht="18.75" customHeight="1" x14ac:dyDescent="0.25">
      <c r="C417" s="6"/>
      <c r="D417" s="104"/>
    </row>
    <row r="418" spans="3:4" ht="18.75" customHeight="1" x14ac:dyDescent="0.25">
      <c r="C418" s="6"/>
      <c r="D418" s="104"/>
    </row>
    <row r="419" spans="3:4" ht="18.75" customHeight="1" x14ac:dyDescent="0.25">
      <c r="C419" s="6"/>
      <c r="D419" s="104"/>
    </row>
    <row r="420" spans="3:4" ht="18.75" customHeight="1" x14ac:dyDescent="0.25">
      <c r="C420" s="6"/>
      <c r="D420" s="104"/>
    </row>
    <row r="421" spans="3:4" ht="18.75" customHeight="1" x14ac:dyDescent="0.25">
      <c r="C421" s="6"/>
      <c r="D421" s="104"/>
    </row>
    <row r="422" spans="3:4" ht="18.75" customHeight="1" x14ac:dyDescent="0.25">
      <c r="C422" s="6"/>
      <c r="D422" s="104"/>
    </row>
    <row r="423" spans="3:4" ht="18.75" customHeight="1" x14ac:dyDescent="0.25">
      <c r="C423" s="6"/>
      <c r="D423" s="104"/>
    </row>
    <row r="424" spans="3:4" ht="18.75" customHeight="1" x14ac:dyDescent="0.25">
      <c r="C424" s="6"/>
      <c r="D424" s="104"/>
    </row>
    <row r="425" spans="3:4" ht="18.75" customHeight="1" x14ac:dyDescent="0.25">
      <c r="C425" s="6"/>
      <c r="D425" s="104"/>
    </row>
    <row r="426" spans="3:4" ht="18.75" customHeight="1" x14ac:dyDescent="0.25">
      <c r="C426" s="6"/>
      <c r="D426" s="104"/>
    </row>
    <row r="427" spans="3:4" ht="18.75" customHeight="1" x14ac:dyDescent="0.25">
      <c r="C427" s="6"/>
      <c r="D427" s="104"/>
    </row>
    <row r="428" spans="3:4" ht="18.75" customHeight="1" x14ac:dyDescent="0.25">
      <c r="C428" s="6"/>
      <c r="D428" s="104"/>
    </row>
    <row r="429" spans="3:4" ht="18.75" customHeight="1" x14ac:dyDescent="0.25">
      <c r="C429" s="6"/>
      <c r="D429" s="104"/>
    </row>
    <row r="430" spans="3:4" ht="18.75" customHeight="1" x14ac:dyDescent="0.25">
      <c r="C430" s="6"/>
      <c r="D430" s="104"/>
    </row>
    <row r="431" spans="3:4" ht="18.75" customHeight="1" x14ac:dyDescent="0.25">
      <c r="C431" s="6"/>
      <c r="D431" s="104"/>
    </row>
    <row r="432" spans="3:4" ht="18.75" customHeight="1" x14ac:dyDescent="0.25">
      <c r="C432" s="6"/>
      <c r="D432" s="104"/>
    </row>
    <row r="433" spans="3:4" ht="18.75" customHeight="1" x14ac:dyDescent="0.25">
      <c r="C433" s="6"/>
      <c r="D433" s="104"/>
    </row>
    <row r="434" spans="3:4" ht="18.75" customHeight="1" x14ac:dyDescent="0.25">
      <c r="C434" s="6"/>
      <c r="D434" s="104"/>
    </row>
    <row r="435" spans="3:4" ht="18.75" customHeight="1" x14ac:dyDescent="0.25">
      <c r="C435" s="6"/>
      <c r="D435" s="104"/>
    </row>
    <row r="436" spans="3:4" ht="18.75" customHeight="1" x14ac:dyDescent="0.25">
      <c r="C436" s="6"/>
      <c r="D436" s="104"/>
    </row>
    <row r="437" spans="3:4" ht="18.75" customHeight="1" x14ac:dyDescent="0.25">
      <c r="C437" s="6"/>
      <c r="D437" s="104"/>
    </row>
    <row r="438" spans="3:4" ht="18.75" customHeight="1" x14ac:dyDescent="0.25">
      <c r="C438" s="6"/>
      <c r="D438" s="104"/>
    </row>
    <row r="439" spans="3:4" ht="18.75" customHeight="1" x14ac:dyDescent="0.25">
      <c r="C439" s="6"/>
      <c r="D439" s="104"/>
    </row>
    <row r="440" spans="3:4" ht="18.75" customHeight="1" x14ac:dyDescent="0.25">
      <c r="C440" s="6"/>
      <c r="D440" s="104"/>
    </row>
    <row r="441" spans="3:4" ht="18.75" customHeight="1" x14ac:dyDescent="0.25">
      <c r="C441" s="6"/>
      <c r="D441" s="104"/>
    </row>
    <row r="442" spans="3:4" ht="18.75" customHeight="1" x14ac:dyDescent="0.25">
      <c r="C442" s="6"/>
      <c r="D442" s="104"/>
    </row>
    <row r="443" spans="3:4" ht="18.75" customHeight="1" x14ac:dyDescent="0.25">
      <c r="C443" s="6"/>
      <c r="D443" s="104"/>
    </row>
    <row r="444" spans="3:4" ht="18.75" customHeight="1" x14ac:dyDescent="0.25">
      <c r="C444" s="6"/>
      <c r="D444" s="104"/>
    </row>
    <row r="445" spans="3:4" ht="18.75" customHeight="1" x14ac:dyDescent="0.25">
      <c r="C445" s="6"/>
      <c r="D445" s="104"/>
    </row>
    <row r="446" spans="3:4" ht="18.75" customHeight="1" x14ac:dyDescent="0.25">
      <c r="C446" s="6"/>
      <c r="D446" s="104"/>
    </row>
    <row r="447" spans="3:4" ht="18.75" customHeight="1" x14ac:dyDescent="0.25">
      <c r="C447" s="6"/>
      <c r="D447" s="104"/>
    </row>
    <row r="448" spans="3:4" ht="18.75" customHeight="1" x14ac:dyDescent="0.25">
      <c r="C448" s="6"/>
      <c r="D448" s="104"/>
    </row>
    <row r="449" spans="3:4" ht="18.75" customHeight="1" x14ac:dyDescent="0.25">
      <c r="C449" s="6"/>
      <c r="D449" s="104"/>
    </row>
    <row r="450" spans="3:4" ht="18.75" customHeight="1" x14ac:dyDescent="0.25">
      <c r="C450" s="6"/>
      <c r="D450" s="104"/>
    </row>
    <row r="451" spans="3:4" ht="18.75" customHeight="1" x14ac:dyDescent="0.25">
      <c r="C451" s="6"/>
      <c r="D451" s="104"/>
    </row>
    <row r="452" spans="3:4" ht="18.75" customHeight="1" x14ac:dyDescent="0.25">
      <c r="C452" s="6"/>
      <c r="D452" s="104"/>
    </row>
    <row r="453" spans="3:4" ht="18.75" customHeight="1" x14ac:dyDescent="0.25">
      <c r="C453" s="6"/>
      <c r="D453" s="104"/>
    </row>
    <row r="454" spans="3:4" ht="18.75" customHeight="1" x14ac:dyDescent="0.25">
      <c r="C454" s="6"/>
      <c r="D454" s="104"/>
    </row>
    <row r="455" spans="3:4" ht="18.75" customHeight="1" x14ac:dyDescent="0.25">
      <c r="C455" s="6"/>
      <c r="D455" s="104"/>
    </row>
    <row r="456" spans="3:4" ht="18.75" customHeight="1" x14ac:dyDescent="0.25">
      <c r="C456" s="6"/>
      <c r="D456" s="104"/>
    </row>
    <row r="457" spans="3:4" ht="18.75" customHeight="1" x14ac:dyDescent="0.25">
      <c r="C457" s="6"/>
      <c r="D457" s="104"/>
    </row>
    <row r="458" spans="3:4" ht="18.75" customHeight="1" x14ac:dyDescent="0.25">
      <c r="C458" s="6"/>
      <c r="D458" s="104"/>
    </row>
    <row r="459" spans="3:4" ht="18.75" customHeight="1" x14ac:dyDescent="0.25">
      <c r="C459" s="6"/>
      <c r="D459" s="104"/>
    </row>
    <row r="460" spans="3:4" ht="18.75" customHeight="1" x14ac:dyDescent="0.25">
      <c r="C460" s="6"/>
      <c r="D460" s="104"/>
    </row>
    <row r="461" spans="3:4" ht="18.75" customHeight="1" x14ac:dyDescent="0.25">
      <c r="C461" s="6"/>
      <c r="D461" s="104"/>
    </row>
    <row r="462" spans="3:4" ht="18.75" customHeight="1" x14ac:dyDescent="0.25">
      <c r="C462" s="6"/>
      <c r="D462" s="104"/>
    </row>
    <row r="463" spans="3:4" ht="18.75" customHeight="1" x14ac:dyDescent="0.25">
      <c r="C463" s="6"/>
      <c r="D463" s="104"/>
    </row>
    <row r="464" spans="3:4" ht="18.75" customHeight="1" x14ac:dyDescent="0.25">
      <c r="C464" s="6"/>
      <c r="D464" s="104"/>
    </row>
    <row r="465" spans="3:4" ht="18.75" customHeight="1" x14ac:dyDescent="0.25">
      <c r="C465" s="6"/>
      <c r="D465" s="104"/>
    </row>
    <row r="466" spans="3:4" ht="18.75" customHeight="1" x14ac:dyDescent="0.25">
      <c r="C466" s="6"/>
      <c r="D466" s="104"/>
    </row>
    <row r="467" spans="3:4" ht="18.75" customHeight="1" x14ac:dyDescent="0.25">
      <c r="C467" s="6"/>
      <c r="D467" s="104"/>
    </row>
    <row r="468" spans="3:4" ht="18.75" customHeight="1" x14ac:dyDescent="0.25">
      <c r="C468" s="6"/>
      <c r="D468" s="104"/>
    </row>
    <row r="469" spans="3:4" ht="18.75" customHeight="1" x14ac:dyDescent="0.25">
      <c r="C469" s="6"/>
      <c r="D469" s="104"/>
    </row>
    <row r="470" spans="3:4" ht="18.75" customHeight="1" x14ac:dyDescent="0.25">
      <c r="C470" s="6"/>
      <c r="D470" s="104"/>
    </row>
    <row r="471" spans="3:4" ht="18.75" customHeight="1" x14ac:dyDescent="0.25">
      <c r="C471" s="6"/>
      <c r="D471" s="104"/>
    </row>
    <row r="472" spans="3:4" ht="18.75" customHeight="1" x14ac:dyDescent="0.25">
      <c r="C472" s="6"/>
      <c r="D472" s="104"/>
    </row>
    <row r="473" spans="3:4" ht="18.75" customHeight="1" x14ac:dyDescent="0.25">
      <c r="C473" s="6"/>
      <c r="D473" s="104"/>
    </row>
    <row r="474" spans="3:4" ht="18.75" customHeight="1" x14ac:dyDescent="0.25">
      <c r="C474" s="6"/>
      <c r="D474" s="104"/>
    </row>
    <row r="475" spans="3:4" ht="18.75" customHeight="1" x14ac:dyDescent="0.25">
      <c r="C475" s="6"/>
      <c r="D475" s="104"/>
    </row>
    <row r="476" spans="3:4" ht="18.75" customHeight="1" x14ac:dyDescent="0.25">
      <c r="C476" s="6"/>
      <c r="D476" s="104"/>
    </row>
    <row r="477" spans="3:4" ht="18.75" customHeight="1" x14ac:dyDescent="0.25">
      <c r="C477" s="6"/>
      <c r="D477" s="104"/>
    </row>
    <row r="478" spans="3:4" ht="18.75" customHeight="1" x14ac:dyDescent="0.25">
      <c r="C478" s="6"/>
      <c r="D478" s="104"/>
    </row>
    <row r="479" spans="3:4" ht="18.75" customHeight="1" x14ac:dyDescent="0.25">
      <c r="C479" s="6"/>
      <c r="D479" s="104"/>
    </row>
    <row r="480" spans="3:4" ht="18.75" customHeight="1" x14ac:dyDescent="0.25">
      <c r="C480" s="6"/>
      <c r="D480" s="104"/>
    </row>
    <row r="481" spans="3:4" ht="18.75" customHeight="1" x14ac:dyDescent="0.25">
      <c r="C481" s="6"/>
      <c r="D481" s="104"/>
    </row>
    <row r="482" spans="3:4" ht="18.75" customHeight="1" x14ac:dyDescent="0.25">
      <c r="C482" s="6"/>
      <c r="D482" s="104"/>
    </row>
    <row r="483" spans="3:4" ht="18.75" customHeight="1" x14ac:dyDescent="0.25">
      <c r="C483" s="6"/>
      <c r="D483" s="104"/>
    </row>
    <row r="484" spans="3:4" ht="18.75" customHeight="1" x14ac:dyDescent="0.25">
      <c r="C484" s="6"/>
      <c r="D484" s="104"/>
    </row>
    <row r="485" spans="3:4" ht="18.75" customHeight="1" x14ac:dyDescent="0.25">
      <c r="C485" s="6"/>
      <c r="D485" s="104"/>
    </row>
    <row r="486" spans="3:4" ht="18.75" customHeight="1" x14ac:dyDescent="0.25">
      <c r="C486" s="6"/>
      <c r="D486" s="104"/>
    </row>
    <row r="487" spans="3:4" ht="18.75" customHeight="1" x14ac:dyDescent="0.25">
      <c r="C487" s="6"/>
      <c r="D487" s="104"/>
    </row>
    <row r="488" spans="3:4" ht="18.75" customHeight="1" x14ac:dyDescent="0.25">
      <c r="C488" s="6"/>
      <c r="D488" s="104"/>
    </row>
    <row r="489" spans="3:4" ht="18.75" customHeight="1" x14ac:dyDescent="0.25">
      <c r="C489" s="6"/>
      <c r="D489" s="104"/>
    </row>
    <row r="490" spans="3:4" ht="18.75" customHeight="1" x14ac:dyDescent="0.25">
      <c r="C490" s="6"/>
      <c r="D490" s="104"/>
    </row>
    <row r="491" spans="3:4" ht="18.75" customHeight="1" x14ac:dyDescent="0.25">
      <c r="C491" s="6"/>
      <c r="D491" s="104"/>
    </row>
    <row r="492" spans="3:4" ht="18.75" customHeight="1" x14ac:dyDescent="0.25">
      <c r="C492" s="6"/>
      <c r="D492" s="104"/>
    </row>
    <row r="493" spans="3:4" ht="18.75" customHeight="1" x14ac:dyDescent="0.25">
      <c r="C493" s="6"/>
      <c r="D493" s="104"/>
    </row>
    <row r="494" spans="3:4" ht="18.75" customHeight="1" x14ac:dyDescent="0.25">
      <c r="C494" s="6"/>
      <c r="D494" s="104"/>
    </row>
    <row r="495" spans="3:4" ht="18.75" customHeight="1" x14ac:dyDescent="0.25">
      <c r="C495" s="6"/>
      <c r="D495" s="104"/>
    </row>
    <row r="496" spans="3:4" ht="18.75" customHeight="1" x14ac:dyDescent="0.25">
      <c r="C496" s="6"/>
      <c r="D496" s="104"/>
    </row>
    <row r="497" spans="3:4" ht="18.75" customHeight="1" x14ac:dyDescent="0.25">
      <c r="C497" s="6"/>
      <c r="D497" s="104"/>
    </row>
    <row r="498" spans="3:4" ht="18.75" customHeight="1" x14ac:dyDescent="0.25">
      <c r="C498" s="6"/>
      <c r="D498" s="104"/>
    </row>
    <row r="499" spans="3:4" ht="18.75" customHeight="1" x14ac:dyDescent="0.25">
      <c r="C499" s="6"/>
      <c r="D499" s="104"/>
    </row>
    <row r="500" spans="3:4" ht="18.75" customHeight="1" x14ac:dyDescent="0.25">
      <c r="C500" s="6"/>
      <c r="D500" s="104"/>
    </row>
    <row r="501" spans="3:4" ht="18.75" customHeight="1" x14ac:dyDescent="0.25">
      <c r="C501" s="6"/>
      <c r="D501" s="104"/>
    </row>
    <row r="502" spans="3:4" ht="18.75" customHeight="1" x14ac:dyDescent="0.25">
      <c r="C502" s="6"/>
      <c r="D502" s="104"/>
    </row>
    <row r="503" spans="3:4" ht="18.75" customHeight="1" x14ac:dyDescent="0.25">
      <c r="C503" s="6"/>
      <c r="D503" s="104"/>
    </row>
    <row r="504" spans="3:4" ht="18.75" customHeight="1" x14ac:dyDescent="0.25">
      <c r="C504" s="6"/>
      <c r="D504" s="104"/>
    </row>
    <row r="505" spans="3:4" ht="18.75" customHeight="1" x14ac:dyDescent="0.25">
      <c r="C505" s="6"/>
      <c r="D505" s="104"/>
    </row>
    <row r="506" spans="3:4" ht="18.75" customHeight="1" x14ac:dyDescent="0.25">
      <c r="C506" s="6"/>
      <c r="D506" s="104"/>
    </row>
    <row r="507" spans="3:4" ht="18.75" customHeight="1" x14ac:dyDescent="0.25">
      <c r="C507" s="6"/>
      <c r="D507" s="104"/>
    </row>
    <row r="508" spans="3:4" ht="18.75" customHeight="1" x14ac:dyDescent="0.25">
      <c r="C508" s="6"/>
      <c r="D508" s="104"/>
    </row>
    <row r="509" spans="3:4" ht="18.75" customHeight="1" x14ac:dyDescent="0.25">
      <c r="C509" s="6"/>
      <c r="D509" s="104"/>
    </row>
    <row r="510" spans="3:4" ht="18.75" customHeight="1" x14ac:dyDescent="0.25">
      <c r="C510" s="6"/>
      <c r="D510" s="104"/>
    </row>
    <row r="511" spans="3:4" ht="18.75" customHeight="1" x14ac:dyDescent="0.25">
      <c r="C511" s="6"/>
      <c r="D511" s="104"/>
    </row>
    <row r="512" spans="3:4" ht="18.75" customHeight="1" x14ac:dyDescent="0.25">
      <c r="C512" s="6"/>
      <c r="D512" s="104"/>
    </row>
    <row r="513" spans="3:4" ht="18.75" customHeight="1" x14ac:dyDescent="0.25">
      <c r="C513" s="6"/>
      <c r="D513" s="104"/>
    </row>
    <row r="514" spans="3:4" ht="18.75" customHeight="1" x14ac:dyDescent="0.25">
      <c r="C514" s="6"/>
      <c r="D514" s="104"/>
    </row>
    <row r="515" spans="3:4" ht="18.75" customHeight="1" x14ac:dyDescent="0.25">
      <c r="C515" s="6"/>
      <c r="D515" s="104"/>
    </row>
    <row r="516" spans="3:4" ht="18.75" customHeight="1" x14ac:dyDescent="0.25">
      <c r="C516" s="6"/>
      <c r="D516" s="104"/>
    </row>
    <row r="517" spans="3:4" ht="18.75" customHeight="1" x14ac:dyDescent="0.25">
      <c r="C517" s="6"/>
      <c r="D517" s="104"/>
    </row>
    <row r="518" spans="3:4" ht="18.75" customHeight="1" x14ac:dyDescent="0.25">
      <c r="C518" s="6"/>
      <c r="D518" s="104"/>
    </row>
    <row r="519" spans="3:4" ht="18.75" customHeight="1" x14ac:dyDescent="0.25">
      <c r="C519" s="6"/>
      <c r="D519" s="104"/>
    </row>
    <row r="520" spans="3:4" ht="18.75" customHeight="1" x14ac:dyDescent="0.25">
      <c r="C520" s="6"/>
      <c r="D520" s="104"/>
    </row>
    <row r="521" spans="3:4" ht="18.75" customHeight="1" x14ac:dyDescent="0.25">
      <c r="C521" s="6"/>
      <c r="D521" s="104"/>
    </row>
    <row r="522" spans="3:4" ht="18.75" customHeight="1" x14ac:dyDescent="0.25">
      <c r="C522" s="6"/>
      <c r="D522" s="104"/>
    </row>
    <row r="523" spans="3:4" ht="18.75" customHeight="1" x14ac:dyDescent="0.25">
      <c r="C523" s="6"/>
      <c r="D523" s="104"/>
    </row>
    <row r="524" spans="3:4" ht="18.75" customHeight="1" x14ac:dyDescent="0.25">
      <c r="C524" s="6"/>
      <c r="D524" s="104"/>
    </row>
    <row r="525" spans="3:4" ht="18.75" customHeight="1" x14ac:dyDescent="0.25">
      <c r="C525" s="6"/>
      <c r="D525" s="104"/>
    </row>
    <row r="526" spans="3:4" ht="18.75" customHeight="1" x14ac:dyDescent="0.25">
      <c r="C526" s="6"/>
      <c r="D526" s="104"/>
    </row>
    <row r="527" spans="3:4" ht="18.75" customHeight="1" x14ac:dyDescent="0.25">
      <c r="C527" s="6"/>
      <c r="D527" s="104"/>
    </row>
    <row r="528" spans="3:4" ht="18.75" customHeight="1" x14ac:dyDescent="0.25">
      <c r="C528" s="6"/>
      <c r="D528" s="104"/>
    </row>
    <row r="529" spans="3:4" ht="18.75" customHeight="1" x14ac:dyDescent="0.25">
      <c r="C529" s="6"/>
      <c r="D529" s="104"/>
    </row>
    <row r="530" spans="3:4" ht="18.75" customHeight="1" x14ac:dyDescent="0.25">
      <c r="C530" s="6"/>
      <c r="D530" s="104"/>
    </row>
    <row r="531" spans="3:4" ht="18.75" customHeight="1" x14ac:dyDescent="0.25">
      <c r="C531" s="6"/>
      <c r="D531" s="104"/>
    </row>
    <row r="532" spans="3:4" ht="18.75" customHeight="1" x14ac:dyDescent="0.25">
      <c r="C532" s="6"/>
      <c r="D532" s="104"/>
    </row>
    <row r="533" spans="3:4" ht="18.75" customHeight="1" x14ac:dyDescent="0.25">
      <c r="C533" s="6"/>
      <c r="D533" s="104"/>
    </row>
    <row r="534" spans="3:4" ht="18.75" customHeight="1" x14ac:dyDescent="0.25">
      <c r="C534" s="6"/>
      <c r="D534" s="104"/>
    </row>
    <row r="535" spans="3:4" ht="18.75" customHeight="1" x14ac:dyDescent="0.25">
      <c r="C535" s="6"/>
      <c r="D535" s="104"/>
    </row>
    <row r="536" spans="3:4" ht="18.75" customHeight="1" x14ac:dyDescent="0.25">
      <c r="C536" s="6"/>
      <c r="D536" s="104"/>
    </row>
    <row r="537" spans="3:4" ht="18.75" customHeight="1" x14ac:dyDescent="0.25">
      <c r="C537" s="6"/>
      <c r="D537" s="104"/>
    </row>
    <row r="538" spans="3:4" ht="18.75" customHeight="1" x14ac:dyDescent="0.25">
      <c r="C538" s="6"/>
      <c r="D538" s="104"/>
    </row>
    <row r="539" spans="3:4" ht="18.75" customHeight="1" x14ac:dyDescent="0.25">
      <c r="C539" s="6"/>
      <c r="D539" s="104"/>
    </row>
    <row r="540" spans="3:4" ht="18.75" customHeight="1" x14ac:dyDescent="0.25">
      <c r="C540" s="6"/>
      <c r="D540" s="104"/>
    </row>
    <row r="541" spans="3:4" ht="18.75" customHeight="1" x14ac:dyDescent="0.25">
      <c r="C541" s="6"/>
      <c r="D541" s="104"/>
    </row>
    <row r="542" spans="3:4" ht="18.75" customHeight="1" x14ac:dyDescent="0.25">
      <c r="C542" s="6"/>
      <c r="D542" s="104"/>
    </row>
    <row r="543" spans="3:4" ht="18.75" customHeight="1" x14ac:dyDescent="0.25">
      <c r="C543" s="6"/>
      <c r="D543" s="104"/>
    </row>
    <row r="544" spans="3:4" ht="18.75" customHeight="1" x14ac:dyDescent="0.25">
      <c r="C544" s="6"/>
      <c r="D544" s="104"/>
    </row>
    <row r="545" spans="3:4" ht="18.75" customHeight="1" x14ac:dyDescent="0.25">
      <c r="C545" s="6"/>
      <c r="D545" s="104"/>
    </row>
    <row r="546" spans="3:4" ht="18.75" customHeight="1" x14ac:dyDescent="0.25">
      <c r="C546" s="6"/>
      <c r="D546" s="104"/>
    </row>
    <row r="547" spans="3:4" ht="18.75" customHeight="1" x14ac:dyDescent="0.25">
      <c r="C547" s="6"/>
      <c r="D547" s="104"/>
    </row>
    <row r="548" spans="3:4" ht="18.75" customHeight="1" x14ac:dyDescent="0.25">
      <c r="C548" s="6"/>
      <c r="D548" s="104"/>
    </row>
    <row r="549" spans="3:4" ht="18.75" customHeight="1" x14ac:dyDescent="0.25">
      <c r="C549" s="6"/>
      <c r="D549" s="104"/>
    </row>
    <row r="550" spans="3:4" ht="18.75" customHeight="1" x14ac:dyDescent="0.25">
      <c r="C550" s="6"/>
      <c r="D550" s="104"/>
    </row>
    <row r="551" spans="3:4" ht="18.75" customHeight="1" x14ac:dyDescent="0.25">
      <c r="C551" s="6"/>
      <c r="D551" s="104"/>
    </row>
    <row r="552" spans="3:4" ht="18.75" customHeight="1" x14ac:dyDescent="0.25">
      <c r="C552" s="6"/>
      <c r="D552" s="104"/>
    </row>
    <row r="553" spans="3:4" ht="18.75" customHeight="1" x14ac:dyDescent="0.25">
      <c r="C553" s="6"/>
      <c r="D553" s="104"/>
    </row>
    <row r="554" spans="3:4" ht="18.75" customHeight="1" x14ac:dyDescent="0.25">
      <c r="C554" s="6"/>
      <c r="D554" s="104"/>
    </row>
    <row r="555" spans="3:4" ht="18.75" customHeight="1" x14ac:dyDescent="0.25">
      <c r="C555" s="6"/>
      <c r="D555" s="104"/>
    </row>
    <row r="556" spans="3:4" ht="18.75" customHeight="1" x14ac:dyDescent="0.25">
      <c r="C556" s="6"/>
      <c r="D556" s="104"/>
    </row>
    <row r="557" spans="3:4" ht="18.75" customHeight="1" x14ac:dyDescent="0.25">
      <c r="C557" s="6"/>
      <c r="D557" s="104"/>
    </row>
    <row r="558" spans="3:4" ht="18.75" customHeight="1" x14ac:dyDescent="0.25">
      <c r="C558" s="6"/>
      <c r="D558" s="104"/>
    </row>
    <row r="559" spans="3:4" ht="18.75" customHeight="1" x14ac:dyDescent="0.25">
      <c r="C559" s="6"/>
      <c r="D559" s="104"/>
    </row>
    <row r="560" spans="3:4" ht="18.75" customHeight="1" x14ac:dyDescent="0.25">
      <c r="C560" s="6"/>
      <c r="D560" s="104"/>
    </row>
    <row r="561" spans="3:4" ht="18.75" customHeight="1" x14ac:dyDescent="0.25">
      <c r="C561" s="6"/>
      <c r="D561" s="104"/>
    </row>
    <row r="562" spans="3:4" ht="18.75" customHeight="1" x14ac:dyDescent="0.25">
      <c r="C562" s="6"/>
      <c r="D562" s="104"/>
    </row>
    <row r="563" spans="3:4" ht="18.75" customHeight="1" x14ac:dyDescent="0.25">
      <c r="C563" s="6"/>
      <c r="D563" s="104"/>
    </row>
    <row r="564" spans="3:4" ht="18.75" customHeight="1" x14ac:dyDescent="0.25">
      <c r="C564" s="6"/>
      <c r="D564" s="104"/>
    </row>
    <row r="565" spans="3:4" ht="18.75" customHeight="1" x14ac:dyDescent="0.25">
      <c r="C565" s="6"/>
      <c r="D565" s="104"/>
    </row>
    <row r="566" spans="3:4" ht="18.75" customHeight="1" x14ac:dyDescent="0.25">
      <c r="C566" s="6"/>
      <c r="D566" s="104"/>
    </row>
    <row r="567" spans="3:4" ht="18.75" customHeight="1" x14ac:dyDescent="0.25">
      <c r="C567" s="6"/>
      <c r="D567" s="104"/>
    </row>
    <row r="568" spans="3:4" ht="18.75" customHeight="1" x14ac:dyDescent="0.25">
      <c r="C568" s="6"/>
      <c r="D568" s="104"/>
    </row>
    <row r="569" spans="3:4" ht="18.75" customHeight="1" x14ac:dyDescent="0.25">
      <c r="C569" s="6"/>
      <c r="D569" s="104"/>
    </row>
    <row r="570" spans="3:4" ht="18.75" customHeight="1" x14ac:dyDescent="0.25">
      <c r="C570" s="6"/>
      <c r="D570" s="104"/>
    </row>
    <row r="571" spans="3:4" ht="18.75" customHeight="1" x14ac:dyDescent="0.25">
      <c r="C571" s="6"/>
      <c r="D571" s="104"/>
    </row>
    <row r="572" spans="3:4" ht="18.75" customHeight="1" x14ac:dyDescent="0.25">
      <c r="C572" s="6"/>
      <c r="D572" s="104"/>
    </row>
    <row r="573" spans="3:4" ht="18.75" customHeight="1" x14ac:dyDescent="0.25">
      <c r="C573" s="6"/>
      <c r="D573" s="104"/>
    </row>
    <row r="574" spans="3:4" ht="18.75" customHeight="1" x14ac:dyDescent="0.25">
      <c r="C574" s="6"/>
      <c r="D574" s="104"/>
    </row>
    <row r="575" spans="3:4" ht="18.75" customHeight="1" x14ac:dyDescent="0.25">
      <c r="C575" s="6"/>
      <c r="D575" s="104"/>
    </row>
    <row r="576" spans="3:4" ht="18.75" customHeight="1" x14ac:dyDescent="0.25">
      <c r="C576" s="6"/>
      <c r="D576" s="104"/>
    </row>
    <row r="577" spans="3:4" ht="18.75" customHeight="1" x14ac:dyDescent="0.25">
      <c r="C577" s="6"/>
      <c r="D577" s="104"/>
    </row>
    <row r="578" spans="3:4" ht="18.75" customHeight="1" x14ac:dyDescent="0.25">
      <c r="C578" s="6"/>
      <c r="D578" s="104"/>
    </row>
    <row r="579" spans="3:4" ht="18.75" customHeight="1" x14ac:dyDescent="0.25">
      <c r="C579" s="6"/>
      <c r="D579" s="104"/>
    </row>
    <row r="580" spans="3:4" ht="18.75" customHeight="1" x14ac:dyDescent="0.25">
      <c r="C580" s="6"/>
      <c r="D580" s="104"/>
    </row>
    <row r="581" spans="3:4" ht="18.75" customHeight="1" x14ac:dyDescent="0.25">
      <c r="C581" s="6"/>
      <c r="D581" s="104"/>
    </row>
    <row r="582" spans="3:4" ht="18.75" customHeight="1" x14ac:dyDescent="0.25">
      <c r="C582" s="6"/>
      <c r="D582" s="104"/>
    </row>
    <row r="583" spans="3:4" ht="18.75" customHeight="1" x14ac:dyDescent="0.25">
      <c r="C583" s="6"/>
      <c r="D583" s="104"/>
    </row>
    <row r="584" spans="3:4" ht="18.75" customHeight="1" x14ac:dyDescent="0.25">
      <c r="C584" s="6"/>
      <c r="D584" s="104"/>
    </row>
    <row r="585" spans="3:4" ht="18.75" customHeight="1" x14ac:dyDescent="0.25">
      <c r="C585" s="6"/>
      <c r="D585" s="104"/>
    </row>
    <row r="586" spans="3:4" ht="18.75" customHeight="1" x14ac:dyDescent="0.25">
      <c r="C586" s="6"/>
      <c r="D586" s="104"/>
    </row>
    <row r="587" spans="3:4" ht="18.75" customHeight="1" x14ac:dyDescent="0.25">
      <c r="C587" s="6"/>
      <c r="D587" s="104"/>
    </row>
    <row r="588" spans="3:4" ht="18.75" customHeight="1" x14ac:dyDescent="0.25">
      <c r="C588" s="6"/>
      <c r="D588" s="104"/>
    </row>
    <row r="589" spans="3:4" ht="18.75" customHeight="1" x14ac:dyDescent="0.25">
      <c r="C589" s="6"/>
      <c r="D589" s="104"/>
    </row>
    <row r="590" spans="3:4" ht="18.75" customHeight="1" x14ac:dyDescent="0.25">
      <c r="C590" s="6"/>
      <c r="D590" s="104"/>
    </row>
    <row r="591" spans="3:4" ht="18.75" customHeight="1" x14ac:dyDescent="0.25">
      <c r="C591" s="6"/>
      <c r="D591" s="104"/>
    </row>
    <row r="592" spans="3:4" ht="18.75" customHeight="1" x14ac:dyDescent="0.25">
      <c r="C592" s="6"/>
      <c r="D592" s="104"/>
    </row>
    <row r="593" spans="3:4" ht="18.75" customHeight="1" x14ac:dyDescent="0.25">
      <c r="C593" s="6"/>
      <c r="D593" s="104"/>
    </row>
    <row r="594" spans="3:4" ht="18.75" customHeight="1" x14ac:dyDescent="0.25">
      <c r="C594" s="6"/>
      <c r="D594" s="104"/>
    </row>
    <row r="595" spans="3:4" ht="18.75" customHeight="1" x14ac:dyDescent="0.25">
      <c r="C595" s="6"/>
      <c r="D595" s="104"/>
    </row>
    <row r="596" spans="3:4" ht="18.75" customHeight="1" x14ac:dyDescent="0.25">
      <c r="C596" s="6"/>
      <c r="D596" s="104"/>
    </row>
    <row r="597" spans="3:4" ht="18.75" customHeight="1" x14ac:dyDescent="0.25">
      <c r="C597" s="6"/>
      <c r="D597" s="104"/>
    </row>
    <row r="598" spans="3:4" ht="18.75" customHeight="1" x14ac:dyDescent="0.25">
      <c r="C598" s="6"/>
      <c r="D598" s="104"/>
    </row>
    <row r="599" spans="3:4" ht="18.75" customHeight="1" x14ac:dyDescent="0.25">
      <c r="C599" s="6"/>
      <c r="D599" s="104"/>
    </row>
    <row r="600" spans="3:4" ht="18.75" customHeight="1" x14ac:dyDescent="0.25">
      <c r="C600" s="6"/>
      <c r="D600" s="104"/>
    </row>
    <row r="601" spans="3:4" ht="18.75" customHeight="1" x14ac:dyDescent="0.25">
      <c r="C601" s="6"/>
      <c r="D601" s="104"/>
    </row>
    <row r="602" spans="3:4" ht="18.75" customHeight="1" x14ac:dyDescent="0.25">
      <c r="C602" s="6"/>
      <c r="D602" s="104"/>
    </row>
    <row r="603" spans="3:4" ht="18.75" customHeight="1" x14ac:dyDescent="0.25">
      <c r="C603" s="6"/>
      <c r="D603" s="104"/>
    </row>
    <row r="604" spans="3:4" ht="18.75" customHeight="1" x14ac:dyDescent="0.25">
      <c r="C604" s="6"/>
      <c r="D604" s="104"/>
    </row>
    <row r="605" spans="3:4" ht="18.75" customHeight="1" x14ac:dyDescent="0.25">
      <c r="C605" s="6"/>
      <c r="D605" s="104"/>
    </row>
    <row r="606" spans="3:4" ht="18.75" customHeight="1" x14ac:dyDescent="0.25">
      <c r="C606" s="6"/>
      <c r="D606" s="104"/>
    </row>
    <row r="607" spans="3:4" ht="18.75" customHeight="1" x14ac:dyDescent="0.25">
      <c r="C607" s="6"/>
      <c r="D607" s="104"/>
    </row>
    <row r="608" spans="3:4" ht="18.75" customHeight="1" x14ac:dyDescent="0.25">
      <c r="C608" s="6"/>
      <c r="D608" s="104"/>
    </row>
    <row r="609" spans="3:4" ht="18.75" customHeight="1" x14ac:dyDescent="0.25">
      <c r="C609" s="6"/>
      <c r="D609" s="104"/>
    </row>
    <row r="610" spans="3:4" ht="18.75" customHeight="1" x14ac:dyDescent="0.25">
      <c r="C610" s="6"/>
      <c r="D610" s="104"/>
    </row>
    <row r="611" spans="3:4" ht="18.75" customHeight="1" x14ac:dyDescent="0.25">
      <c r="C611" s="6"/>
      <c r="D611" s="104"/>
    </row>
    <row r="612" spans="3:4" ht="18.75" customHeight="1" x14ac:dyDescent="0.25">
      <c r="C612" s="6"/>
      <c r="D612" s="104"/>
    </row>
    <row r="613" spans="3:4" ht="18.75" customHeight="1" x14ac:dyDescent="0.25">
      <c r="C613" s="6"/>
      <c r="D613" s="104"/>
    </row>
    <row r="614" spans="3:4" ht="18.75" customHeight="1" x14ac:dyDescent="0.25">
      <c r="C614" s="6"/>
      <c r="D614" s="104"/>
    </row>
    <row r="615" spans="3:4" ht="18.75" customHeight="1" x14ac:dyDescent="0.25">
      <c r="C615" s="6"/>
      <c r="D615" s="104"/>
    </row>
    <row r="616" spans="3:4" ht="18.75" customHeight="1" x14ac:dyDescent="0.25">
      <c r="C616" s="6"/>
      <c r="D616" s="104"/>
    </row>
    <row r="617" spans="3:4" ht="18.75" customHeight="1" x14ac:dyDescent="0.25">
      <c r="C617" s="6"/>
      <c r="D617" s="104"/>
    </row>
    <row r="618" spans="3:4" ht="18.75" customHeight="1" x14ac:dyDescent="0.25">
      <c r="C618" s="6"/>
      <c r="D618" s="104"/>
    </row>
    <row r="619" spans="3:4" ht="18.75" customHeight="1" x14ac:dyDescent="0.25">
      <c r="C619" s="6"/>
      <c r="D619" s="104"/>
    </row>
    <row r="620" spans="3:4" ht="18.75" customHeight="1" x14ac:dyDescent="0.25">
      <c r="C620" s="6"/>
      <c r="D620" s="104"/>
    </row>
    <row r="621" spans="3:4" ht="18.75" customHeight="1" x14ac:dyDescent="0.25">
      <c r="C621" s="6"/>
      <c r="D621" s="104"/>
    </row>
    <row r="622" spans="3:4" ht="18.75" customHeight="1" x14ac:dyDescent="0.25">
      <c r="C622" s="6"/>
      <c r="D622" s="104"/>
    </row>
    <row r="623" spans="3:4" ht="18.75" customHeight="1" x14ac:dyDescent="0.25">
      <c r="C623" s="6"/>
      <c r="D623" s="104"/>
    </row>
    <row r="624" spans="3:4" ht="18.75" customHeight="1" x14ac:dyDescent="0.25">
      <c r="C624" s="6"/>
      <c r="D624" s="104"/>
    </row>
    <row r="625" spans="3:4" ht="18.75" customHeight="1" x14ac:dyDescent="0.25">
      <c r="C625" s="6"/>
      <c r="D625" s="104"/>
    </row>
    <row r="626" spans="3:4" ht="18.75" customHeight="1" x14ac:dyDescent="0.25">
      <c r="C626" s="6"/>
      <c r="D626" s="104"/>
    </row>
    <row r="627" spans="3:4" ht="18.75" customHeight="1" x14ac:dyDescent="0.25">
      <c r="C627" s="6"/>
      <c r="D627" s="104"/>
    </row>
    <row r="628" spans="3:4" ht="18.75" customHeight="1" x14ac:dyDescent="0.25">
      <c r="C628" s="6"/>
      <c r="D628" s="104"/>
    </row>
    <row r="629" spans="3:4" ht="18.75" customHeight="1" x14ac:dyDescent="0.25">
      <c r="C629" s="6"/>
      <c r="D629" s="104"/>
    </row>
    <row r="630" spans="3:4" ht="18.75" customHeight="1" x14ac:dyDescent="0.25">
      <c r="C630" s="6"/>
      <c r="D630" s="104"/>
    </row>
    <row r="631" spans="3:4" ht="18.75" customHeight="1" x14ac:dyDescent="0.25">
      <c r="C631" s="6"/>
      <c r="D631" s="104"/>
    </row>
    <row r="632" spans="3:4" ht="18.75" customHeight="1" x14ac:dyDescent="0.25">
      <c r="C632" s="6"/>
      <c r="D632" s="104"/>
    </row>
    <row r="633" spans="3:4" ht="18.75" customHeight="1" x14ac:dyDescent="0.25">
      <c r="C633" s="6"/>
      <c r="D633" s="104"/>
    </row>
    <row r="634" spans="3:4" ht="18.75" customHeight="1" x14ac:dyDescent="0.25">
      <c r="C634" s="6"/>
      <c r="D634" s="104"/>
    </row>
    <row r="635" spans="3:4" ht="18.75" customHeight="1" x14ac:dyDescent="0.25">
      <c r="C635" s="6"/>
      <c r="D635" s="104"/>
    </row>
    <row r="636" spans="3:4" ht="18.75" customHeight="1" x14ac:dyDescent="0.25">
      <c r="C636" s="6"/>
      <c r="D636" s="104"/>
    </row>
    <row r="637" spans="3:4" ht="18.75" customHeight="1" x14ac:dyDescent="0.25">
      <c r="C637" s="6"/>
      <c r="D637" s="104"/>
    </row>
    <row r="638" spans="3:4" ht="18.75" customHeight="1" x14ac:dyDescent="0.25">
      <c r="C638" s="6"/>
      <c r="D638" s="104"/>
    </row>
    <row r="639" spans="3:4" ht="18.75" customHeight="1" x14ac:dyDescent="0.25">
      <c r="C639" s="6"/>
      <c r="D639" s="104"/>
    </row>
    <row r="640" spans="3:4" ht="18.75" customHeight="1" x14ac:dyDescent="0.25">
      <c r="C640" s="6"/>
      <c r="D640" s="104"/>
    </row>
    <row r="641" spans="3:4" ht="18.75" customHeight="1" x14ac:dyDescent="0.25">
      <c r="C641" s="6"/>
      <c r="D641" s="104"/>
    </row>
    <row r="642" spans="3:4" ht="18.75" customHeight="1" x14ac:dyDescent="0.25">
      <c r="C642" s="6"/>
      <c r="D642" s="104"/>
    </row>
    <row r="643" spans="3:4" ht="18.75" customHeight="1" x14ac:dyDescent="0.25">
      <c r="C643" s="6"/>
      <c r="D643" s="104"/>
    </row>
    <row r="644" spans="3:4" ht="18.75" customHeight="1" x14ac:dyDescent="0.25">
      <c r="C644" s="6"/>
      <c r="D644" s="104"/>
    </row>
    <row r="645" spans="3:4" ht="18.75" customHeight="1" x14ac:dyDescent="0.25">
      <c r="C645" s="6"/>
      <c r="D645" s="104"/>
    </row>
    <row r="646" spans="3:4" ht="18.75" customHeight="1" x14ac:dyDescent="0.25">
      <c r="C646" s="6"/>
      <c r="D646" s="104"/>
    </row>
    <row r="647" spans="3:4" ht="18.75" customHeight="1" x14ac:dyDescent="0.25">
      <c r="C647" s="6"/>
      <c r="D647" s="104"/>
    </row>
    <row r="648" spans="3:4" ht="18.75" customHeight="1" x14ac:dyDescent="0.25">
      <c r="C648" s="6"/>
      <c r="D648" s="104"/>
    </row>
    <row r="649" spans="3:4" ht="18.75" customHeight="1" x14ac:dyDescent="0.25">
      <c r="C649" s="6"/>
      <c r="D649" s="104"/>
    </row>
    <row r="650" spans="3:4" ht="18.75" customHeight="1" x14ac:dyDescent="0.25">
      <c r="C650" s="6"/>
      <c r="D650" s="104"/>
    </row>
    <row r="651" spans="3:4" ht="18.75" customHeight="1" x14ac:dyDescent="0.25">
      <c r="C651" s="6"/>
      <c r="D651" s="104"/>
    </row>
    <row r="652" spans="3:4" ht="18.75" customHeight="1" x14ac:dyDescent="0.25">
      <c r="C652" s="6"/>
      <c r="D652" s="104"/>
    </row>
    <row r="653" spans="3:4" ht="18.75" customHeight="1" x14ac:dyDescent="0.25">
      <c r="C653" s="6"/>
      <c r="D653" s="104"/>
    </row>
    <row r="654" spans="3:4" ht="18.75" customHeight="1" x14ac:dyDescent="0.25">
      <c r="C654" s="6"/>
      <c r="D654" s="104"/>
    </row>
    <row r="655" spans="3:4" ht="18.75" customHeight="1" x14ac:dyDescent="0.25">
      <c r="C655" s="6"/>
      <c r="D655" s="104"/>
    </row>
    <row r="656" spans="3:4" ht="18.75" customHeight="1" x14ac:dyDescent="0.25">
      <c r="C656" s="6"/>
      <c r="D656" s="104"/>
    </row>
    <row r="657" spans="3:4" ht="18.75" customHeight="1" x14ac:dyDescent="0.25">
      <c r="C657" s="6"/>
      <c r="D657" s="104"/>
    </row>
    <row r="658" spans="3:4" ht="18.75" customHeight="1" x14ac:dyDescent="0.25">
      <c r="C658" s="6"/>
      <c r="D658" s="104"/>
    </row>
    <row r="659" spans="3:4" ht="18.75" customHeight="1" x14ac:dyDescent="0.25">
      <c r="C659" s="6"/>
      <c r="D659" s="104"/>
    </row>
    <row r="660" spans="3:4" ht="18.75" customHeight="1" x14ac:dyDescent="0.25">
      <c r="C660" s="6"/>
      <c r="D660" s="104"/>
    </row>
    <row r="661" spans="3:4" ht="18.75" customHeight="1" x14ac:dyDescent="0.25">
      <c r="C661" s="6"/>
      <c r="D661" s="104"/>
    </row>
    <row r="662" spans="3:4" ht="18.75" customHeight="1" x14ac:dyDescent="0.25">
      <c r="C662" s="6"/>
      <c r="D662" s="104"/>
    </row>
    <row r="663" spans="3:4" ht="18.75" customHeight="1" x14ac:dyDescent="0.25">
      <c r="C663" s="6"/>
      <c r="D663" s="104"/>
    </row>
    <row r="664" spans="3:4" ht="18.75" customHeight="1" x14ac:dyDescent="0.25">
      <c r="C664" s="6"/>
      <c r="D664" s="104"/>
    </row>
    <row r="665" spans="3:4" ht="18.75" customHeight="1" x14ac:dyDescent="0.25">
      <c r="C665" s="6"/>
      <c r="D665" s="104"/>
    </row>
    <row r="666" spans="3:4" ht="18.75" customHeight="1" x14ac:dyDescent="0.25">
      <c r="C666" s="6"/>
      <c r="D666" s="104"/>
    </row>
    <row r="667" spans="3:4" ht="18.75" customHeight="1" x14ac:dyDescent="0.25">
      <c r="C667" s="6"/>
      <c r="D667" s="104"/>
    </row>
    <row r="668" spans="3:4" ht="18.75" customHeight="1" x14ac:dyDescent="0.25">
      <c r="C668" s="6"/>
      <c r="D668" s="104"/>
    </row>
    <row r="669" spans="3:4" ht="18.75" customHeight="1" x14ac:dyDescent="0.25">
      <c r="C669" s="6"/>
      <c r="D669" s="104"/>
    </row>
    <row r="670" spans="3:4" ht="18.75" customHeight="1" x14ac:dyDescent="0.25">
      <c r="C670" s="6"/>
      <c r="D670" s="104"/>
    </row>
    <row r="671" spans="3:4" ht="18.75" customHeight="1" x14ac:dyDescent="0.25">
      <c r="C671" s="6"/>
      <c r="D671" s="104"/>
    </row>
    <row r="672" spans="3:4" ht="18.75" customHeight="1" x14ac:dyDescent="0.25">
      <c r="C672" s="6"/>
      <c r="D672" s="104"/>
    </row>
    <row r="673" spans="3:4" ht="18.75" customHeight="1" x14ac:dyDescent="0.25">
      <c r="C673" s="6"/>
      <c r="D673" s="104"/>
    </row>
    <row r="674" spans="3:4" ht="18.75" customHeight="1" x14ac:dyDescent="0.25">
      <c r="C674" s="6"/>
      <c r="D674" s="104"/>
    </row>
    <row r="675" spans="3:4" ht="18.75" customHeight="1" x14ac:dyDescent="0.25">
      <c r="C675" s="6"/>
      <c r="D675" s="104"/>
    </row>
    <row r="676" spans="3:4" ht="18.75" customHeight="1" x14ac:dyDescent="0.25">
      <c r="C676" s="6"/>
      <c r="D676" s="104"/>
    </row>
    <row r="677" spans="3:4" ht="18.75" customHeight="1" x14ac:dyDescent="0.25">
      <c r="C677" s="6"/>
      <c r="D677" s="104"/>
    </row>
    <row r="678" spans="3:4" ht="18.75" customHeight="1" x14ac:dyDescent="0.25">
      <c r="C678" s="6"/>
      <c r="D678" s="104"/>
    </row>
    <row r="679" spans="3:4" ht="18.75" customHeight="1" x14ac:dyDescent="0.25">
      <c r="C679" s="6"/>
      <c r="D679" s="104"/>
    </row>
    <row r="680" spans="3:4" ht="18.75" customHeight="1" x14ac:dyDescent="0.25">
      <c r="C680" s="6"/>
      <c r="D680" s="104"/>
    </row>
    <row r="681" spans="3:4" ht="18.75" customHeight="1" x14ac:dyDescent="0.25">
      <c r="C681" s="6"/>
      <c r="D681" s="104"/>
    </row>
    <row r="682" spans="3:4" ht="18.75" customHeight="1" x14ac:dyDescent="0.25">
      <c r="C682" s="6"/>
      <c r="D682" s="104"/>
    </row>
    <row r="683" spans="3:4" ht="18.75" customHeight="1" x14ac:dyDescent="0.25">
      <c r="C683" s="6"/>
      <c r="D683" s="104"/>
    </row>
    <row r="684" spans="3:4" ht="18.75" customHeight="1" x14ac:dyDescent="0.25">
      <c r="C684" s="6"/>
      <c r="D684" s="104"/>
    </row>
    <row r="685" spans="3:4" ht="18.75" customHeight="1" x14ac:dyDescent="0.25">
      <c r="C685" s="6"/>
      <c r="D685" s="104"/>
    </row>
    <row r="686" spans="3:4" ht="18.75" customHeight="1" x14ac:dyDescent="0.25">
      <c r="C686" s="6"/>
      <c r="D686" s="104"/>
    </row>
    <row r="687" spans="3:4" ht="18.75" customHeight="1" x14ac:dyDescent="0.25">
      <c r="C687" s="6"/>
      <c r="D687" s="104"/>
    </row>
    <row r="688" spans="3:4" ht="18.75" customHeight="1" x14ac:dyDescent="0.25">
      <c r="C688" s="6"/>
      <c r="D688" s="104"/>
    </row>
    <row r="689" spans="3:4" ht="18.75" customHeight="1" x14ac:dyDescent="0.25">
      <c r="C689" s="6"/>
      <c r="D689" s="104"/>
    </row>
    <row r="690" spans="3:4" ht="18.75" customHeight="1" x14ac:dyDescent="0.25">
      <c r="C690" s="6"/>
      <c r="D690" s="104"/>
    </row>
    <row r="691" spans="3:4" ht="18.75" customHeight="1" x14ac:dyDescent="0.25">
      <c r="C691" s="6"/>
      <c r="D691" s="104"/>
    </row>
    <row r="692" spans="3:4" ht="18.75" customHeight="1" x14ac:dyDescent="0.25">
      <c r="C692" s="6"/>
      <c r="D692" s="104"/>
    </row>
    <row r="693" spans="3:4" ht="18.75" customHeight="1" x14ac:dyDescent="0.25">
      <c r="C693" s="6"/>
      <c r="D693" s="104"/>
    </row>
    <row r="694" spans="3:4" ht="18.75" customHeight="1" x14ac:dyDescent="0.25">
      <c r="C694" s="6"/>
      <c r="D694" s="104"/>
    </row>
    <row r="695" spans="3:4" ht="18.75" customHeight="1" x14ac:dyDescent="0.25">
      <c r="C695" s="6"/>
      <c r="D695" s="104"/>
    </row>
    <row r="696" spans="3:4" ht="18.75" customHeight="1" x14ac:dyDescent="0.25">
      <c r="C696" s="6"/>
      <c r="D696" s="104"/>
    </row>
    <row r="697" spans="3:4" ht="18.75" customHeight="1" x14ac:dyDescent="0.25">
      <c r="C697" s="6"/>
      <c r="D697" s="104"/>
    </row>
    <row r="698" spans="3:4" ht="18.75" customHeight="1" x14ac:dyDescent="0.25">
      <c r="C698" s="6"/>
      <c r="D698" s="104"/>
    </row>
    <row r="699" spans="3:4" ht="18.75" customHeight="1" x14ac:dyDescent="0.25">
      <c r="C699" s="6"/>
      <c r="D699" s="104"/>
    </row>
    <row r="700" spans="3:4" ht="18.75" customHeight="1" x14ac:dyDescent="0.25">
      <c r="C700" s="6"/>
      <c r="D700" s="104"/>
    </row>
    <row r="701" spans="3:4" ht="18.75" customHeight="1" x14ac:dyDescent="0.25">
      <c r="C701" s="6"/>
      <c r="D701" s="104"/>
    </row>
    <row r="702" spans="3:4" ht="18.75" customHeight="1" x14ac:dyDescent="0.25">
      <c r="C702" s="6"/>
      <c r="D702" s="104"/>
    </row>
    <row r="703" spans="3:4" ht="18.75" customHeight="1" x14ac:dyDescent="0.25">
      <c r="C703" s="6"/>
      <c r="D703" s="104"/>
    </row>
    <row r="704" spans="3:4" ht="18.75" customHeight="1" x14ac:dyDescent="0.25">
      <c r="C704" s="6"/>
      <c r="D704" s="104"/>
    </row>
    <row r="705" spans="3:4" ht="18.75" customHeight="1" x14ac:dyDescent="0.25">
      <c r="C705" s="6"/>
      <c r="D705" s="104"/>
    </row>
    <row r="706" spans="3:4" ht="18.75" customHeight="1" x14ac:dyDescent="0.25">
      <c r="C706" s="6"/>
      <c r="D706" s="104"/>
    </row>
    <row r="707" spans="3:4" ht="18.75" customHeight="1" x14ac:dyDescent="0.25">
      <c r="C707" s="6"/>
      <c r="D707" s="104"/>
    </row>
    <row r="708" spans="3:4" ht="18.75" customHeight="1" x14ac:dyDescent="0.25">
      <c r="C708" s="6"/>
      <c r="D708" s="104"/>
    </row>
    <row r="709" spans="3:4" ht="18.75" customHeight="1" x14ac:dyDescent="0.25">
      <c r="C709" s="6"/>
      <c r="D709" s="104"/>
    </row>
    <row r="710" spans="3:4" ht="18.75" customHeight="1" x14ac:dyDescent="0.25">
      <c r="C710" s="6"/>
      <c r="D710" s="104"/>
    </row>
    <row r="711" spans="3:4" ht="18.75" customHeight="1" x14ac:dyDescent="0.25">
      <c r="C711" s="6"/>
      <c r="D711" s="104"/>
    </row>
    <row r="712" spans="3:4" ht="18.75" customHeight="1" x14ac:dyDescent="0.25">
      <c r="C712" s="6"/>
      <c r="D712" s="104"/>
    </row>
    <row r="713" spans="3:4" ht="18.75" customHeight="1" x14ac:dyDescent="0.25">
      <c r="C713" s="6"/>
      <c r="D713" s="104"/>
    </row>
    <row r="714" spans="3:4" ht="18.75" customHeight="1" x14ac:dyDescent="0.25">
      <c r="C714" s="6"/>
      <c r="D714" s="104"/>
    </row>
    <row r="715" spans="3:4" ht="18.75" customHeight="1" x14ac:dyDescent="0.25">
      <c r="C715" s="6"/>
      <c r="D715" s="104"/>
    </row>
    <row r="716" spans="3:4" ht="18.75" customHeight="1" x14ac:dyDescent="0.25">
      <c r="C716" s="6"/>
      <c r="D716" s="104"/>
    </row>
    <row r="717" spans="3:4" ht="18.75" customHeight="1" x14ac:dyDescent="0.25">
      <c r="C717" s="6"/>
      <c r="D717" s="104"/>
    </row>
    <row r="718" spans="3:4" ht="18.75" customHeight="1" x14ac:dyDescent="0.25">
      <c r="C718" s="6"/>
      <c r="D718" s="104"/>
    </row>
    <row r="719" spans="3:4" ht="18.75" customHeight="1" x14ac:dyDescent="0.25">
      <c r="C719" s="6"/>
      <c r="D719" s="104"/>
    </row>
    <row r="720" spans="3:4" ht="18.75" customHeight="1" x14ac:dyDescent="0.25">
      <c r="C720" s="6"/>
      <c r="D720" s="104"/>
    </row>
    <row r="721" spans="3:4" ht="18.75" customHeight="1" x14ac:dyDescent="0.25">
      <c r="C721" s="6"/>
      <c r="D721" s="104"/>
    </row>
    <row r="722" spans="3:4" ht="18.75" customHeight="1" x14ac:dyDescent="0.25">
      <c r="C722" s="6"/>
      <c r="D722" s="104"/>
    </row>
    <row r="723" spans="3:4" ht="18.75" customHeight="1" x14ac:dyDescent="0.25">
      <c r="C723" s="6"/>
      <c r="D723" s="104"/>
    </row>
    <row r="724" spans="3:4" ht="18.75" customHeight="1" x14ac:dyDescent="0.25">
      <c r="C724" s="6"/>
      <c r="D724" s="104"/>
    </row>
    <row r="725" spans="3:4" ht="18.75" customHeight="1" x14ac:dyDescent="0.25">
      <c r="C725" s="6"/>
      <c r="D725" s="104"/>
    </row>
    <row r="726" spans="3:4" ht="18.75" customHeight="1" x14ac:dyDescent="0.25">
      <c r="C726" s="6"/>
      <c r="D726" s="104"/>
    </row>
    <row r="727" spans="3:4" ht="18.75" customHeight="1" x14ac:dyDescent="0.25">
      <c r="C727" s="6"/>
      <c r="D727" s="104"/>
    </row>
    <row r="728" spans="3:4" ht="18.75" customHeight="1" x14ac:dyDescent="0.25">
      <c r="C728" s="6"/>
      <c r="D728" s="104"/>
    </row>
    <row r="729" spans="3:4" ht="18.75" customHeight="1" x14ac:dyDescent="0.25">
      <c r="C729" s="6"/>
      <c r="D729" s="104"/>
    </row>
    <row r="730" spans="3:4" ht="18.75" customHeight="1" x14ac:dyDescent="0.25">
      <c r="C730" s="6"/>
      <c r="D730" s="104"/>
    </row>
    <row r="731" spans="3:4" ht="18.75" customHeight="1" x14ac:dyDescent="0.25">
      <c r="C731" s="6"/>
      <c r="D731" s="104"/>
    </row>
    <row r="732" spans="3:4" ht="18.75" customHeight="1" x14ac:dyDescent="0.25">
      <c r="C732" s="6"/>
      <c r="D732" s="104"/>
    </row>
    <row r="733" spans="3:4" ht="18.75" customHeight="1" x14ac:dyDescent="0.25">
      <c r="C733" s="6"/>
      <c r="D733" s="104"/>
    </row>
    <row r="734" spans="3:4" ht="18.75" customHeight="1" x14ac:dyDescent="0.25">
      <c r="C734" s="6"/>
      <c r="D734" s="104"/>
    </row>
    <row r="735" spans="3:4" ht="18.75" customHeight="1" x14ac:dyDescent="0.25">
      <c r="C735" s="6"/>
      <c r="D735" s="104"/>
    </row>
    <row r="736" spans="3:4" ht="18.75" customHeight="1" x14ac:dyDescent="0.25">
      <c r="C736" s="6"/>
      <c r="D736" s="104"/>
    </row>
    <row r="737" spans="3:4" ht="18.75" customHeight="1" x14ac:dyDescent="0.25">
      <c r="C737" s="6"/>
      <c r="D737" s="104"/>
    </row>
    <row r="738" spans="3:4" ht="18.75" customHeight="1" x14ac:dyDescent="0.25">
      <c r="C738" s="6"/>
      <c r="D738" s="104"/>
    </row>
    <row r="739" spans="3:4" ht="18.75" customHeight="1" x14ac:dyDescent="0.25">
      <c r="C739" s="6"/>
      <c r="D739" s="104"/>
    </row>
    <row r="740" spans="3:4" ht="18.75" customHeight="1" x14ac:dyDescent="0.25">
      <c r="C740" s="6"/>
      <c r="D740" s="104"/>
    </row>
    <row r="741" spans="3:4" ht="18.75" customHeight="1" x14ac:dyDescent="0.25">
      <c r="C741" s="6"/>
      <c r="D741" s="104"/>
    </row>
    <row r="742" spans="3:4" ht="18.75" customHeight="1" x14ac:dyDescent="0.25">
      <c r="C742" s="6"/>
      <c r="D742" s="104"/>
    </row>
    <row r="743" spans="3:4" ht="18.75" customHeight="1" x14ac:dyDescent="0.25">
      <c r="C743" s="6"/>
      <c r="D743" s="104"/>
    </row>
    <row r="744" spans="3:4" ht="18.75" customHeight="1" x14ac:dyDescent="0.25">
      <c r="C744" s="6"/>
      <c r="D744" s="104"/>
    </row>
    <row r="745" spans="3:4" ht="18.75" customHeight="1" x14ac:dyDescent="0.25">
      <c r="C745" s="6"/>
      <c r="D745" s="104"/>
    </row>
    <row r="746" spans="3:4" ht="18.75" customHeight="1" x14ac:dyDescent="0.25">
      <c r="C746" s="6"/>
      <c r="D746" s="104"/>
    </row>
    <row r="747" spans="3:4" ht="18.75" customHeight="1" x14ac:dyDescent="0.25">
      <c r="C747" s="6"/>
      <c r="D747" s="104"/>
    </row>
    <row r="748" spans="3:4" ht="18.75" customHeight="1" x14ac:dyDescent="0.25">
      <c r="C748" s="6"/>
      <c r="D748" s="104"/>
    </row>
    <row r="749" spans="3:4" ht="18.75" customHeight="1" x14ac:dyDescent="0.25">
      <c r="C749" s="6"/>
      <c r="D749" s="104"/>
    </row>
    <row r="750" spans="3:4" ht="18.75" customHeight="1" x14ac:dyDescent="0.25">
      <c r="C750" s="6"/>
      <c r="D750" s="104"/>
    </row>
    <row r="751" spans="3:4" ht="18.75" customHeight="1" x14ac:dyDescent="0.25">
      <c r="C751" s="6"/>
      <c r="D751" s="104"/>
    </row>
    <row r="752" spans="3:4" ht="18.75" customHeight="1" x14ac:dyDescent="0.25">
      <c r="C752" s="6"/>
      <c r="D752" s="104"/>
    </row>
    <row r="753" spans="3:4" ht="18.75" customHeight="1" x14ac:dyDescent="0.25">
      <c r="C753" s="6"/>
      <c r="D753" s="104"/>
    </row>
    <row r="754" spans="3:4" ht="18.75" customHeight="1" x14ac:dyDescent="0.25">
      <c r="C754" s="6"/>
      <c r="D754" s="104"/>
    </row>
    <row r="755" spans="3:4" ht="18.75" customHeight="1" x14ac:dyDescent="0.25">
      <c r="C755" s="6"/>
      <c r="D755" s="104"/>
    </row>
    <row r="756" spans="3:4" ht="18.75" customHeight="1" x14ac:dyDescent="0.25">
      <c r="C756" s="6"/>
      <c r="D756" s="104"/>
    </row>
    <row r="757" spans="3:4" ht="18.75" customHeight="1" x14ac:dyDescent="0.25">
      <c r="C757" s="6"/>
      <c r="D757" s="104"/>
    </row>
    <row r="758" spans="3:4" ht="18.75" customHeight="1" x14ac:dyDescent="0.25">
      <c r="C758" s="6"/>
      <c r="D758" s="104"/>
    </row>
    <row r="759" spans="3:4" ht="18.75" customHeight="1" x14ac:dyDescent="0.25">
      <c r="C759" s="6"/>
      <c r="D759" s="104"/>
    </row>
    <row r="760" spans="3:4" ht="18.75" customHeight="1" x14ac:dyDescent="0.25">
      <c r="C760" s="6"/>
      <c r="D760" s="104"/>
    </row>
    <row r="761" spans="3:4" ht="18.75" customHeight="1" x14ac:dyDescent="0.25">
      <c r="C761" s="6"/>
      <c r="D761" s="104"/>
    </row>
    <row r="762" spans="3:4" ht="18.75" customHeight="1" x14ac:dyDescent="0.25">
      <c r="C762" s="6"/>
      <c r="D762" s="104"/>
    </row>
    <row r="763" spans="3:4" ht="18.75" customHeight="1" x14ac:dyDescent="0.25">
      <c r="C763" s="6"/>
      <c r="D763" s="104"/>
    </row>
    <row r="764" spans="3:4" ht="18.75" customHeight="1" x14ac:dyDescent="0.25">
      <c r="C764" s="6"/>
      <c r="D764" s="104"/>
    </row>
    <row r="765" spans="3:4" ht="18.75" customHeight="1" x14ac:dyDescent="0.25">
      <c r="C765" s="6"/>
      <c r="D765" s="104"/>
    </row>
    <row r="766" spans="3:4" ht="18.75" customHeight="1" x14ac:dyDescent="0.25">
      <c r="C766" s="6"/>
      <c r="D766" s="104"/>
    </row>
    <row r="767" spans="3:4" ht="18.75" customHeight="1" x14ac:dyDescent="0.25">
      <c r="C767" s="6"/>
      <c r="D767" s="104"/>
    </row>
    <row r="768" spans="3:4" ht="18.75" customHeight="1" x14ac:dyDescent="0.25">
      <c r="C768" s="6"/>
      <c r="D768" s="104"/>
    </row>
    <row r="769" spans="3:4" ht="18.75" customHeight="1" x14ac:dyDescent="0.25">
      <c r="C769" s="6"/>
      <c r="D769" s="104"/>
    </row>
    <row r="770" spans="3:4" ht="18.75" customHeight="1" x14ac:dyDescent="0.25">
      <c r="C770" s="6"/>
      <c r="D770" s="104"/>
    </row>
    <row r="771" spans="3:4" ht="18.75" customHeight="1" x14ac:dyDescent="0.25">
      <c r="C771" s="6"/>
      <c r="D771" s="104"/>
    </row>
    <row r="772" spans="3:4" ht="18.75" customHeight="1" x14ac:dyDescent="0.25">
      <c r="C772" s="6"/>
      <c r="D772" s="104"/>
    </row>
    <row r="773" spans="3:4" ht="18.75" customHeight="1" x14ac:dyDescent="0.25">
      <c r="C773" s="6"/>
      <c r="D773" s="104"/>
    </row>
    <row r="774" spans="3:4" ht="18.75" customHeight="1" x14ac:dyDescent="0.25">
      <c r="C774" s="6"/>
      <c r="D774" s="104"/>
    </row>
    <row r="775" spans="3:4" ht="18.75" customHeight="1" x14ac:dyDescent="0.25">
      <c r="C775" s="6"/>
      <c r="D775" s="104"/>
    </row>
    <row r="776" spans="3:4" ht="18.75" customHeight="1" x14ac:dyDescent="0.25">
      <c r="C776" s="6"/>
      <c r="D776" s="104"/>
    </row>
    <row r="777" spans="3:4" ht="18.75" customHeight="1" x14ac:dyDescent="0.25">
      <c r="C777" s="6"/>
      <c r="D777" s="104"/>
    </row>
    <row r="778" spans="3:4" ht="18.75" customHeight="1" x14ac:dyDescent="0.25">
      <c r="C778" s="6"/>
      <c r="D778" s="104"/>
    </row>
    <row r="779" spans="3:4" ht="18.75" customHeight="1" x14ac:dyDescent="0.25">
      <c r="C779" s="6"/>
      <c r="D779" s="104"/>
    </row>
    <row r="780" spans="3:4" ht="18.75" customHeight="1" x14ac:dyDescent="0.25">
      <c r="C780" s="6"/>
      <c r="D780" s="104"/>
    </row>
    <row r="781" spans="3:4" ht="18.75" customHeight="1" x14ac:dyDescent="0.25">
      <c r="C781" s="6"/>
      <c r="D781" s="104"/>
    </row>
    <row r="782" spans="3:4" ht="18.75" customHeight="1" x14ac:dyDescent="0.25">
      <c r="C782" s="6"/>
      <c r="D782" s="104"/>
    </row>
    <row r="783" spans="3:4" ht="18.75" customHeight="1" x14ac:dyDescent="0.25">
      <c r="C783" s="6"/>
      <c r="D783" s="104"/>
    </row>
    <row r="784" spans="3:4" ht="18.75" customHeight="1" x14ac:dyDescent="0.25">
      <c r="C784" s="6"/>
      <c r="D784" s="104"/>
    </row>
    <row r="785" spans="3:4" ht="18.75" customHeight="1" x14ac:dyDescent="0.25">
      <c r="C785" s="6"/>
      <c r="D785" s="104"/>
    </row>
    <row r="786" spans="3:4" ht="18.75" customHeight="1" x14ac:dyDescent="0.25">
      <c r="C786" s="6"/>
      <c r="D786" s="104"/>
    </row>
    <row r="787" spans="3:4" ht="18.75" customHeight="1" x14ac:dyDescent="0.25">
      <c r="C787" s="6"/>
      <c r="D787" s="104"/>
    </row>
    <row r="788" spans="3:4" ht="18.75" customHeight="1" x14ac:dyDescent="0.25">
      <c r="C788" s="6"/>
      <c r="D788" s="104"/>
    </row>
    <row r="789" spans="3:4" ht="18.75" customHeight="1" x14ac:dyDescent="0.25">
      <c r="C789" s="6"/>
      <c r="D789" s="104"/>
    </row>
    <row r="790" spans="3:4" ht="18.75" customHeight="1" x14ac:dyDescent="0.25">
      <c r="C790" s="6"/>
      <c r="D790" s="104"/>
    </row>
    <row r="791" spans="3:4" ht="18.75" customHeight="1" x14ac:dyDescent="0.25">
      <c r="C791" s="6"/>
      <c r="D791" s="104"/>
    </row>
    <row r="792" spans="3:4" ht="18.75" customHeight="1" x14ac:dyDescent="0.25">
      <c r="C792" s="6"/>
      <c r="D792" s="104"/>
    </row>
    <row r="793" spans="3:4" ht="18.75" customHeight="1" x14ac:dyDescent="0.25">
      <c r="C793" s="6"/>
      <c r="D793" s="104"/>
    </row>
    <row r="794" spans="3:4" ht="18.75" customHeight="1" x14ac:dyDescent="0.25">
      <c r="C794" s="6"/>
      <c r="D794" s="104"/>
    </row>
    <row r="795" spans="3:4" ht="18.75" customHeight="1" x14ac:dyDescent="0.25">
      <c r="C795" s="6"/>
      <c r="D795" s="104"/>
    </row>
    <row r="796" spans="3:4" ht="18.75" customHeight="1" x14ac:dyDescent="0.25">
      <c r="C796" s="6"/>
      <c r="D796" s="104"/>
    </row>
    <row r="797" spans="3:4" ht="18.75" customHeight="1" x14ac:dyDescent="0.25">
      <c r="C797" s="6"/>
      <c r="D797" s="104"/>
    </row>
    <row r="798" spans="3:4" ht="18.75" customHeight="1" x14ac:dyDescent="0.25">
      <c r="C798" s="6"/>
      <c r="D798" s="104"/>
    </row>
    <row r="799" spans="3:4" ht="18.75" customHeight="1" x14ac:dyDescent="0.25">
      <c r="C799" s="6"/>
      <c r="D799" s="104"/>
    </row>
    <row r="800" spans="3:4" ht="18.75" customHeight="1" x14ac:dyDescent="0.25">
      <c r="C800" s="6"/>
      <c r="D800" s="104"/>
    </row>
    <row r="801" spans="3:4" ht="18.75" customHeight="1" x14ac:dyDescent="0.25">
      <c r="C801" s="6"/>
      <c r="D801" s="104"/>
    </row>
    <row r="802" spans="3:4" ht="18.75" customHeight="1" x14ac:dyDescent="0.25">
      <c r="C802" s="6"/>
      <c r="D802" s="104"/>
    </row>
    <row r="803" spans="3:4" ht="18.75" customHeight="1" x14ac:dyDescent="0.25">
      <c r="C803" s="6"/>
      <c r="D803" s="104"/>
    </row>
    <row r="804" spans="3:4" ht="18.75" customHeight="1" x14ac:dyDescent="0.25">
      <c r="C804" s="6"/>
      <c r="D804" s="104"/>
    </row>
    <row r="805" spans="3:4" ht="18.75" customHeight="1" x14ac:dyDescent="0.25">
      <c r="C805" s="6"/>
      <c r="D805" s="104"/>
    </row>
    <row r="806" spans="3:4" ht="18.75" customHeight="1" x14ac:dyDescent="0.25">
      <c r="C806" s="6"/>
      <c r="D806" s="104"/>
    </row>
    <row r="807" spans="3:4" ht="18.75" customHeight="1" x14ac:dyDescent="0.25">
      <c r="C807" s="6"/>
      <c r="D807" s="104"/>
    </row>
    <row r="808" spans="3:4" ht="18.75" customHeight="1" x14ac:dyDescent="0.25">
      <c r="C808" s="6"/>
      <c r="D808" s="104"/>
    </row>
    <row r="809" spans="3:4" ht="18.75" customHeight="1" x14ac:dyDescent="0.25">
      <c r="C809" s="6"/>
      <c r="D809" s="104"/>
    </row>
    <row r="810" spans="3:4" ht="18.75" customHeight="1" x14ac:dyDescent="0.25">
      <c r="C810" s="6"/>
      <c r="D810" s="104"/>
    </row>
    <row r="811" spans="3:4" ht="18.75" customHeight="1" x14ac:dyDescent="0.25">
      <c r="C811" s="6"/>
      <c r="D811" s="104"/>
    </row>
    <row r="812" spans="3:4" ht="18.75" customHeight="1" x14ac:dyDescent="0.25">
      <c r="C812" s="6"/>
      <c r="D812" s="104"/>
    </row>
    <row r="813" spans="3:4" ht="18.75" customHeight="1" x14ac:dyDescent="0.25">
      <c r="C813" s="6"/>
      <c r="D813" s="104"/>
    </row>
    <row r="814" spans="3:4" ht="18.75" customHeight="1" x14ac:dyDescent="0.25">
      <c r="C814" s="6"/>
      <c r="D814" s="104"/>
    </row>
    <row r="815" spans="3:4" ht="18.75" customHeight="1" x14ac:dyDescent="0.25">
      <c r="C815" s="6"/>
      <c r="D815" s="104"/>
    </row>
    <row r="816" spans="3:4" ht="18.75" customHeight="1" x14ac:dyDescent="0.25">
      <c r="C816" s="6"/>
      <c r="D816" s="104"/>
    </row>
    <row r="817" spans="3:4" ht="18.75" customHeight="1" x14ac:dyDescent="0.25">
      <c r="C817" s="6"/>
      <c r="D817" s="104"/>
    </row>
    <row r="818" spans="3:4" ht="18.75" customHeight="1" x14ac:dyDescent="0.25">
      <c r="C818" s="6"/>
      <c r="D818" s="104"/>
    </row>
    <row r="819" spans="3:4" ht="18.75" customHeight="1" x14ac:dyDescent="0.25">
      <c r="C819" s="6"/>
      <c r="D819" s="104"/>
    </row>
    <row r="820" spans="3:4" ht="18.75" customHeight="1" x14ac:dyDescent="0.25">
      <c r="C820" s="6"/>
      <c r="D820" s="104"/>
    </row>
    <row r="821" spans="3:4" ht="18.75" customHeight="1" x14ac:dyDescent="0.25">
      <c r="C821" s="6"/>
      <c r="D821" s="104"/>
    </row>
    <row r="822" spans="3:4" ht="18.75" customHeight="1" x14ac:dyDescent="0.25">
      <c r="C822" s="6"/>
      <c r="D822" s="104"/>
    </row>
    <row r="823" spans="3:4" ht="18.75" customHeight="1" x14ac:dyDescent="0.25">
      <c r="C823" s="6"/>
      <c r="D823" s="104"/>
    </row>
    <row r="824" spans="3:4" ht="18.75" customHeight="1" x14ac:dyDescent="0.25">
      <c r="C824" s="6"/>
      <c r="D824" s="104"/>
    </row>
    <row r="825" spans="3:4" ht="18.75" customHeight="1" x14ac:dyDescent="0.25">
      <c r="C825" s="6"/>
      <c r="D825" s="104"/>
    </row>
    <row r="826" spans="3:4" ht="18.75" customHeight="1" x14ac:dyDescent="0.25">
      <c r="C826" s="6"/>
      <c r="D826" s="104"/>
    </row>
    <row r="827" spans="3:4" ht="18.75" customHeight="1" x14ac:dyDescent="0.25">
      <c r="C827" s="6"/>
      <c r="D827" s="104"/>
    </row>
    <row r="828" spans="3:4" ht="18.75" customHeight="1" x14ac:dyDescent="0.25">
      <c r="C828" s="6"/>
      <c r="D828" s="104"/>
    </row>
    <row r="829" spans="3:4" ht="18.75" customHeight="1" x14ac:dyDescent="0.25">
      <c r="C829" s="6"/>
      <c r="D829" s="104"/>
    </row>
    <row r="830" spans="3:4" ht="18.75" customHeight="1" x14ac:dyDescent="0.25">
      <c r="C830" s="6"/>
      <c r="D830" s="104"/>
    </row>
    <row r="831" spans="3:4" ht="18.75" customHeight="1" x14ac:dyDescent="0.25">
      <c r="C831" s="6"/>
      <c r="D831" s="104"/>
    </row>
    <row r="832" spans="3:4" ht="18.75" customHeight="1" x14ac:dyDescent="0.25">
      <c r="C832" s="6"/>
      <c r="D832" s="104"/>
    </row>
    <row r="833" spans="3:4" ht="18.75" customHeight="1" x14ac:dyDescent="0.25">
      <c r="C833" s="6"/>
      <c r="D833" s="104"/>
    </row>
    <row r="834" spans="3:4" ht="18.75" customHeight="1" x14ac:dyDescent="0.25">
      <c r="C834" s="6"/>
      <c r="D834" s="104"/>
    </row>
    <row r="835" spans="3:4" ht="18.75" customHeight="1" x14ac:dyDescent="0.25">
      <c r="C835" s="6"/>
      <c r="D835" s="104"/>
    </row>
    <row r="836" spans="3:4" ht="18.75" customHeight="1" x14ac:dyDescent="0.25">
      <c r="C836" s="6"/>
      <c r="D836" s="104"/>
    </row>
    <row r="837" spans="3:4" ht="18.75" customHeight="1" x14ac:dyDescent="0.25">
      <c r="C837" s="6"/>
      <c r="D837" s="104"/>
    </row>
    <row r="838" spans="3:4" ht="18.75" customHeight="1" x14ac:dyDescent="0.25">
      <c r="C838" s="6"/>
      <c r="D838" s="104"/>
    </row>
    <row r="839" spans="3:4" ht="18.75" customHeight="1" x14ac:dyDescent="0.25">
      <c r="C839" s="6"/>
      <c r="D839" s="104"/>
    </row>
    <row r="840" spans="3:4" ht="18.75" customHeight="1" x14ac:dyDescent="0.25">
      <c r="C840" s="6"/>
      <c r="D840" s="104"/>
    </row>
    <row r="841" spans="3:4" ht="18.75" customHeight="1" x14ac:dyDescent="0.25">
      <c r="C841" s="6"/>
      <c r="D841" s="104"/>
    </row>
    <row r="842" spans="3:4" ht="18.75" customHeight="1" x14ac:dyDescent="0.25">
      <c r="C842" s="6"/>
      <c r="D842" s="104"/>
    </row>
    <row r="843" spans="3:4" ht="18.75" customHeight="1" x14ac:dyDescent="0.25">
      <c r="C843" s="6"/>
      <c r="D843" s="104"/>
    </row>
    <row r="844" spans="3:4" ht="18.75" customHeight="1" x14ac:dyDescent="0.25">
      <c r="C844" s="6"/>
      <c r="D844" s="104"/>
    </row>
    <row r="845" spans="3:4" ht="18.75" customHeight="1" x14ac:dyDescent="0.25">
      <c r="C845" s="6"/>
      <c r="D845" s="104"/>
    </row>
    <row r="846" spans="3:4" ht="18.75" customHeight="1" x14ac:dyDescent="0.25">
      <c r="C846" s="6"/>
      <c r="D846" s="104"/>
    </row>
    <row r="847" spans="3:4" ht="18.75" customHeight="1" x14ac:dyDescent="0.25">
      <c r="C847" s="6"/>
      <c r="D847" s="104"/>
    </row>
    <row r="848" spans="3:4" ht="18.75" customHeight="1" x14ac:dyDescent="0.25">
      <c r="C848" s="6"/>
      <c r="D848" s="104"/>
    </row>
    <row r="849" spans="3:4" ht="18.75" customHeight="1" x14ac:dyDescent="0.25">
      <c r="C849" s="6"/>
      <c r="D849" s="104"/>
    </row>
    <row r="850" spans="3:4" ht="18.75" customHeight="1" x14ac:dyDescent="0.25">
      <c r="C850" s="6"/>
      <c r="D850" s="104"/>
    </row>
    <row r="851" spans="3:4" ht="18.75" customHeight="1" x14ac:dyDescent="0.25">
      <c r="C851" s="6"/>
      <c r="D851" s="104"/>
    </row>
    <row r="852" spans="3:4" ht="18.75" customHeight="1" x14ac:dyDescent="0.25">
      <c r="C852" s="6"/>
      <c r="D852" s="104"/>
    </row>
    <row r="853" spans="3:4" ht="18.75" customHeight="1" x14ac:dyDescent="0.25">
      <c r="C853" s="6"/>
      <c r="D853" s="104"/>
    </row>
    <row r="854" spans="3:4" ht="18.75" customHeight="1" x14ac:dyDescent="0.25">
      <c r="C854" s="6"/>
      <c r="D854" s="104"/>
    </row>
    <row r="855" spans="3:4" ht="18.75" customHeight="1" x14ac:dyDescent="0.25">
      <c r="C855" s="6"/>
      <c r="D855" s="104"/>
    </row>
    <row r="856" spans="3:4" ht="18.75" customHeight="1" x14ac:dyDescent="0.25">
      <c r="C856" s="6"/>
      <c r="D856" s="104"/>
    </row>
    <row r="857" spans="3:4" ht="18.75" customHeight="1" x14ac:dyDescent="0.25">
      <c r="C857" s="6"/>
      <c r="D857" s="104"/>
    </row>
    <row r="858" spans="3:4" ht="18.75" customHeight="1" x14ac:dyDescent="0.25">
      <c r="C858" s="6"/>
      <c r="D858" s="104"/>
    </row>
    <row r="859" spans="3:4" ht="18.75" customHeight="1" x14ac:dyDescent="0.25">
      <c r="C859" s="6"/>
      <c r="D859" s="104"/>
    </row>
    <row r="860" spans="3:4" ht="18.75" customHeight="1" x14ac:dyDescent="0.25">
      <c r="C860" s="6"/>
      <c r="D860" s="104"/>
    </row>
    <row r="861" spans="3:4" ht="18.75" customHeight="1" x14ac:dyDescent="0.25">
      <c r="C861" s="6"/>
      <c r="D861" s="104"/>
    </row>
    <row r="862" spans="3:4" ht="18.75" customHeight="1" x14ac:dyDescent="0.25">
      <c r="C862" s="6"/>
      <c r="D862" s="104"/>
    </row>
    <row r="863" spans="3:4" ht="18.75" customHeight="1" x14ac:dyDescent="0.25">
      <c r="C863" s="6"/>
      <c r="D863" s="104"/>
    </row>
    <row r="864" spans="3:4" ht="18.75" customHeight="1" x14ac:dyDescent="0.25">
      <c r="C864" s="6"/>
      <c r="D864" s="104"/>
    </row>
    <row r="865" spans="3:4" ht="18.75" customHeight="1" x14ac:dyDescent="0.25">
      <c r="C865" s="6"/>
      <c r="D865" s="104"/>
    </row>
    <row r="866" spans="3:4" ht="18.75" customHeight="1" x14ac:dyDescent="0.25">
      <c r="C866" s="6"/>
      <c r="D866" s="104"/>
    </row>
    <row r="867" spans="3:4" ht="18.75" customHeight="1" x14ac:dyDescent="0.25">
      <c r="C867" s="6"/>
      <c r="D867" s="104"/>
    </row>
    <row r="868" spans="3:4" ht="18.75" customHeight="1" x14ac:dyDescent="0.25">
      <c r="C868" s="6"/>
      <c r="D868" s="104"/>
    </row>
    <row r="869" spans="3:4" ht="18.75" customHeight="1" x14ac:dyDescent="0.25">
      <c r="C869" s="6"/>
      <c r="D869" s="104"/>
    </row>
    <row r="870" spans="3:4" ht="18.75" customHeight="1" x14ac:dyDescent="0.25">
      <c r="C870" s="6"/>
      <c r="D870" s="104"/>
    </row>
    <row r="871" spans="3:4" ht="18.75" customHeight="1" x14ac:dyDescent="0.25">
      <c r="C871" s="6"/>
      <c r="D871" s="104"/>
    </row>
    <row r="872" spans="3:4" ht="18.75" customHeight="1" x14ac:dyDescent="0.25">
      <c r="C872" s="6"/>
      <c r="D872" s="104"/>
    </row>
    <row r="873" spans="3:4" ht="18.75" customHeight="1" x14ac:dyDescent="0.25">
      <c r="C873" s="6"/>
      <c r="D873" s="104"/>
    </row>
    <row r="874" spans="3:4" ht="18.75" customHeight="1" x14ac:dyDescent="0.25">
      <c r="C874" s="6"/>
      <c r="D874" s="104"/>
    </row>
    <row r="875" spans="3:4" ht="18.75" customHeight="1" x14ac:dyDescent="0.25">
      <c r="C875" s="6"/>
      <c r="D875" s="104"/>
    </row>
    <row r="876" spans="3:4" ht="18.75" customHeight="1" x14ac:dyDescent="0.25">
      <c r="C876" s="6"/>
      <c r="D876" s="104"/>
    </row>
    <row r="877" spans="3:4" ht="18.75" customHeight="1" x14ac:dyDescent="0.25">
      <c r="C877" s="6"/>
      <c r="D877" s="104"/>
    </row>
    <row r="878" spans="3:4" ht="18.75" customHeight="1" x14ac:dyDescent="0.25">
      <c r="C878" s="6"/>
      <c r="D878" s="104"/>
    </row>
    <row r="879" spans="3:4" ht="18.75" customHeight="1" x14ac:dyDescent="0.25">
      <c r="C879" s="6"/>
      <c r="D879" s="104"/>
    </row>
    <row r="880" spans="3:4" ht="18.75" customHeight="1" x14ac:dyDescent="0.25">
      <c r="C880" s="6"/>
      <c r="D880" s="104"/>
    </row>
    <row r="881" spans="3:4" ht="18.75" customHeight="1" x14ac:dyDescent="0.25">
      <c r="C881" s="6"/>
      <c r="D881" s="104"/>
    </row>
    <row r="882" spans="3:4" ht="18.75" customHeight="1" x14ac:dyDescent="0.25">
      <c r="C882" s="6"/>
      <c r="D882" s="104"/>
    </row>
    <row r="883" spans="3:4" ht="18.75" customHeight="1" x14ac:dyDescent="0.25">
      <c r="C883" s="6"/>
      <c r="D883" s="104"/>
    </row>
    <row r="884" spans="3:4" ht="18.75" customHeight="1" x14ac:dyDescent="0.25">
      <c r="C884" s="6"/>
      <c r="D884" s="104"/>
    </row>
    <row r="885" spans="3:4" ht="18.75" customHeight="1" x14ac:dyDescent="0.25">
      <c r="C885" s="6"/>
      <c r="D885" s="104"/>
    </row>
    <row r="886" spans="3:4" ht="18.75" customHeight="1" x14ac:dyDescent="0.25">
      <c r="C886" s="6"/>
      <c r="D886" s="104"/>
    </row>
    <row r="887" spans="3:4" ht="18.75" customHeight="1" x14ac:dyDescent="0.25">
      <c r="C887" s="6"/>
      <c r="D887" s="104"/>
    </row>
    <row r="888" spans="3:4" ht="18.75" customHeight="1" x14ac:dyDescent="0.25">
      <c r="C888" s="6"/>
      <c r="D888" s="104"/>
    </row>
    <row r="889" spans="3:4" ht="18.75" customHeight="1" x14ac:dyDescent="0.25">
      <c r="C889" s="6"/>
      <c r="D889" s="104"/>
    </row>
    <row r="890" spans="3:4" ht="18.75" customHeight="1" x14ac:dyDescent="0.25">
      <c r="C890" s="6"/>
      <c r="D890" s="104"/>
    </row>
    <row r="891" spans="3:4" ht="18.75" customHeight="1" x14ac:dyDescent="0.25">
      <c r="C891" s="6"/>
      <c r="D891" s="104"/>
    </row>
    <row r="892" spans="3:4" ht="18.75" customHeight="1" x14ac:dyDescent="0.25">
      <c r="C892" s="6"/>
      <c r="D892" s="104"/>
    </row>
    <row r="893" spans="3:4" ht="18.75" customHeight="1" x14ac:dyDescent="0.25">
      <c r="C893" s="6"/>
      <c r="D893" s="104"/>
    </row>
    <row r="894" spans="3:4" ht="18.75" customHeight="1" x14ac:dyDescent="0.25">
      <c r="C894" s="6"/>
      <c r="D894" s="104"/>
    </row>
    <row r="895" spans="3:4" ht="18.75" customHeight="1" x14ac:dyDescent="0.25">
      <c r="C895" s="6"/>
      <c r="D895" s="104"/>
    </row>
    <row r="896" spans="3:4" ht="18.75" customHeight="1" x14ac:dyDescent="0.25">
      <c r="C896" s="6"/>
      <c r="D896" s="104"/>
    </row>
    <row r="897" spans="3:4" ht="18.75" customHeight="1" x14ac:dyDescent="0.25">
      <c r="C897" s="6"/>
      <c r="D897" s="104"/>
    </row>
    <row r="898" spans="3:4" ht="18.75" customHeight="1" x14ac:dyDescent="0.25">
      <c r="C898" s="6"/>
      <c r="D898" s="104"/>
    </row>
    <row r="899" spans="3:4" ht="18.75" customHeight="1" x14ac:dyDescent="0.25">
      <c r="C899" s="6"/>
      <c r="D899" s="104"/>
    </row>
    <row r="900" spans="3:4" ht="18.75" customHeight="1" x14ac:dyDescent="0.25">
      <c r="C900" s="6"/>
      <c r="D900" s="104"/>
    </row>
    <row r="901" spans="3:4" ht="18.75" customHeight="1" x14ac:dyDescent="0.25">
      <c r="C901" s="6"/>
      <c r="D901" s="104"/>
    </row>
    <row r="902" spans="3:4" ht="18.75" customHeight="1" x14ac:dyDescent="0.25">
      <c r="C902" s="6"/>
      <c r="D902" s="104"/>
    </row>
    <row r="903" spans="3:4" ht="18.75" customHeight="1" x14ac:dyDescent="0.25">
      <c r="C903" s="6"/>
      <c r="D903" s="104"/>
    </row>
    <row r="904" spans="3:4" ht="18.75" customHeight="1" x14ac:dyDescent="0.25">
      <c r="C904" s="6"/>
      <c r="D904" s="104"/>
    </row>
    <row r="905" spans="3:4" ht="18.75" customHeight="1" x14ac:dyDescent="0.25">
      <c r="C905" s="6"/>
      <c r="D905" s="104"/>
    </row>
    <row r="906" spans="3:4" ht="18.75" customHeight="1" x14ac:dyDescent="0.25">
      <c r="C906" s="6"/>
      <c r="D906" s="104"/>
    </row>
    <row r="907" spans="3:4" ht="18.75" customHeight="1" x14ac:dyDescent="0.25">
      <c r="C907" s="6"/>
      <c r="D907" s="104"/>
    </row>
    <row r="908" spans="3:4" ht="18.75" customHeight="1" x14ac:dyDescent="0.25">
      <c r="C908" s="6"/>
      <c r="D908" s="104"/>
    </row>
    <row r="909" spans="3:4" ht="18.75" customHeight="1" x14ac:dyDescent="0.25">
      <c r="C909" s="6"/>
      <c r="D909" s="104"/>
    </row>
    <row r="910" spans="3:4" ht="18.75" customHeight="1" x14ac:dyDescent="0.25">
      <c r="C910" s="6"/>
      <c r="D910" s="104"/>
    </row>
    <row r="911" spans="3:4" ht="18.75" customHeight="1" x14ac:dyDescent="0.25">
      <c r="C911" s="6"/>
      <c r="D911" s="104"/>
    </row>
    <row r="912" spans="3:4" ht="18.75" customHeight="1" x14ac:dyDescent="0.25">
      <c r="C912" s="6"/>
      <c r="D912" s="104"/>
    </row>
    <row r="913" spans="3:4" ht="18.75" customHeight="1" x14ac:dyDescent="0.25">
      <c r="C913" s="6"/>
      <c r="D913" s="104"/>
    </row>
    <row r="914" spans="3:4" ht="18.75" customHeight="1" x14ac:dyDescent="0.25">
      <c r="C914" s="6"/>
      <c r="D914" s="104"/>
    </row>
    <row r="915" spans="3:4" ht="18.75" customHeight="1" x14ac:dyDescent="0.25">
      <c r="C915" s="6"/>
      <c r="D915" s="104"/>
    </row>
    <row r="916" spans="3:4" ht="18.75" customHeight="1" x14ac:dyDescent="0.25">
      <c r="C916" s="6"/>
      <c r="D916" s="104"/>
    </row>
    <row r="917" spans="3:4" ht="18.75" customHeight="1" x14ac:dyDescent="0.25">
      <c r="C917" s="6"/>
      <c r="D917" s="104"/>
    </row>
    <row r="918" spans="3:4" ht="18.75" customHeight="1" x14ac:dyDescent="0.25">
      <c r="C918" s="6"/>
      <c r="D918" s="104"/>
    </row>
    <row r="919" spans="3:4" ht="18.75" customHeight="1" x14ac:dyDescent="0.25">
      <c r="C919" s="6"/>
      <c r="D919" s="104"/>
    </row>
    <row r="920" spans="3:4" ht="18.75" customHeight="1" x14ac:dyDescent="0.25">
      <c r="C920" s="6"/>
      <c r="D920" s="104"/>
    </row>
    <row r="921" spans="3:4" ht="18.75" customHeight="1" x14ac:dyDescent="0.25">
      <c r="C921" s="6"/>
      <c r="D921" s="104"/>
    </row>
    <row r="922" spans="3:4" ht="18.75" customHeight="1" x14ac:dyDescent="0.25">
      <c r="C922" s="6"/>
      <c r="D922" s="104"/>
    </row>
    <row r="923" spans="3:4" ht="18.75" customHeight="1" x14ac:dyDescent="0.25">
      <c r="C923" s="6"/>
      <c r="D923" s="104"/>
    </row>
    <row r="924" spans="3:4" ht="18.75" customHeight="1" x14ac:dyDescent="0.25">
      <c r="C924" s="6"/>
      <c r="D924" s="104"/>
    </row>
    <row r="925" spans="3:4" ht="18.75" customHeight="1" x14ac:dyDescent="0.25">
      <c r="C925" s="6"/>
      <c r="D925" s="104"/>
    </row>
    <row r="926" spans="3:4" ht="18.75" customHeight="1" x14ac:dyDescent="0.25">
      <c r="C926" s="6"/>
      <c r="D926" s="104"/>
    </row>
    <row r="927" spans="3:4" ht="18.75" customHeight="1" x14ac:dyDescent="0.25">
      <c r="C927" s="6"/>
      <c r="D927" s="104"/>
    </row>
    <row r="928" spans="3:4" ht="18.75" customHeight="1" x14ac:dyDescent="0.25">
      <c r="C928" s="6"/>
      <c r="D928" s="104"/>
    </row>
    <row r="929" spans="3:4" ht="18.75" customHeight="1" x14ac:dyDescent="0.25">
      <c r="C929" s="6"/>
      <c r="D929" s="104"/>
    </row>
    <row r="930" spans="3:4" ht="18.75" customHeight="1" x14ac:dyDescent="0.25">
      <c r="C930" s="6"/>
      <c r="D930" s="104"/>
    </row>
    <row r="931" spans="3:4" ht="18.75" customHeight="1" x14ac:dyDescent="0.25">
      <c r="C931" s="6"/>
      <c r="D931" s="104"/>
    </row>
    <row r="932" spans="3:4" ht="18.75" customHeight="1" x14ac:dyDescent="0.25">
      <c r="C932" s="6"/>
      <c r="D932" s="104"/>
    </row>
    <row r="933" spans="3:4" ht="18.75" customHeight="1" x14ac:dyDescent="0.25">
      <c r="C933" s="6"/>
      <c r="D933" s="104"/>
    </row>
    <row r="934" spans="3:4" ht="18.75" customHeight="1" x14ac:dyDescent="0.25">
      <c r="C934" s="6"/>
      <c r="D934" s="104"/>
    </row>
    <row r="935" spans="3:4" ht="18.75" customHeight="1" x14ac:dyDescent="0.25">
      <c r="C935" s="6"/>
      <c r="D935" s="104"/>
    </row>
    <row r="936" spans="3:4" ht="18.75" customHeight="1" x14ac:dyDescent="0.25">
      <c r="C936" s="6"/>
      <c r="D936" s="104"/>
    </row>
    <row r="937" spans="3:4" ht="18.75" customHeight="1" x14ac:dyDescent="0.25">
      <c r="C937" s="6"/>
      <c r="D937" s="104"/>
    </row>
    <row r="938" spans="3:4" ht="18.75" customHeight="1" x14ac:dyDescent="0.25">
      <c r="C938" s="6"/>
      <c r="D938" s="104"/>
    </row>
    <row r="939" spans="3:4" ht="18.75" customHeight="1" x14ac:dyDescent="0.25">
      <c r="C939" s="6"/>
      <c r="D939" s="104"/>
    </row>
    <row r="940" spans="3:4" ht="18.75" customHeight="1" x14ac:dyDescent="0.25">
      <c r="C940" s="6"/>
      <c r="D940" s="104"/>
    </row>
    <row r="941" spans="3:4" ht="18.75" customHeight="1" x14ac:dyDescent="0.25">
      <c r="C941" s="6"/>
      <c r="D941" s="104"/>
    </row>
    <row r="942" spans="3:4" ht="18.75" customHeight="1" x14ac:dyDescent="0.25">
      <c r="C942" s="6"/>
      <c r="D942" s="104"/>
    </row>
    <row r="943" spans="3:4" ht="18.75" customHeight="1" x14ac:dyDescent="0.25">
      <c r="C943" s="6"/>
      <c r="D943" s="104"/>
    </row>
    <row r="944" spans="3:4" ht="18.75" customHeight="1" x14ac:dyDescent="0.25">
      <c r="C944" s="6"/>
      <c r="D944" s="104"/>
    </row>
    <row r="945" spans="3:4" ht="18.75" customHeight="1" x14ac:dyDescent="0.25">
      <c r="C945" s="6"/>
      <c r="D945" s="104"/>
    </row>
    <row r="946" spans="3:4" ht="18.75" customHeight="1" x14ac:dyDescent="0.25">
      <c r="C946" s="6"/>
      <c r="D946" s="104"/>
    </row>
    <row r="947" spans="3:4" ht="18.75" customHeight="1" x14ac:dyDescent="0.25">
      <c r="C947" s="6"/>
      <c r="D947" s="104"/>
    </row>
    <row r="948" spans="3:4" ht="18.75" customHeight="1" x14ac:dyDescent="0.25">
      <c r="C948" s="6"/>
      <c r="D948" s="104"/>
    </row>
    <row r="949" spans="3:4" ht="18.75" customHeight="1" x14ac:dyDescent="0.25">
      <c r="C949" s="6"/>
      <c r="D949" s="104"/>
    </row>
    <row r="950" spans="3:4" ht="18.75" customHeight="1" x14ac:dyDescent="0.25">
      <c r="C950" s="6"/>
      <c r="D950" s="104"/>
    </row>
    <row r="951" spans="3:4" ht="18.75" customHeight="1" x14ac:dyDescent="0.25">
      <c r="C951" s="6"/>
      <c r="D951" s="104"/>
    </row>
    <row r="952" spans="3:4" ht="18.75" customHeight="1" x14ac:dyDescent="0.25">
      <c r="C952" s="6"/>
      <c r="D952" s="104"/>
    </row>
    <row r="953" spans="3:4" ht="18.75" customHeight="1" x14ac:dyDescent="0.25">
      <c r="C953" s="6"/>
      <c r="D953" s="104"/>
    </row>
    <row r="954" spans="3:4" ht="18.75" customHeight="1" x14ac:dyDescent="0.25">
      <c r="C954" s="6"/>
      <c r="D954" s="104"/>
    </row>
    <row r="955" spans="3:4" ht="18.75" customHeight="1" x14ac:dyDescent="0.25">
      <c r="C955" s="6"/>
      <c r="D955" s="104"/>
    </row>
    <row r="956" spans="3:4" ht="18.75" customHeight="1" x14ac:dyDescent="0.25">
      <c r="C956" s="6"/>
      <c r="D956" s="104"/>
    </row>
    <row r="957" spans="3:4" ht="18.75" customHeight="1" x14ac:dyDescent="0.25">
      <c r="C957" s="6"/>
      <c r="D957" s="104"/>
    </row>
    <row r="958" spans="3:4" ht="18.75" customHeight="1" x14ac:dyDescent="0.25">
      <c r="C958" s="6"/>
      <c r="D958" s="104"/>
    </row>
    <row r="959" spans="3:4" ht="18.75" customHeight="1" x14ac:dyDescent="0.25">
      <c r="C959" s="6"/>
      <c r="D959" s="104"/>
    </row>
    <row r="960" spans="3:4" ht="18.75" customHeight="1" x14ac:dyDescent="0.25">
      <c r="C960" s="6"/>
      <c r="D960" s="104"/>
    </row>
    <row r="961" spans="3:4" ht="18.75" customHeight="1" x14ac:dyDescent="0.25">
      <c r="C961" s="6"/>
      <c r="D961" s="104"/>
    </row>
    <row r="962" spans="3:4" ht="18.75" customHeight="1" x14ac:dyDescent="0.25">
      <c r="C962" s="6"/>
      <c r="D962" s="104"/>
    </row>
    <row r="963" spans="3:4" ht="18.75" customHeight="1" x14ac:dyDescent="0.25">
      <c r="C963" s="6"/>
      <c r="D963" s="104"/>
    </row>
    <row r="964" spans="3:4" ht="18.75" customHeight="1" x14ac:dyDescent="0.25">
      <c r="C964" s="6"/>
      <c r="D964" s="104"/>
    </row>
    <row r="965" spans="3:4" ht="18.75" customHeight="1" x14ac:dyDescent="0.25">
      <c r="C965" s="6"/>
      <c r="D965" s="104"/>
    </row>
    <row r="966" spans="3:4" ht="18.75" customHeight="1" x14ac:dyDescent="0.25">
      <c r="C966" s="6"/>
      <c r="D966" s="104"/>
    </row>
    <row r="967" spans="3:4" ht="18.75" customHeight="1" x14ac:dyDescent="0.25">
      <c r="C967" s="6"/>
      <c r="D967" s="104"/>
    </row>
    <row r="968" spans="3:4" ht="18.75" customHeight="1" x14ac:dyDescent="0.25">
      <c r="C968" s="6"/>
      <c r="D968" s="104"/>
    </row>
    <row r="969" spans="3:4" ht="18.75" customHeight="1" x14ac:dyDescent="0.25">
      <c r="C969" s="6"/>
      <c r="D969" s="104"/>
    </row>
    <row r="970" spans="3:4" ht="18.75" customHeight="1" x14ac:dyDescent="0.25">
      <c r="C970" s="6"/>
      <c r="D970" s="104"/>
    </row>
    <row r="971" spans="3:4" ht="18.75" customHeight="1" x14ac:dyDescent="0.25">
      <c r="C971" s="6"/>
      <c r="D971" s="104"/>
    </row>
    <row r="972" spans="3:4" ht="18.75" customHeight="1" x14ac:dyDescent="0.25">
      <c r="C972" s="6"/>
      <c r="D972" s="104"/>
    </row>
    <row r="973" spans="3:4" ht="18.75" customHeight="1" x14ac:dyDescent="0.25">
      <c r="C973" s="6"/>
      <c r="D973" s="104"/>
    </row>
    <row r="974" spans="3:4" ht="18.75" customHeight="1" x14ac:dyDescent="0.25">
      <c r="C974" s="6"/>
      <c r="D974" s="104"/>
    </row>
    <row r="975" spans="3:4" ht="18.75" customHeight="1" x14ac:dyDescent="0.25">
      <c r="C975" s="6"/>
      <c r="D975" s="104"/>
    </row>
    <row r="976" spans="3:4" ht="18.75" customHeight="1" x14ac:dyDescent="0.25">
      <c r="C976" s="6"/>
      <c r="D976" s="104"/>
    </row>
    <row r="977" spans="3:4" ht="18.75" customHeight="1" x14ac:dyDescent="0.25">
      <c r="C977" s="6"/>
      <c r="D977" s="104"/>
    </row>
    <row r="978" spans="3:4" ht="18.75" customHeight="1" x14ac:dyDescent="0.25">
      <c r="C978" s="6"/>
      <c r="D978" s="104"/>
    </row>
    <row r="979" spans="3:4" ht="18.75" customHeight="1" x14ac:dyDescent="0.25">
      <c r="C979" s="6"/>
      <c r="D979" s="104"/>
    </row>
    <row r="980" spans="3:4" ht="18.75" customHeight="1" x14ac:dyDescent="0.25">
      <c r="C980" s="6"/>
      <c r="D980" s="104"/>
    </row>
    <row r="981" spans="3:4" ht="18.75" customHeight="1" x14ac:dyDescent="0.25">
      <c r="C981" s="6"/>
      <c r="D981" s="104"/>
    </row>
    <row r="982" spans="3:4" ht="18.75" customHeight="1" x14ac:dyDescent="0.25">
      <c r="C982" s="6"/>
      <c r="D982" s="104"/>
    </row>
    <row r="983" spans="3:4" ht="18.75" customHeight="1" x14ac:dyDescent="0.25">
      <c r="C983" s="6"/>
      <c r="D983" s="104"/>
    </row>
    <row r="984" spans="3:4" ht="18.75" customHeight="1" x14ac:dyDescent="0.25">
      <c r="C984" s="6"/>
      <c r="D984" s="104"/>
    </row>
    <row r="985" spans="3:4" ht="18.75" customHeight="1" x14ac:dyDescent="0.25">
      <c r="C985" s="6"/>
      <c r="D985" s="104"/>
    </row>
    <row r="986" spans="3:4" ht="18.75" customHeight="1" x14ac:dyDescent="0.25">
      <c r="C986" s="6"/>
      <c r="D986" s="104"/>
    </row>
    <row r="987" spans="3:4" ht="18.75" customHeight="1" x14ac:dyDescent="0.25">
      <c r="C987" s="6"/>
      <c r="D987" s="104"/>
    </row>
    <row r="988" spans="3:4" ht="18.75" customHeight="1" x14ac:dyDescent="0.25">
      <c r="C988" s="6"/>
      <c r="D988" s="104"/>
    </row>
    <row r="989" spans="3:4" ht="18.75" customHeight="1" x14ac:dyDescent="0.25">
      <c r="C989" s="6"/>
      <c r="D989" s="104"/>
    </row>
    <row r="990" spans="3:4" ht="18.75" customHeight="1" x14ac:dyDescent="0.25">
      <c r="C990" s="6"/>
      <c r="D990" s="104"/>
    </row>
    <row r="991" spans="3:4" ht="18.75" customHeight="1" x14ac:dyDescent="0.25">
      <c r="C991" s="6"/>
      <c r="D991" s="104"/>
    </row>
    <row r="992" spans="3:4" ht="18.75" customHeight="1" x14ac:dyDescent="0.25">
      <c r="C992" s="6"/>
      <c r="D992" s="104"/>
    </row>
    <row r="993" spans="3:4" ht="18.75" customHeight="1" x14ac:dyDescent="0.25">
      <c r="C993" s="6"/>
      <c r="D993" s="104"/>
    </row>
    <row r="994" spans="3:4" ht="18.75" customHeight="1" x14ac:dyDescent="0.25">
      <c r="C994" s="6"/>
      <c r="D994" s="104"/>
    </row>
    <row r="995" spans="3:4" ht="18.75" customHeight="1" x14ac:dyDescent="0.25">
      <c r="C995" s="6"/>
      <c r="D995" s="104"/>
    </row>
    <row r="996" spans="3:4" ht="18.75" customHeight="1" x14ac:dyDescent="0.25">
      <c r="C996" s="6"/>
      <c r="D996" s="104"/>
    </row>
    <row r="997" spans="3:4" ht="18.75" customHeight="1" x14ac:dyDescent="0.25">
      <c r="C997" s="6"/>
      <c r="D997" s="104"/>
    </row>
    <row r="998" spans="3:4" ht="18.75" customHeight="1" x14ac:dyDescent="0.25">
      <c r="C998" s="6"/>
      <c r="D998" s="104"/>
    </row>
    <row r="999" spans="3:4" ht="18.75" customHeight="1" x14ac:dyDescent="0.25">
      <c r="C999" s="6"/>
      <c r="D999" s="104"/>
    </row>
    <row r="1000" spans="3:4" ht="18.75" customHeight="1" x14ac:dyDescent="0.25">
      <c r="C1000" s="6"/>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557" priority="1" operator="equal">
      <formula>"TRUE"</formula>
    </cfRule>
  </conditionalFormatting>
  <conditionalFormatting sqref="F5:F14">
    <cfRule type="cellIs" dxfId="556" priority="2" operator="equal">
      <formula>"TRUE"</formula>
    </cfRule>
  </conditionalFormatting>
  <conditionalFormatting sqref="G5:G14">
    <cfRule type="cellIs" dxfId="555" priority="3" operator="equal">
      <formula>"TRUE"</formula>
    </cfRule>
  </conditionalFormatting>
  <conditionalFormatting sqref="H5:I14">
    <cfRule type="cellIs" dxfId="554" priority="4" operator="equal">
      <formula>"TRUE"</formula>
    </cfRule>
  </conditionalFormatting>
  <conditionalFormatting sqref="I5:I14">
    <cfRule type="cellIs" dxfId="553" priority="5" operator="equal">
      <formula>"TRUE"</formula>
    </cfRule>
  </conditionalFormatting>
  <conditionalFormatting sqref="J5:J14">
    <cfRule type="cellIs" dxfId="552" priority="6" operator="equal">
      <formula>"TRUE"</formula>
    </cfRule>
  </conditionalFormatting>
  <conditionalFormatting sqref="K5:K14">
    <cfRule type="cellIs" dxfId="551" priority="7" operator="equal">
      <formula>"TRUE"</formula>
    </cfRule>
  </conditionalFormatting>
  <conditionalFormatting sqref="L5:L14">
    <cfRule type="cellIs" dxfId="550" priority="8" operator="equal">
      <formula>"TRUE"</formula>
    </cfRule>
  </conditionalFormatting>
  <conditionalFormatting sqref="M5:M14">
    <cfRule type="cellIs" dxfId="549" priority="9" operator="equal">
      <formula>"TRUE"</formula>
    </cfRule>
  </conditionalFormatting>
  <conditionalFormatting sqref="N5:N14">
    <cfRule type="cellIs" dxfId="548" priority="10" operator="equal">
      <formula>"TRUE"</formula>
    </cfRule>
  </conditionalFormatting>
  <conditionalFormatting sqref="O5:O14">
    <cfRule type="cellIs" dxfId="547" priority="11" operator="equal">
      <formula>"TRUE"</formula>
    </cfRule>
  </conditionalFormatting>
  <conditionalFormatting sqref="P5:P14">
    <cfRule type="cellIs" dxfId="546" priority="12" operator="equal">
      <formula>"TRUE"</formula>
    </cfRule>
  </conditionalFormatting>
  <conditionalFormatting sqref="Q5:Q14">
    <cfRule type="cellIs" dxfId="545" priority="13" operator="equal">
      <formula>"TRUE"</formula>
    </cfRule>
  </conditionalFormatting>
  <conditionalFormatting sqref="R5:R14">
    <cfRule type="cellIs" dxfId="544" priority="14" operator="equal">
      <formula>"TRUE"</formula>
    </cfRule>
  </conditionalFormatting>
  <conditionalFormatting sqref="S5:S14">
    <cfRule type="cellIs" dxfId="543" priority="15" operator="equal">
      <formula>"TRUE"</formula>
    </cfRule>
  </conditionalFormatting>
  <conditionalFormatting sqref="T5:T14">
    <cfRule type="cellIs" dxfId="542" priority="16" operator="equal">
      <formula>"TRUE"</formula>
    </cfRule>
  </conditionalFormatting>
  <conditionalFormatting sqref="U5:U14">
    <cfRule type="cellIs" dxfId="541" priority="17" operator="equal">
      <formula>"TRUE"</formula>
    </cfRule>
  </conditionalFormatting>
  <conditionalFormatting sqref="V5:V14">
    <cfRule type="cellIs" dxfId="540" priority="18" operator="equal">
      <formula>"TRUE"</formula>
    </cfRule>
  </conditionalFormatting>
  <pageMargins left="0.7" right="0.7" top="0.75" bottom="0.75" header="0" footer="0"/>
  <pageSetup paperSize="9" fitToWidth="0"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1000"/>
  <sheetViews>
    <sheetView zoomScale="55" zoomScaleNormal="55" workbookViewId="0">
      <selection activeCell="B13" sqref="B13"/>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137</v>
      </c>
      <c r="B2" s="83">
        <v>13</v>
      </c>
      <c r="C2" s="103" t="s">
        <v>81</v>
      </c>
      <c r="D2" s="83" t="s">
        <v>88</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138</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v>1.2</v>
      </c>
      <c r="C6" s="115" t="s">
        <v>139</v>
      </c>
      <c r="D6" s="85" t="str">
        <f t="shared" ref="D6:D14" si="0">_xlfn.TEXTJOIN(", ",TRUE,IF(OR(E6,F6),"1",""),IF(OR(G6,H6,I6,J6),"2",""),IF(OR(K6,L6),"3",""),IF(OR(M6,N6),"4",""),IF(OR(O6,P6),"5",""),IF(OR(Q6,R6,S6,T6),"6",""),IF(OR(U6,V6),"7",""))</f>
        <v>3</v>
      </c>
      <c r="E6" s="107" t="b">
        <v>0</v>
      </c>
      <c r="F6" s="107" t="b">
        <v>0</v>
      </c>
      <c r="G6" s="107" t="b">
        <v>0</v>
      </c>
      <c r="H6" s="107" t="b">
        <v>0</v>
      </c>
      <c r="I6" s="107" t="b">
        <v>0</v>
      </c>
      <c r="J6" s="107" t="b">
        <v>0</v>
      </c>
      <c r="K6" s="107" t="b">
        <v>1</v>
      </c>
      <c r="L6" s="107" t="b">
        <v>1</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PI31, PI32</v>
      </c>
      <c r="X6" s="6"/>
      <c r="Y6" s="6"/>
    </row>
    <row r="7" spans="1:25" ht="45" customHeight="1" x14ac:dyDescent="0.25">
      <c r="A7" s="144"/>
      <c r="B7" s="97"/>
      <c r="C7" s="115"/>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7" t="s">
        <v>140</v>
      </c>
      <c r="D8" s="85" t="str">
        <f t="shared" si="0"/>
        <v>2</v>
      </c>
      <c r="E8" s="107" t="b">
        <v>0</v>
      </c>
      <c r="F8" s="107" t="b">
        <v>0</v>
      </c>
      <c r="G8" s="107" t="b">
        <v>1</v>
      </c>
      <c r="H8" s="107" t="b">
        <v>1</v>
      </c>
      <c r="I8" s="107" t="b">
        <v>1</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PI23, PI24</v>
      </c>
      <c r="X8" s="6"/>
      <c r="Y8" s="6"/>
    </row>
    <row r="9" spans="1:25" ht="45" customHeight="1" x14ac:dyDescent="0.25">
      <c r="A9" s="143"/>
      <c r="B9" s="99">
        <v>2.2000000000000002</v>
      </c>
      <c r="C9" s="117" t="s">
        <v>141</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0</v>
      </c>
      <c r="R9" s="107" t="b">
        <v>1</v>
      </c>
      <c r="S9" s="107" t="b">
        <v>1</v>
      </c>
      <c r="T9" s="107" t="b">
        <v>1</v>
      </c>
      <c r="U9" s="107" t="b">
        <v>0</v>
      </c>
      <c r="V9" s="107" t="b">
        <v>0</v>
      </c>
      <c r="W9" s="83" t="str" cm="1">
        <f t="array" ref="W9">_xlfn.TEXTJOIN(", ",TRUE,IF(E9:V9,{"PI11","PI12","PI21","PI22","PI23","PI24","PI31","PI32","PI41","PI42","PI51","PI52","PI61","PI62","PI63","PI64","PI71","PI72"},""))</f>
        <v>PI62, PI63, PI64</v>
      </c>
      <c r="X9" s="6"/>
      <c r="Y9" s="6"/>
    </row>
    <row r="10" spans="1:25" ht="45" customHeight="1" x14ac:dyDescent="0.25">
      <c r="A10" s="143"/>
      <c r="B10" s="99">
        <v>2.2999999999999998</v>
      </c>
      <c r="C10" s="117" t="s">
        <v>142</v>
      </c>
      <c r="D10" s="85" t="str">
        <f t="shared" si="0"/>
        <v>5</v>
      </c>
      <c r="E10" s="107" t="b">
        <v>0</v>
      </c>
      <c r="F10" s="107" t="b">
        <v>0</v>
      </c>
      <c r="G10" s="107" t="b">
        <v>0</v>
      </c>
      <c r="H10" s="107" t="b">
        <v>0</v>
      </c>
      <c r="I10" s="107" t="b">
        <v>0</v>
      </c>
      <c r="J10" s="107" t="b">
        <v>0</v>
      </c>
      <c r="K10" s="107" t="b">
        <v>0</v>
      </c>
      <c r="L10" s="107" t="b">
        <v>0</v>
      </c>
      <c r="M10" s="107" t="b">
        <v>0</v>
      </c>
      <c r="N10" s="107" t="b">
        <v>0</v>
      </c>
      <c r="O10" s="107" t="b">
        <v>1</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PI51</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c r="C13" s="106"/>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Electronic Fundamentals</v>
      </c>
      <c r="D15" s="85" t="str">
        <f>A2</f>
        <v>EE 211</v>
      </c>
      <c r="E15" s="68" t="str">
        <f t="shared" ref="E15:V15" si="1">IF(COUNTIF(E$5:E$14,TRUE)&gt;0,$D$2,"")</f>
        <v>I</v>
      </c>
      <c r="F15" s="69" t="str">
        <f t="shared" si="1"/>
        <v>I</v>
      </c>
      <c r="G15" s="70" t="str">
        <f t="shared" si="1"/>
        <v>I</v>
      </c>
      <c r="H15" s="71" t="str">
        <f t="shared" si="1"/>
        <v>I</v>
      </c>
      <c r="I15" s="72" t="str">
        <f t="shared" si="1"/>
        <v>I</v>
      </c>
      <c r="J15" s="73" t="str">
        <f t="shared" si="1"/>
        <v>I</v>
      </c>
      <c r="K15" s="74" t="str">
        <f t="shared" si="1"/>
        <v>I</v>
      </c>
      <c r="L15" s="86" t="str">
        <f t="shared" si="1"/>
        <v>I</v>
      </c>
      <c r="M15" s="87" t="str">
        <f t="shared" si="1"/>
        <v/>
      </c>
      <c r="N15" s="88" t="str">
        <f t="shared" si="1"/>
        <v/>
      </c>
      <c r="O15" s="89" t="str">
        <f t="shared" si="1"/>
        <v>I</v>
      </c>
      <c r="P15" s="90" t="str">
        <f t="shared" si="1"/>
        <v/>
      </c>
      <c r="Q15" s="91" t="str">
        <f t="shared" si="1"/>
        <v/>
      </c>
      <c r="R15" s="92" t="str">
        <f t="shared" si="1"/>
        <v>I</v>
      </c>
      <c r="S15" s="93" t="str">
        <f t="shared" si="1"/>
        <v>I</v>
      </c>
      <c r="T15" s="94" t="str">
        <f t="shared" si="1"/>
        <v>I</v>
      </c>
      <c r="U15" s="95" t="str">
        <f t="shared" si="1"/>
        <v/>
      </c>
      <c r="V15" s="96" t="str">
        <f t="shared" si="1"/>
        <v/>
      </c>
      <c r="W15" s="6"/>
      <c r="X15" s="6"/>
      <c r="Y15" s="6"/>
    </row>
    <row r="16" spans="1:25" ht="30" customHeight="1" x14ac:dyDescent="0.25">
      <c r="A16" s="103" t="s">
        <v>136</v>
      </c>
      <c r="B16" s="103"/>
      <c r="C16" s="83" t="str">
        <f>C2</f>
        <v>Electronic Fundamentals</v>
      </c>
      <c r="D16" s="85" t="str">
        <f>A2</f>
        <v>EE 211</v>
      </c>
      <c r="E16" s="147" t="str">
        <f>IF(COUNTIF(E$5:F$14,TRUE)&gt;0,$D$2,"")</f>
        <v>I</v>
      </c>
      <c r="F16" s="125"/>
      <c r="G16" s="148" t="str">
        <f>IF(COUNTIF(G$5:J$14,TRUE)&gt;0,$D$2,"")</f>
        <v>I</v>
      </c>
      <c r="H16" s="129"/>
      <c r="I16" s="129"/>
      <c r="J16" s="125"/>
      <c r="K16" s="149" t="str">
        <f>IF(COUNTIF(K$5:L$14,TRUE)&gt;0,$D$2,"")</f>
        <v>I</v>
      </c>
      <c r="L16" s="125"/>
      <c r="M16" s="137" t="str">
        <f>IF(COUNTIF(M$5:N$14,TRUE)&gt;0,$D$2,"")</f>
        <v/>
      </c>
      <c r="N16" s="125"/>
      <c r="O16" s="138" t="str">
        <f>IF(COUNTIF(O$5:P$14,TRUE)&gt;0,$D$2,"")</f>
        <v>I</v>
      </c>
      <c r="P16" s="125"/>
      <c r="Q16" s="139" t="str">
        <f>IF(COUNTIF(Q$5:T$14,TRUE)&gt;0,$D$2,"")</f>
        <v>I</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539" priority="1" operator="equal">
      <formula>"TRUE"</formula>
    </cfRule>
  </conditionalFormatting>
  <conditionalFormatting sqref="F5:F14">
    <cfRule type="cellIs" dxfId="538" priority="2" operator="equal">
      <formula>"TRUE"</formula>
    </cfRule>
  </conditionalFormatting>
  <conditionalFormatting sqref="G5:G14">
    <cfRule type="cellIs" dxfId="537" priority="3" operator="equal">
      <formula>"TRUE"</formula>
    </cfRule>
  </conditionalFormatting>
  <conditionalFormatting sqref="H5:I14">
    <cfRule type="cellIs" dxfId="536" priority="4" operator="equal">
      <formula>"TRUE"</formula>
    </cfRule>
  </conditionalFormatting>
  <conditionalFormatting sqref="I5:I14">
    <cfRule type="cellIs" dxfId="535" priority="5" operator="equal">
      <formula>"TRUE"</formula>
    </cfRule>
  </conditionalFormatting>
  <conditionalFormatting sqref="J5:J14">
    <cfRule type="cellIs" dxfId="534" priority="6" operator="equal">
      <formula>"TRUE"</formula>
    </cfRule>
  </conditionalFormatting>
  <conditionalFormatting sqref="K5:K14">
    <cfRule type="cellIs" dxfId="533" priority="7" operator="equal">
      <formula>"TRUE"</formula>
    </cfRule>
  </conditionalFormatting>
  <conditionalFormatting sqref="L5:L14">
    <cfRule type="cellIs" dxfId="532" priority="8" operator="equal">
      <formula>"TRUE"</formula>
    </cfRule>
  </conditionalFormatting>
  <conditionalFormatting sqref="M5:M14">
    <cfRule type="cellIs" dxfId="531" priority="9" operator="equal">
      <formula>"TRUE"</formula>
    </cfRule>
  </conditionalFormatting>
  <conditionalFormatting sqref="N5:N14">
    <cfRule type="cellIs" dxfId="530" priority="10" operator="equal">
      <formula>"TRUE"</formula>
    </cfRule>
  </conditionalFormatting>
  <conditionalFormatting sqref="O5:O14">
    <cfRule type="cellIs" dxfId="529" priority="11" operator="equal">
      <formula>"TRUE"</formula>
    </cfRule>
  </conditionalFormatting>
  <conditionalFormatting sqref="P5:P14">
    <cfRule type="cellIs" dxfId="528" priority="12" operator="equal">
      <formula>"TRUE"</formula>
    </cfRule>
  </conditionalFormatting>
  <conditionalFormatting sqref="Q5:Q14">
    <cfRule type="cellIs" dxfId="527" priority="13" operator="equal">
      <formula>"TRUE"</formula>
    </cfRule>
  </conditionalFormatting>
  <conditionalFormatting sqref="R5:R14">
    <cfRule type="cellIs" dxfId="526" priority="14" operator="equal">
      <formula>"TRUE"</formula>
    </cfRule>
  </conditionalFormatting>
  <conditionalFormatting sqref="S5:S14">
    <cfRule type="cellIs" dxfId="525" priority="15" operator="equal">
      <formula>"TRUE"</formula>
    </cfRule>
  </conditionalFormatting>
  <conditionalFormatting sqref="T5:T14">
    <cfRule type="cellIs" dxfId="524" priority="16" operator="equal">
      <formula>"TRUE"</formula>
    </cfRule>
  </conditionalFormatting>
  <conditionalFormatting sqref="U5:U14">
    <cfRule type="cellIs" dxfId="523" priority="17" operator="equal">
      <formula>"TRUE"</formula>
    </cfRule>
  </conditionalFormatting>
  <conditionalFormatting sqref="V5:V14">
    <cfRule type="cellIs" dxfId="522" priority="18" operator="equal">
      <formula>"TRUE"</formula>
    </cfRule>
  </conditionalFormatting>
  <pageMargins left="0.7" right="0.7" top="0.75" bottom="0.75" header="0" footer="0"/>
  <pageSetup paperSize="9" fitToWidth="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143</v>
      </c>
      <c r="B2" s="83">
        <v>14</v>
      </c>
      <c r="C2" s="103" t="s">
        <v>83</v>
      </c>
      <c r="D2" s="83" t="s">
        <v>88</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144</v>
      </c>
      <c r="D5" s="85" t="str">
        <f>_xlfn.TEXTJOIN(", ",TRUE,IF(OR(E5,F5),"1",""),IF(OR(G5,H5,I5,J5),"2",""),IF(OR(K5,L5),"3",""),IF(OR(M5,N5),"4",""),IF(OR(O5,P5),"5",""),IF(OR(Q5,R5,S5,T5),"6",""),IF(OR(U5,V5),"7",""))</f>
        <v>1, 2</v>
      </c>
      <c r="E5" s="107" t="b">
        <v>0</v>
      </c>
      <c r="F5" s="107" t="b">
        <v>1</v>
      </c>
      <c r="G5" s="107" t="b">
        <v>1</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PI12, PI21</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145</v>
      </c>
      <c r="D8" s="85" t="str">
        <f t="shared" si="0"/>
        <v>2, 5</v>
      </c>
      <c r="E8" s="107" t="b">
        <v>0</v>
      </c>
      <c r="F8" s="107" t="b">
        <v>0</v>
      </c>
      <c r="G8" s="107" t="b">
        <v>1</v>
      </c>
      <c r="H8" s="107" t="b">
        <v>1</v>
      </c>
      <c r="I8" s="107" t="b">
        <v>0</v>
      </c>
      <c r="J8" s="107" t="b">
        <v>0</v>
      </c>
      <c r="K8" s="107" t="b">
        <v>0</v>
      </c>
      <c r="L8" s="107" t="b">
        <v>0</v>
      </c>
      <c r="M8" s="107" t="b">
        <v>0</v>
      </c>
      <c r="N8" s="107" t="b">
        <v>0</v>
      </c>
      <c r="O8" s="107" t="b">
        <v>1</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PI51</v>
      </c>
      <c r="X8" s="6"/>
      <c r="Y8" s="6"/>
    </row>
    <row r="9" spans="1:25" ht="45" customHeight="1" x14ac:dyDescent="0.25">
      <c r="A9" s="143"/>
      <c r="B9" s="99">
        <v>2.2000000000000002</v>
      </c>
      <c r="C9" s="100" t="s">
        <v>146</v>
      </c>
      <c r="D9" s="85" t="str">
        <f t="shared" si="0"/>
        <v>2, 5</v>
      </c>
      <c r="E9" s="107" t="b">
        <v>0</v>
      </c>
      <c r="F9" s="107" t="b">
        <v>0</v>
      </c>
      <c r="G9" s="107" t="b">
        <v>0</v>
      </c>
      <c r="H9" s="107" t="b">
        <v>0</v>
      </c>
      <c r="I9" s="107" t="b">
        <v>1</v>
      </c>
      <c r="J9" s="107" t="b">
        <v>0</v>
      </c>
      <c r="K9" s="107" t="b">
        <v>0</v>
      </c>
      <c r="L9" s="107" t="b">
        <v>0</v>
      </c>
      <c r="M9" s="107" t="b">
        <v>0</v>
      </c>
      <c r="N9" s="107" t="b">
        <v>0</v>
      </c>
      <c r="O9" s="107" t="b">
        <v>1</v>
      </c>
      <c r="P9" s="107" t="b">
        <v>0</v>
      </c>
      <c r="Q9" s="107" t="b">
        <v>0</v>
      </c>
      <c r="R9" s="107" t="b">
        <v>0</v>
      </c>
      <c r="S9" s="107" t="b">
        <v>0</v>
      </c>
      <c r="T9" s="107" t="b">
        <v>0</v>
      </c>
      <c r="U9" s="107" t="b">
        <v>0</v>
      </c>
      <c r="V9" s="107" t="b">
        <v>0</v>
      </c>
      <c r="W9" s="83" t="str" cm="1">
        <f t="array" ref="W9">_xlfn.TEXTJOIN(", ",TRUE,IF(E9:V9,{"PI11","PI12","PI21","PI22","PI23","PI24","PI31","PI32","PI41","PI42","PI51","PI52","PI61","PI62","PI63","PI64","PI71","PI72"},""))</f>
        <v>PI23, PI51</v>
      </c>
      <c r="X9" s="6"/>
      <c r="Y9" s="6"/>
    </row>
    <row r="10" spans="1:25" ht="45" customHeight="1" x14ac:dyDescent="0.25">
      <c r="A10" s="143"/>
      <c r="B10" s="99">
        <v>2.2999999999999998</v>
      </c>
      <c r="C10" s="100" t="s">
        <v>147</v>
      </c>
      <c r="D10" s="85" t="str">
        <f t="shared" si="0"/>
        <v>6</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1</v>
      </c>
      <c r="S10" s="107" t="b">
        <v>1</v>
      </c>
      <c r="T10" s="107" t="b">
        <v>0</v>
      </c>
      <c r="U10" s="107" t="b">
        <v>0</v>
      </c>
      <c r="V10" s="107" t="b">
        <v>0</v>
      </c>
      <c r="W10" s="83" t="str" cm="1">
        <f t="array" ref="W10">_xlfn.TEXTJOIN(", ",TRUE,IF(E10:V10,{"PI11","PI12","PI21","PI22","PI23","PI24","PI31","PI32","PI41","PI42","PI51","PI52","PI61","PI62","PI63","PI64","PI71","PI72"},""))</f>
        <v>PI62, PI63</v>
      </c>
      <c r="X10" s="6"/>
      <c r="Y10" s="6"/>
    </row>
    <row r="11" spans="1:25" ht="45" customHeight="1" x14ac:dyDescent="0.25">
      <c r="A11" s="143"/>
      <c r="B11" s="99">
        <v>2.4</v>
      </c>
      <c r="C11" s="100" t="s">
        <v>148</v>
      </c>
      <c r="D11" s="85" t="str">
        <f t="shared" si="0"/>
        <v>6</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1</v>
      </c>
      <c r="S11" s="107" t="b">
        <v>1</v>
      </c>
      <c r="T11" s="107" t="b">
        <v>0</v>
      </c>
      <c r="U11" s="107" t="b">
        <v>0</v>
      </c>
      <c r="V11" s="107" t="b">
        <v>0</v>
      </c>
      <c r="W11" s="83" t="str" cm="1">
        <f t="array" ref="W11">_xlfn.TEXTJOIN(", ",TRUE,IF(E11:V11,{"PI11","PI12","PI21","PI22","PI23","PI24","PI31","PI32","PI41","PI42","PI51","PI52","PI61","PI62","PI63","PI64","PI71","PI72"},""))</f>
        <v>PI62, PI63</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149</v>
      </c>
      <c r="D13" s="85" t="str">
        <f t="shared" si="0"/>
        <v>6</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1</v>
      </c>
      <c r="U13" s="107" t="b">
        <v>0</v>
      </c>
      <c r="V13" s="107" t="b">
        <v>0</v>
      </c>
      <c r="W13" s="83" t="str" cm="1">
        <f t="array" ref="W13">_xlfn.TEXTJOIN(", ",TRUE,IF(E13:V13,{"PI11","PI12","PI21","PI22","PI23","PI24","PI31","PI32","PI41","PI42","PI51","PI52","PI61","PI62","PI63","PI64","PI71","PI72"},""))</f>
        <v>PI64</v>
      </c>
      <c r="X13" s="6"/>
      <c r="Y13" s="6"/>
    </row>
    <row r="14" spans="1:25" ht="45" customHeight="1" x14ac:dyDescent="0.25">
      <c r="A14" s="144"/>
      <c r="B14" s="101">
        <v>3.2</v>
      </c>
      <c r="C14" s="102" t="s">
        <v>150</v>
      </c>
      <c r="D14" s="85" t="str">
        <f t="shared" si="0"/>
        <v>6</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1</v>
      </c>
      <c r="U14" s="107" t="b">
        <v>0</v>
      </c>
      <c r="V14" s="107" t="b">
        <v>0</v>
      </c>
      <c r="W14" s="83" t="str" cm="1">
        <f t="array" ref="W14">_xlfn.TEXTJOIN(", ",TRUE,IF(E14:V14,{"PI11","PI12","PI21","PI22","PI23","PI24","PI31","PI32","PI41","PI42","PI51","PI52","PI61","PI62","PI63","PI64","PI71","PI72"},""))</f>
        <v>PI64</v>
      </c>
      <c r="X14" s="6"/>
      <c r="Y14" s="6"/>
    </row>
    <row r="15" spans="1:25" ht="30" customHeight="1" x14ac:dyDescent="0.25">
      <c r="A15" s="103" t="s">
        <v>133</v>
      </c>
      <c r="B15" s="103"/>
      <c r="C15" s="83" t="str">
        <f>C2</f>
        <v>Logic Design</v>
      </c>
      <c r="D15" s="85" t="str">
        <f>A2</f>
        <v>EE 221</v>
      </c>
      <c r="E15" s="68" t="str">
        <f t="shared" ref="E15:V15" si="1">IF(COUNTIF(E$5:E$14,TRUE)&gt;0,$D$2,"")</f>
        <v/>
      </c>
      <c r="F15" s="69" t="str">
        <f t="shared" si="1"/>
        <v>I</v>
      </c>
      <c r="G15" s="70" t="str">
        <f t="shared" si="1"/>
        <v>I</v>
      </c>
      <c r="H15" s="71" t="str">
        <f t="shared" si="1"/>
        <v>I</v>
      </c>
      <c r="I15" s="72" t="str">
        <f t="shared" si="1"/>
        <v>I</v>
      </c>
      <c r="J15" s="73" t="str">
        <f t="shared" si="1"/>
        <v/>
      </c>
      <c r="K15" s="74" t="str">
        <f t="shared" si="1"/>
        <v/>
      </c>
      <c r="L15" s="86" t="str">
        <f t="shared" si="1"/>
        <v/>
      </c>
      <c r="M15" s="87" t="str">
        <f t="shared" si="1"/>
        <v/>
      </c>
      <c r="N15" s="88" t="str">
        <f t="shared" si="1"/>
        <v/>
      </c>
      <c r="O15" s="89" t="str">
        <f t="shared" si="1"/>
        <v>I</v>
      </c>
      <c r="P15" s="90" t="str">
        <f t="shared" si="1"/>
        <v/>
      </c>
      <c r="Q15" s="91" t="str">
        <f t="shared" si="1"/>
        <v/>
      </c>
      <c r="R15" s="92" t="str">
        <f t="shared" si="1"/>
        <v>I</v>
      </c>
      <c r="S15" s="93" t="str">
        <f t="shared" si="1"/>
        <v>I</v>
      </c>
      <c r="T15" s="94" t="str">
        <f t="shared" si="1"/>
        <v>I</v>
      </c>
      <c r="U15" s="95" t="str">
        <f t="shared" si="1"/>
        <v/>
      </c>
      <c r="V15" s="96" t="str">
        <f t="shared" si="1"/>
        <v/>
      </c>
      <c r="W15" s="6"/>
      <c r="X15" s="6"/>
      <c r="Y15" s="6"/>
    </row>
    <row r="16" spans="1:25" ht="30" customHeight="1" x14ac:dyDescent="0.25">
      <c r="A16" s="103" t="s">
        <v>136</v>
      </c>
      <c r="B16" s="103"/>
      <c r="C16" s="83" t="str">
        <f>C2</f>
        <v>Logic Design</v>
      </c>
      <c r="D16" s="85" t="str">
        <f>A2</f>
        <v>EE 221</v>
      </c>
      <c r="E16" s="147" t="str">
        <f>IF(COUNTIF(E$5:F$14,TRUE)&gt;0,$D$2,"")</f>
        <v>I</v>
      </c>
      <c r="F16" s="125"/>
      <c r="G16" s="148" t="str">
        <f>IF(COUNTIF(G$5:J$14,TRUE)&gt;0,$D$2,"")</f>
        <v>I</v>
      </c>
      <c r="H16" s="129"/>
      <c r="I16" s="129"/>
      <c r="J16" s="125"/>
      <c r="K16" s="149" t="str">
        <f>IF(COUNTIF(K$5:L$14,TRUE)&gt;0,$D$2,"")</f>
        <v/>
      </c>
      <c r="L16" s="125"/>
      <c r="M16" s="137" t="str">
        <f>IF(COUNTIF(M$5:N$14,TRUE)&gt;0,$D$2,"")</f>
        <v/>
      </c>
      <c r="N16" s="125"/>
      <c r="O16" s="138" t="str">
        <f>IF(COUNTIF(O$5:P$14,TRUE)&gt;0,$D$2,"")</f>
        <v>I</v>
      </c>
      <c r="P16" s="125"/>
      <c r="Q16" s="139" t="str">
        <f>IF(COUNTIF(Q$5:T$14,TRUE)&gt;0,$D$2,"")</f>
        <v>I</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521" priority="1" operator="equal">
      <formula>"TRUE"</formula>
    </cfRule>
  </conditionalFormatting>
  <conditionalFormatting sqref="F5:F14">
    <cfRule type="cellIs" dxfId="520" priority="2" operator="equal">
      <formula>"TRUE"</formula>
    </cfRule>
  </conditionalFormatting>
  <conditionalFormatting sqref="G5:G14">
    <cfRule type="cellIs" dxfId="519" priority="3" operator="equal">
      <formula>"TRUE"</formula>
    </cfRule>
  </conditionalFormatting>
  <conditionalFormatting sqref="H5:I14">
    <cfRule type="cellIs" dxfId="518" priority="4" operator="equal">
      <formula>"TRUE"</formula>
    </cfRule>
  </conditionalFormatting>
  <conditionalFormatting sqref="I5:I14">
    <cfRule type="cellIs" dxfId="517" priority="5" operator="equal">
      <formula>"TRUE"</formula>
    </cfRule>
  </conditionalFormatting>
  <conditionalFormatting sqref="J5:J14">
    <cfRule type="cellIs" dxfId="516" priority="6" operator="equal">
      <formula>"TRUE"</formula>
    </cfRule>
  </conditionalFormatting>
  <conditionalFormatting sqref="K5:K14">
    <cfRule type="cellIs" dxfId="515" priority="7" operator="equal">
      <formula>"TRUE"</formula>
    </cfRule>
  </conditionalFormatting>
  <conditionalFormatting sqref="L5:L14">
    <cfRule type="cellIs" dxfId="514" priority="8" operator="equal">
      <formula>"TRUE"</formula>
    </cfRule>
  </conditionalFormatting>
  <conditionalFormatting sqref="M5:M14">
    <cfRule type="cellIs" dxfId="513" priority="9" operator="equal">
      <formula>"TRUE"</formula>
    </cfRule>
  </conditionalFormatting>
  <conditionalFormatting sqref="N5:N14">
    <cfRule type="cellIs" dxfId="512" priority="10" operator="equal">
      <formula>"TRUE"</formula>
    </cfRule>
  </conditionalFormatting>
  <conditionalFormatting sqref="O5:O14">
    <cfRule type="cellIs" dxfId="511" priority="11" operator="equal">
      <formula>"TRUE"</formula>
    </cfRule>
  </conditionalFormatting>
  <conditionalFormatting sqref="P5:P14">
    <cfRule type="cellIs" dxfId="510" priority="12" operator="equal">
      <formula>"TRUE"</formula>
    </cfRule>
  </conditionalFormatting>
  <conditionalFormatting sqref="Q5:Q14">
    <cfRule type="cellIs" dxfId="509" priority="13" operator="equal">
      <formula>"TRUE"</formula>
    </cfRule>
  </conditionalFormatting>
  <conditionalFormatting sqref="R5:R14">
    <cfRule type="cellIs" dxfId="508" priority="14" operator="equal">
      <formula>"TRUE"</formula>
    </cfRule>
  </conditionalFormatting>
  <conditionalFormatting sqref="S5:S14">
    <cfRule type="cellIs" dxfId="507" priority="15" operator="equal">
      <formula>"TRUE"</formula>
    </cfRule>
  </conditionalFormatting>
  <conditionalFormatting sqref="T5:T14">
    <cfRule type="cellIs" dxfId="506" priority="16" operator="equal">
      <formula>"TRUE"</formula>
    </cfRule>
  </conditionalFormatting>
  <conditionalFormatting sqref="U5:U14">
    <cfRule type="cellIs" dxfId="505" priority="17" operator="equal">
      <formula>"TRUE"</formula>
    </cfRule>
  </conditionalFormatting>
  <conditionalFormatting sqref="V5:V14">
    <cfRule type="cellIs" dxfId="504" priority="18" operator="equal">
      <formula>"TRUE"</formula>
    </cfRule>
  </conditionalFormatting>
  <pageMargins left="0.7" right="0.7" top="0.75" bottom="0.75" header="0" footer="0"/>
  <pageSetup paperSize="9" fitToWidth="0"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Y1000"/>
  <sheetViews>
    <sheetView zoomScale="55" zoomScaleNormal="55" workbookViewId="0">
      <selection activeCell="C5" sqref="C5:C11"/>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151</v>
      </c>
      <c r="B2" s="83">
        <v>15</v>
      </c>
      <c r="C2" s="103" t="s">
        <v>85</v>
      </c>
      <c r="D2" s="83" t="s">
        <v>88</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241</v>
      </c>
      <c r="D5" s="85" t="str">
        <f>_xlfn.TEXTJOIN(", ",TRUE,IF(OR(E5,F5),"1",""),IF(OR(G5,H5,I5,J5),"2",""),IF(OR(K5,L5),"3",""),IF(OR(M5,N5),"4",""),IF(OR(O5,P5),"5",""),IF(OR(Q5,R5,S5,T5),"6",""),IF(OR(U5,V5),"7",""))</f>
        <v>1</v>
      </c>
      <c r="E5" s="107" t="b">
        <v>0</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PI12</v>
      </c>
      <c r="X5" s="6"/>
      <c r="Y5" s="6"/>
    </row>
    <row r="6" spans="1:25" ht="45" customHeight="1" x14ac:dyDescent="0.25">
      <c r="A6" s="143"/>
      <c r="B6" s="97">
        <v>1.2</v>
      </c>
      <c r="C6" s="115" t="s">
        <v>242</v>
      </c>
      <c r="D6" s="85" t="str">
        <f t="shared" ref="D6:D14" si="0">_xlfn.TEXTJOIN(", ",TRUE,IF(OR(E6,F6),"1",""),IF(OR(G6,H6,I6,J6),"2",""),IF(OR(K6,L6),"3",""),IF(OR(M6,N6),"4",""),IF(OR(O6,P6),"5",""),IF(OR(Q6,R6,S6,T6),"6",""),IF(OR(U6,V6),"7",""))</f>
        <v>1</v>
      </c>
      <c r="E6" s="107" t="b">
        <v>0</v>
      </c>
      <c r="F6" s="107" t="b">
        <v>1</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PI12</v>
      </c>
      <c r="X6" s="6"/>
      <c r="Y6" s="6"/>
    </row>
    <row r="7" spans="1:25" ht="45" customHeight="1" x14ac:dyDescent="0.25">
      <c r="A7" s="144"/>
      <c r="B7" s="97"/>
      <c r="C7" s="115"/>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7" t="s">
        <v>152</v>
      </c>
      <c r="D8" s="85" t="str">
        <f t="shared" si="0"/>
        <v>1, 6</v>
      </c>
      <c r="E8" s="107" t="b">
        <v>0</v>
      </c>
      <c r="F8" s="107" t="b">
        <v>1</v>
      </c>
      <c r="G8" s="107" t="b">
        <v>0</v>
      </c>
      <c r="H8" s="107" t="b">
        <v>0</v>
      </c>
      <c r="I8" s="107" t="b">
        <v>0</v>
      </c>
      <c r="J8" s="107" t="b">
        <v>0</v>
      </c>
      <c r="K8" s="107" t="b">
        <v>0</v>
      </c>
      <c r="L8" s="107" t="b">
        <v>0</v>
      </c>
      <c r="M8" s="107" t="b">
        <v>0</v>
      </c>
      <c r="N8" s="107" t="b">
        <v>0</v>
      </c>
      <c r="O8" s="107" t="b">
        <v>0</v>
      </c>
      <c r="P8" s="107" t="b">
        <v>0</v>
      </c>
      <c r="Q8" s="107" t="b">
        <v>0</v>
      </c>
      <c r="R8" s="107" t="b">
        <v>0</v>
      </c>
      <c r="S8" s="107" t="b">
        <v>1</v>
      </c>
      <c r="T8" s="107" t="b">
        <v>1</v>
      </c>
      <c r="U8" s="107" t="b">
        <v>0</v>
      </c>
      <c r="V8" s="107" t="b">
        <v>0</v>
      </c>
      <c r="W8" s="83" t="str" cm="1">
        <f t="array" ref="W8">_xlfn.TEXTJOIN(", ",TRUE,IF(E8:V8,{"PI11","PI12","PI21","PI22","PI23","PI24","PI31","PI32","PI41","PI42","PI51","PI52","PI61","PI62","PI63","PI64","PI71","PI72"},""))</f>
        <v>PI12, PI63, PI64</v>
      </c>
      <c r="X8" s="6"/>
      <c r="Y8" s="6"/>
    </row>
    <row r="9" spans="1:25" ht="45" customHeight="1" x14ac:dyDescent="0.25">
      <c r="A9" s="143"/>
      <c r="B9" s="99">
        <v>2.2000000000000002</v>
      </c>
      <c r="C9" s="117" t="s">
        <v>243</v>
      </c>
      <c r="D9" s="85" t="str">
        <f t="shared" si="0"/>
        <v>1, 6</v>
      </c>
      <c r="E9" s="107" t="b">
        <v>0</v>
      </c>
      <c r="F9" s="107" t="b">
        <v>1</v>
      </c>
      <c r="G9" s="107" t="b">
        <v>0</v>
      </c>
      <c r="H9" s="107" t="b">
        <v>0</v>
      </c>
      <c r="I9" s="107" t="b">
        <v>0</v>
      </c>
      <c r="J9" s="107" t="b">
        <v>0</v>
      </c>
      <c r="K9" s="107" t="b">
        <v>0</v>
      </c>
      <c r="L9" s="107" t="b">
        <v>0</v>
      </c>
      <c r="M9" s="107" t="b">
        <v>0</v>
      </c>
      <c r="N9" s="107" t="b">
        <v>0</v>
      </c>
      <c r="O9" s="107" t="b">
        <v>0</v>
      </c>
      <c r="P9" s="107" t="b">
        <v>0</v>
      </c>
      <c r="Q9" s="107" t="b">
        <v>0</v>
      </c>
      <c r="R9" s="107" t="b">
        <v>0</v>
      </c>
      <c r="S9" s="107" t="b">
        <v>1</v>
      </c>
      <c r="T9" s="107" t="b">
        <v>1</v>
      </c>
      <c r="U9" s="107" t="b">
        <v>0</v>
      </c>
      <c r="V9" s="107" t="b">
        <v>0</v>
      </c>
      <c r="W9" s="83" t="str" cm="1">
        <f t="array" ref="W9">_xlfn.TEXTJOIN(", ",TRUE,IF(E9:V9,{"PI11","PI12","PI21","PI22","PI23","PI24","PI31","PI32","PI41","PI42","PI51","PI52","PI61","PI62","PI63","PI64","PI71","PI72"},""))</f>
        <v>PI12, PI63, PI64</v>
      </c>
      <c r="X9" s="6"/>
      <c r="Y9" s="6"/>
    </row>
    <row r="10" spans="1:25" ht="45" customHeight="1" x14ac:dyDescent="0.25">
      <c r="A10" s="143"/>
      <c r="B10" s="99">
        <v>2.2999999999999998</v>
      </c>
      <c r="C10" s="117" t="s">
        <v>244</v>
      </c>
      <c r="D10" s="85" t="str">
        <f t="shared" si="0"/>
        <v>1, 6</v>
      </c>
      <c r="E10" s="107" t="b">
        <v>0</v>
      </c>
      <c r="F10" s="107" t="b">
        <v>1</v>
      </c>
      <c r="G10" s="107" t="b">
        <v>0</v>
      </c>
      <c r="H10" s="107" t="b">
        <v>0</v>
      </c>
      <c r="I10" s="107" t="b">
        <v>0</v>
      </c>
      <c r="J10" s="107" t="b">
        <v>0</v>
      </c>
      <c r="K10" s="107" t="b">
        <v>0</v>
      </c>
      <c r="L10" s="107" t="b">
        <v>0</v>
      </c>
      <c r="M10" s="107" t="b">
        <v>0</v>
      </c>
      <c r="N10" s="107" t="b">
        <v>0</v>
      </c>
      <c r="O10" s="107" t="b">
        <v>0</v>
      </c>
      <c r="P10" s="107" t="b">
        <v>0</v>
      </c>
      <c r="Q10" s="107" t="b">
        <v>0</v>
      </c>
      <c r="R10" s="107" t="b">
        <v>0</v>
      </c>
      <c r="S10" s="107" t="b">
        <v>1</v>
      </c>
      <c r="T10" s="107" t="b">
        <v>0</v>
      </c>
      <c r="U10" s="107" t="b">
        <v>0</v>
      </c>
      <c r="V10" s="107" t="b">
        <v>0</v>
      </c>
      <c r="W10" s="83" t="str" cm="1">
        <f t="array" ref="W10">_xlfn.TEXTJOIN(", ",TRUE,IF(E10:V10,{"PI11","PI12","PI21","PI22","PI23","PI24","PI31","PI32","PI41","PI42","PI51","PI52","PI61","PI62","PI63","PI64","PI71","PI72"},""))</f>
        <v>PI12, PI63</v>
      </c>
      <c r="X10" s="6"/>
      <c r="Y10" s="6"/>
    </row>
    <row r="11" spans="1:25" ht="45" customHeight="1" x14ac:dyDescent="0.25">
      <c r="A11" s="143"/>
      <c r="B11" s="99">
        <v>2.4</v>
      </c>
      <c r="C11" s="117" t="s">
        <v>245</v>
      </c>
      <c r="D11" s="85" t="str">
        <f t="shared" si="0"/>
        <v>6, 7</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1</v>
      </c>
      <c r="T11" s="107" t="b">
        <v>1</v>
      </c>
      <c r="U11" s="107" t="b">
        <v>1</v>
      </c>
      <c r="V11" s="107" t="b">
        <v>0</v>
      </c>
      <c r="W11" s="83" t="str" cm="1">
        <f t="array" ref="W11">_xlfn.TEXTJOIN(", ",TRUE,IF(E11:V11,{"PI11","PI12","PI21","PI22","PI23","PI24","PI31","PI32","PI41","PI42","PI51","PI52","PI61","PI62","PI63","PI64","PI71","PI72"},""))</f>
        <v>PI63, PI64, PI71</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Signals and Systems</v>
      </c>
      <c r="D15" s="85" t="str">
        <f>A2</f>
        <v>EE 231</v>
      </c>
      <c r="E15" s="68" t="str">
        <f t="shared" ref="E15:V15" si="1">IF(COUNTIF(E$5:E$14,TRUE)&gt;0,$D$2,"")</f>
        <v/>
      </c>
      <c r="F15" s="69" t="str">
        <f t="shared" si="1"/>
        <v>I</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I</v>
      </c>
      <c r="T15" s="94" t="str">
        <f t="shared" si="1"/>
        <v>I</v>
      </c>
      <c r="U15" s="95" t="str">
        <f t="shared" si="1"/>
        <v>I</v>
      </c>
      <c r="V15" s="96" t="str">
        <f t="shared" si="1"/>
        <v/>
      </c>
      <c r="W15" s="6"/>
      <c r="X15" s="6"/>
      <c r="Y15" s="6"/>
    </row>
    <row r="16" spans="1:25" ht="30" customHeight="1" x14ac:dyDescent="0.25">
      <c r="A16" s="103" t="s">
        <v>136</v>
      </c>
      <c r="B16" s="103"/>
      <c r="C16" s="83" t="str">
        <f>C2</f>
        <v>Signals and Systems</v>
      </c>
      <c r="D16" s="85" t="str">
        <f>A2</f>
        <v>EE 231</v>
      </c>
      <c r="E16" s="147" t="str">
        <f>IF(COUNTIF(E$5:F$14,TRUE)&gt;0,$D$2,"")</f>
        <v>I</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I</v>
      </c>
      <c r="R16" s="129"/>
      <c r="S16" s="129"/>
      <c r="T16" s="125"/>
      <c r="U16" s="136" t="str">
        <f>IF(COUNTIF(U$5:V$14,TRUE)&gt;0,$D$2,"")</f>
        <v>I</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503" priority="1" operator="equal">
      <formula>"TRUE"</formula>
    </cfRule>
  </conditionalFormatting>
  <conditionalFormatting sqref="F5:F14">
    <cfRule type="cellIs" dxfId="502" priority="2" operator="equal">
      <formula>"TRUE"</formula>
    </cfRule>
  </conditionalFormatting>
  <conditionalFormatting sqref="G5:G14">
    <cfRule type="cellIs" dxfId="501" priority="3" operator="equal">
      <formula>"TRUE"</formula>
    </cfRule>
  </conditionalFormatting>
  <conditionalFormatting sqref="H5:I14">
    <cfRule type="cellIs" dxfId="500" priority="4" operator="equal">
      <formula>"TRUE"</formula>
    </cfRule>
  </conditionalFormatting>
  <conditionalFormatting sqref="I5:I14">
    <cfRule type="cellIs" dxfId="499" priority="5" operator="equal">
      <formula>"TRUE"</formula>
    </cfRule>
  </conditionalFormatting>
  <conditionalFormatting sqref="J5:J14">
    <cfRule type="cellIs" dxfId="498" priority="6" operator="equal">
      <formula>"TRUE"</formula>
    </cfRule>
  </conditionalFormatting>
  <conditionalFormatting sqref="K5:K14">
    <cfRule type="cellIs" dxfId="497" priority="7" operator="equal">
      <formula>"TRUE"</formula>
    </cfRule>
  </conditionalFormatting>
  <conditionalFormatting sqref="L5:L14">
    <cfRule type="cellIs" dxfId="496" priority="8" operator="equal">
      <formula>"TRUE"</formula>
    </cfRule>
  </conditionalFormatting>
  <conditionalFormatting sqref="M5:M14">
    <cfRule type="cellIs" dxfId="495" priority="9" operator="equal">
      <formula>"TRUE"</formula>
    </cfRule>
  </conditionalFormatting>
  <conditionalFormatting sqref="N5:N14">
    <cfRule type="cellIs" dxfId="494" priority="10" operator="equal">
      <formula>"TRUE"</formula>
    </cfRule>
  </conditionalFormatting>
  <conditionalFormatting sqref="O5:O14">
    <cfRule type="cellIs" dxfId="493" priority="11" operator="equal">
      <formula>"TRUE"</formula>
    </cfRule>
  </conditionalFormatting>
  <conditionalFormatting sqref="P5:P14">
    <cfRule type="cellIs" dxfId="492" priority="12" operator="equal">
      <formula>"TRUE"</formula>
    </cfRule>
  </conditionalFormatting>
  <conditionalFormatting sqref="Q5:Q14">
    <cfRule type="cellIs" dxfId="491" priority="13" operator="equal">
      <formula>"TRUE"</formula>
    </cfRule>
  </conditionalFormatting>
  <conditionalFormatting sqref="R5:R14">
    <cfRule type="cellIs" dxfId="490" priority="14" operator="equal">
      <formula>"TRUE"</formula>
    </cfRule>
  </conditionalFormatting>
  <conditionalFormatting sqref="S5:S14">
    <cfRule type="cellIs" dxfId="489" priority="15" operator="equal">
      <formula>"TRUE"</formula>
    </cfRule>
  </conditionalFormatting>
  <conditionalFormatting sqref="T5:T14">
    <cfRule type="cellIs" dxfId="488" priority="16" operator="equal">
      <formula>"TRUE"</formula>
    </cfRule>
  </conditionalFormatting>
  <conditionalFormatting sqref="U5:U14">
    <cfRule type="cellIs" dxfId="487" priority="17" operator="equal">
      <formula>"TRUE"</formula>
    </cfRule>
  </conditionalFormatting>
  <conditionalFormatting sqref="V5:V14">
    <cfRule type="cellIs" dxfId="486" priority="18" operator="equal">
      <formula>"TRUE"</formula>
    </cfRule>
  </conditionalFormatting>
  <pageMargins left="0.7" right="0.7" top="0.75" bottom="0.75" header="0" footer="0"/>
  <pageSetup paperSize="9" fitToWidth="0"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Y1000"/>
  <sheetViews>
    <sheetView tabSelected="1" zoomScale="55" zoomScaleNormal="55" workbookViewId="0">
      <selection activeCell="U13" sqref="U13"/>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153</v>
      </c>
      <c r="B2" s="83">
        <v>16</v>
      </c>
      <c r="C2" s="103" t="s">
        <v>87</v>
      </c>
      <c r="D2" s="83" t="s">
        <v>88</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154</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293</v>
      </c>
      <c r="D8" s="85" t="str">
        <f t="shared" si="0"/>
        <v>6</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1</v>
      </c>
      <c r="T8" s="107" t="b">
        <v>1</v>
      </c>
      <c r="U8" s="107" t="b">
        <v>0</v>
      </c>
      <c r="V8" s="107" t="b">
        <v>0</v>
      </c>
      <c r="W8" s="83" t="str" cm="1">
        <f t="array" ref="W8">_xlfn.TEXTJOIN(", ",TRUE,IF(E8:V8,{"PI11","PI12","PI21","PI22","PI23","PI24","PI31","PI32","PI41","PI42","PI51","PI52","PI61","PI62","PI63","PI64","PI71","PI72"},""))</f>
        <v>PI63, PI64</v>
      </c>
      <c r="X8" s="6"/>
      <c r="Y8" s="6"/>
    </row>
    <row r="9" spans="1:25" ht="45" customHeight="1" x14ac:dyDescent="0.25">
      <c r="A9" s="143"/>
      <c r="B9" s="99">
        <v>2.2000000000000002</v>
      </c>
      <c r="C9" s="100" t="s">
        <v>155</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1</v>
      </c>
      <c r="T9" s="107" t="b">
        <v>1</v>
      </c>
      <c r="U9" s="107" t="b">
        <v>0</v>
      </c>
      <c r="V9" s="107" t="b">
        <v>0</v>
      </c>
      <c r="W9" s="83" t="str" cm="1">
        <f t="array" ref="W9">_xlfn.TEXTJOIN(", ",TRUE,IF(E9:V9,{"PI11","PI12","PI21","PI22","PI23","PI24","PI31","PI32","PI41","PI42","PI51","PI52","PI61","PI62","PI63","PI64","PI71","PI72"},""))</f>
        <v>PI63, PI64</v>
      </c>
      <c r="X9" s="6"/>
      <c r="Y9" s="6"/>
    </row>
    <row r="10" spans="1:25" ht="45" customHeight="1" x14ac:dyDescent="0.25">
      <c r="A10" s="143"/>
      <c r="B10" s="99">
        <v>2.2999999999999998</v>
      </c>
      <c r="C10" s="100" t="s">
        <v>294</v>
      </c>
      <c r="D10" s="85" t="str">
        <f t="shared" si="0"/>
        <v>6</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1</v>
      </c>
      <c r="T10" s="107" t="b">
        <v>1</v>
      </c>
      <c r="U10" s="107" t="b">
        <v>0</v>
      </c>
      <c r="V10" s="107" t="b">
        <v>0</v>
      </c>
      <c r="W10" s="83" t="str" cm="1">
        <f t="array" ref="W10">_xlfn.TEXTJOIN(", ",TRUE,IF(E10:V10,{"PI11","PI12","PI21","PI22","PI23","PI24","PI31","PI32","PI41","PI42","PI51","PI52","PI61","PI62","PI63","PI64","PI71","PI72"},""))</f>
        <v>PI63, PI64</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c r="C13" s="102" t="s">
        <v>295</v>
      </c>
      <c r="D13" s="85" t="str">
        <f t="shared" si="0"/>
        <v>7</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1</v>
      </c>
      <c r="V13" s="107" t="b">
        <v>0</v>
      </c>
      <c r="W13" s="83" t="str" cm="1">
        <f t="array" ref="W13">_xlfn.TEXTJOIN(", ",TRUE,IF(E13:V13,{"PI11","PI12","PI21","PI22","PI23","PI24","PI31","PI32","PI41","PI42","PI51","PI52","PI61","PI62","PI63","PI64","PI71","PI72"},""))</f>
        <v>PI71</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Circuit Analysis</v>
      </c>
      <c r="D15" s="85" t="str">
        <f>A2</f>
        <v>EE 202</v>
      </c>
      <c r="E15" s="68" t="str">
        <f t="shared" ref="E15:V15" si="1">IF(COUNTIF(E$5:E$14,TRUE)&gt;0,$D$2,"")</f>
        <v>I</v>
      </c>
      <c r="F15" s="69" t="str">
        <f t="shared" si="1"/>
        <v>I</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I</v>
      </c>
      <c r="T15" s="94" t="str">
        <f t="shared" si="1"/>
        <v>I</v>
      </c>
      <c r="U15" s="95" t="str">
        <f t="shared" si="1"/>
        <v>I</v>
      </c>
      <c r="V15" s="96" t="str">
        <f t="shared" si="1"/>
        <v/>
      </c>
      <c r="W15" s="6"/>
      <c r="X15" s="6"/>
      <c r="Y15" s="6"/>
    </row>
    <row r="16" spans="1:25" ht="30" customHeight="1" x14ac:dyDescent="0.25">
      <c r="A16" s="103" t="s">
        <v>136</v>
      </c>
      <c r="B16" s="103"/>
      <c r="C16" s="83" t="str">
        <f>C2</f>
        <v>Circuit Analysis</v>
      </c>
      <c r="D16" s="85" t="str">
        <f>A2</f>
        <v>EE 202</v>
      </c>
      <c r="E16" s="147" t="str">
        <f>IF(COUNTIF(E$5:F$14,TRUE)&gt;0,$D$2,"")</f>
        <v>I</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I</v>
      </c>
      <c r="R16" s="129"/>
      <c r="S16" s="129"/>
      <c r="T16" s="125"/>
      <c r="U16" s="136" t="str">
        <f>IF(COUNTIF(U$5:V$14,TRUE)&gt;0,$D$2,"")</f>
        <v>I</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485" priority="1" operator="equal">
      <formula>"TRUE"</formula>
    </cfRule>
  </conditionalFormatting>
  <conditionalFormatting sqref="F5:F14">
    <cfRule type="cellIs" dxfId="484" priority="2" operator="equal">
      <formula>"TRUE"</formula>
    </cfRule>
  </conditionalFormatting>
  <conditionalFormatting sqref="G5:G14">
    <cfRule type="cellIs" dxfId="483" priority="3" operator="equal">
      <formula>"TRUE"</formula>
    </cfRule>
  </conditionalFormatting>
  <conditionalFormatting sqref="H5:I14">
    <cfRule type="cellIs" dxfId="482" priority="4" operator="equal">
      <formula>"TRUE"</formula>
    </cfRule>
  </conditionalFormatting>
  <conditionalFormatting sqref="I5:I14">
    <cfRule type="cellIs" dxfId="481" priority="5" operator="equal">
      <formula>"TRUE"</formula>
    </cfRule>
  </conditionalFormatting>
  <conditionalFormatting sqref="J5:J14">
    <cfRule type="cellIs" dxfId="480" priority="6" operator="equal">
      <formula>"TRUE"</formula>
    </cfRule>
  </conditionalFormatting>
  <conditionalFormatting sqref="K5:K14">
    <cfRule type="cellIs" dxfId="479" priority="7" operator="equal">
      <formula>"TRUE"</formula>
    </cfRule>
  </conditionalFormatting>
  <conditionalFormatting sqref="L5:L14">
    <cfRule type="cellIs" dxfId="478" priority="8" operator="equal">
      <formula>"TRUE"</formula>
    </cfRule>
  </conditionalFormatting>
  <conditionalFormatting sqref="M5:M14">
    <cfRule type="cellIs" dxfId="477" priority="9" operator="equal">
      <formula>"TRUE"</formula>
    </cfRule>
  </conditionalFormatting>
  <conditionalFormatting sqref="N5:N14">
    <cfRule type="cellIs" dxfId="476" priority="10" operator="equal">
      <formula>"TRUE"</formula>
    </cfRule>
  </conditionalFormatting>
  <conditionalFormatting sqref="O5:O14">
    <cfRule type="cellIs" dxfId="475" priority="11" operator="equal">
      <formula>"TRUE"</formula>
    </cfRule>
  </conditionalFormatting>
  <conditionalFormatting sqref="P5:P14">
    <cfRule type="cellIs" dxfId="474" priority="12" operator="equal">
      <formula>"TRUE"</formula>
    </cfRule>
  </conditionalFormatting>
  <conditionalFormatting sqref="Q5:Q14">
    <cfRule type="cellIs" dxfId="473" priority="13" operator="equal">
      <formula>"TRUE"</formula>
    </cfRule>
  </conditionalFormatting>
  <conditionalFormatting sqref="R5:R14">
    <cfRule type="cellIs" dxfId="472" priority="14" operator="equal">
      <formula>"TRUE"</formula>
    </cfRule>
  </conditionalFormatting>
  <conditionalFormatting sqref="S5:S14">
    <cfRule type="cellIs" dxfId="471" priority="15" operator="equal">
      <formula>"TRUE"</formula>
    </cfRule>
  </conditionalFormatting>
  <conditionalFormatting sqref="T5:T14">
    <cfRule type="cellIs" dxfId="470" priority="16" operator="equal">
      <formula>"TRUE"</formula>
    </cfRule>
  </conditionalFormatting>
  <conditionalFormatting sqref="U5:U14">
    <cfRule type="cellIs" dxfId="469" priority="17" operator="equal">
      <formula>"TRUE"</formula>
    </cfRule>
  </conditionalFormatting>
  <conditionalFormatting sqref="V5:V14">
    <cfRule type="cellIs" dxfId="468" priority="18" operator="equal">
      <formula>"TRUE"</formula>
    </cfRule>
  </conditionalFormatting>
  <pageMargins left="0.7" right="0.7" top="0.75" bottom="0.75" header="0" footer="0"/>
  <pageSetup paperSize="9" fitToWidth="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156</v>
      </c>
      <c r="B2" s="83">
        <v>17</v>
      </c>
      <c r="C2" s="103" t="s">
        <v>89</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157</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158</v>
      </c>
      <c r="D8" s="85" t="str">
        <f t="shared" si="0"/>
        <v>6</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1</v>
      </c>
      <c r="T8" s="107" t="b">
        <v>1</v>
      </c>
      <c r="U8" s="107" t="b">
        <v>0</v>
      </c>
      <c r="V8" s="107" t="b">
        <v>0</v>
      </c>
      <c r="W8" s="83" t="str" cm="1">
        <f t="array" ref="W8">_xlfn.TEXTJOIN(", ",TRUE,IF(E8:V8,{"PI11","PI12","PI21","PI22","PI23","PI24","PI31","PI32","PI41","PI42","PI51","PI52","PI61","PI62","PI63","PI64","PI71","PI72"},""))</f>
        <v>PI63, PI64</v>
      </c>
      <c r="X8" s="6"/>
      <c r="Y8" s="6"/>
    </row>
    <row r="9" spans="1:25" ht="45" customHeight="1" x14ac:dyDescent="0.25">
      <c r="A9" s="143"/>
      <c r="B9" s="99">
        <v>2.2000000000000002</v>
      </c>
      <c r="C9" s="100" t="s">
        <v>159</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1</v>
      </c>
      <c r="T9" s="107" t="b">
        <v>1</v>
      </c>
      <c r="U9" s="107" t="b">
        <v>0</v>
      </c>
      <c r="V9" s="107" t="b">
        <v>0</v>
      </c>
      <c r="W9" s="83" t="str" cm="1">
        <f t="array" ref="W9">_xlfn.TEXTJOIN(", ",TRUE,IF(E9:V9,{"PI11","PI12","PI21","PI22","PI23","PI24","PI31","PI32","PI41","PI42","PI51","PI52","PI61","PI62","PI63","PI64","PI71","PI72"},""))</f>
        <v>PI63, PI64</v>
      </c>
      <c r="X9" s="6"/>
      <c r="Y9" s="6"/>
    </row>
    <row r="10" spans="1:25" ht="45" customHeight="1" x14ac:dyDescent="0.25">
      <c r="A10" s="143"/>
      <c r="B10" s="99">
        <v>2.2999999999999998</v>
      </c>
      <c r="C10" s="100" t="s">
        <v>160</v>
      </c>
      <c r="D10" s="85" t="str">
        <f t="shared" si="0"/>
        <v>2</v>
      </c>
      <c r="E10" s="107" t="b">
        <v>0</v>
      </c>
      <c r="F10" s="107" t="b">
        <v>0</v>
      </c>
      <c r="G10" s="107" t="b">
        <v>1</v>
      </c>
      <c r="H10" s="107" t="b">
        <v>1</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PI21, PI22</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Electronic Engineering</v>
      </c>
      <c r="D15" s="85" t="str">
        <f>A2</f>
        <v>EE 312</v>
      </c>
      <c r="E15" s="68" t="str">
        <f t="shared" ref="E15:V15" si="1">IF(COUNTIF(E$5:E$14,TRUE)&gt;0,$D$2,"")</f>
        <v>P</v>
      </c>
      <c r="F15" s="69" t="str">
        <f t="shared" si="1"/>
        <v>P</v>
      </c>
      <c r="G15" s="70" t="str">
        <f t="shared" si="1"/>
        <v>P</v>
      </c>
      <c r="H15" s="71" t="str">
        <f t="shared" si="1"/>
        <v>P</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P</v>
      </c>
      <c r="T15" s="94" t="str">
        <f t="shared" si="1"/>
        <v>P</v>
      </c>
      <c r="U15" s="95" t="str">
        <f t="shared" si="1"/>
        <v/>
      </c>
      <c r="V15" s="96" t="str">
        <f t="shared" si="1"/>
        <v/>
      </c>
      <c r="W15" s="6"/>
      <c r="X15" s="6"/>
      <c r="Y15" s="6"/>
    </row>
    <row r="16" spans="1:25" ht="30" customHeight="1" x14ac:dyDescent="0.25">
      <c r="A16" s="103" t="s">
        <v>136</v>
      </c>
      <c r="B16" s="103"/>
      <c r="C16" s="83" t="str">
        <f>C2</f>
        <v>Electronic Engineering</v>
      </c>
      <c r="D16" s="85" t="str">
        <f>A2</f>
        <v>EE 312</v>
      </c>
      <c r="E16" s="147" t="str">
        <f>IF(COUNTIF(E$5:F$14,TRUE)&gt;0,$D$2,"")</f>
        <v>P</v>
      </c>
      <c r="F16" s="125"/>
      <c r="G16" s="148" t="str">
        <f>IF(COUNTIF(G$5:J$14,TRUE)&gt;0,$D$2,"")</f>
        <v>P</v>
      </c>
      <c r="H16" s="129"/>
      <c r="I16" s="129"/>
      <c r="J16" s="125"/>
      <c r="K16" s="149" t="str">
        <f>IF(COUNTIF(K$5:L$14,TRUE)&gt;0,$D$2,"")</f>
        <v/>
      </c>
      <c r="L16" s="125"/>
      <c r="M16" s="137" t="str">
        <f>IF(COUNTIF(M$5:N$14,TRUE)&gt;0,$D$2,"")</f>
        <v/>
      </c>
      <c r="N16" s="125"/>
      <c r="O16" s="138" t="str">
        <f>IF(COUNTIF(O$5:P$14,TRUE)&gt;0,$D$2,"")</f>
        <v/>
      </c>
      <c r="P16" s="125"/>
      <c r="Q16" s="139" t="str">
        <f>IF(COUNTIF(Q$5:T$14,TRUE)&gt;0,$D$2,"")</f>
        <v>P</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467" priority="1" operator="equal">
      <formula>"TRUE"</formula>
    </cfRule>
  </conditionalFormatting>
  <conditionalFormatting sqref="F5:F14">
    <cfRule type="cellIs" dxfId="466" priority="2" operator="equal">
      <formula>"TRUE"</formula>
    </cfRule>
  </conditionalFormatting>
  <conditionalFormatting sqref="G5:G14">
    <cfRule type="cellIs" dxfId="465" priority="3" operator="equal">
      <formula>"TRUE"</formula>
    </cfRule>
  </conditionalFormatting>
  <conditionalFormatting sqref="H5:I14">
    <cfRule type="cellIs" dxfId="464" priority="4" operator="equal">
      <formula>"TRUE"</formula>
    </cfRule>
  </conditionalFormatting>
  <conditionalFormatting sqref="I5:I14">
    <cfRule type="cellIs" dxfId="463" priority="5" operator="equal">
      <formula>"TRUE"</formula>
    </cfRule>
  </conditionalFormatting>
  <conditionalFormatting sqref="J5:J14">
    <cfRule type="cellIs" dxfId="462" priority="6" operator="equal">
      <formula>"TRUE"</formula>
    </cfRule>
  </conditionalFormatting>
  <conditionalFormatting sqref="K5:K14">
    <cfRule type="cellIs" dxfId="461" priority="7" operator="equal">
      <formula>"TRUE"</formula>
    </cfRule>
  </conditionalFormatting>
  <conditionalFormatting sqref="L5:L14">
    <cfRule type="cellIs" dxfId="460" priority="8" operator="equal">
      <formula>"TRUE"</formula>
    </cfRule>
  </conditionalFormatting>
  <conditionalFormatting sqref="M5:M14">
    <cfRule type="cellIs" dxfId="459" priority="9" operator="equal">
      <formula>"TRUE"</formula>
    </cfRule>
  </conditionalFormatting>
  <conditionalFormatting sqref="N5:N14">
    <cfRule type="cellIs" dxfId="458" priority="10" operator="equal">
      <formula>"TRUE"</formula>
    </cfRule>
  </conditionalFormatting>
  <conditionalFormatting sqref="O5:O14">
    <cfRule type="cellIs" dxfId="457" priority="11" operator="equal">
      <formula>"TRUE"</formula>
    </cfRule>
  </conditionalFormatting>
  <conditionalFormatting sqref="P5:P14">
    <cfRule type="cellIs" dxfId="456" priority="12" operator="equal">
      <formula>"TRUE"</formula>
    </cfRule>
  </conditionalFormatting>
  <conditionalFormatting sqref="Q5:Q14">
    <cfRule type="cellIs" dxfId="455" priority="13" operator="equal">
      <formula>"TRUE"</formula>
    </cfRule>
  </conditionalFormatting>
  <conditionalFormatting sqref="R5:R14">
    <cfRule type="cellIs" dxfId="454" priority="14" operator="equal">
      <formula>"TRUE"</formula>
    </cfRule>
  </conditionalFormatting>
  <conditionalFormatting sqref="S5:S14">
    <cfRule type="cellIs" dxfId="453" priority="15" operator="equal">
      <formula>"TRUE"</formula>
    </cfRule>
  </conditionalFormatting>
  <conditionalFormatting sqref="T5:T14">
    <cfRule type="cellIs" dxfId="452" priority="16" operator="equal">
      <formula>"TRUE"</formula>
    </cfRule>
  </conditionalFormatting>
  <conditionalFormatting sqref="U5:U14">
    <cfRule type="cellIs" dxfId="451" priority="17" operator="equal">
      <formula>"TRUE"</formula>
    </cfRule>
  </conditionalFormatting>
  <conditionalFormatting sqref="V5:V14">
    <cfRule type="cellIs" dxfId="450" priority="18" operator="equal">
      <formula>"TRUE"</formula>
    </cfRule>
  </conditionalFormatting>
  <pageMargins left="0.7" right="0.7" top="0.75" bottom="0.75" header="0" footer="0"/>
  <pageSetup paperSize="9" fitToWidth="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Y1000"/>
  <sheetViews>
    <sheetView zoomScale="55" zoomScaleNormal="55" workbookViewId="0">
      <selection activeCell="G7" sqref="G7"/>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161</v>
      </c>
      <c r="B2" s="83">
        <v>18</v>
      </c>
      <c r="C2" s="103" t="s">
        <v>91</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246</v>
      </c>
      <c r="D5" s="85" t="str">
        <f>_xlfn.TEXTJOIN(", ",TRUE,IF(OR(E5,F5),"1",""),IF(OR(G5,H5,I5,J5),"2",""),IF(OR(K5,L5),"3",""),IF(OR(M5,N5),"4",""),IF(OR(O5,P5),"5",""),IF(OR(Q5,R5,S5,T5),"6",""),IF(OR(U5,V5),"7",""))</f>
        <v>1, 3</v>
      </c>
      <c r="E5" s="107" t="b">
        <v>1</v>
      </c>
      <c r="F5" s="107" t="b">
        <v>1</v>
      </c>
      <c r="G5" s="107" t="b">
        <v>0</v>
      </c>
      <c r="H5" s="107" t="b">
        <v>0</v>
      </c>
      <c r="I5" s="107" t="b">
        <v>0</v>
      </c>
      <c r="J5" s="107" t="b">
        <v>0</v>
      </c>
      <c r="K5" s="107" t="b">
        <v>1</v>
      </c>
      <c r="L5" s="107" t="b">
        <v>1</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 PI31, PI32</v>
      </c>
      <c r="X5" s="6"/>
      <c r="Y5" s="6"/>
    </row>
    <row r="6" spans="1:25" ht="45" customHeight="1" x14ac:dyDescent="0.25">
      <c r="A6" s="143"/>
      <c r="B6" s="97">
        <v>1.2</v>
      </c>
      <c r="C6" s="109" t="s">
        <v>282</v>
      </c>
      <c r="D6" s="85" t="str">
        <f t="shared" ref="D6:D14" si="0">_xlfn.TEXTJOIN(", ",TRUE,IF(OR(E6,F6),"1",""),IF(OR(G6,H6,I6,J6),"2",""),IF(OR(K6,L6),"3",""),IF(OR(M6,N6),"4",""),IF(OR(O6,P6),"5",""),IF(OR(Q6,R6,S6,T6),"6",""),IF(OR(U6,V6),"7",""))</f>
        <v>1, 7</v>
      </c>
      <c r="E6" s="107" t="b">
        <v>1</v>
      </c>
      <c r="F6" s="107" t="b">
        <v>1</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1</v>
      </c>
      <c r="V6" s="107" t="b">
        <v>1</v>
      </c>
      <c r="W6" s="83" t="str" cm="1">
        <f t="array" ref="W6">_xlfn.TEXTJOIN(", ",TRUE,IF(E6:V6,{"PI11","PI12","PI21","PI22","PI23","PI24","PI31","PI32","PI41","PI42","PI51","PI52","PI61","PI62","PI63","PI64","PI71","PI72"},""))</f>
        <v>PI11, PI12, PI71, PI72</v>
      </c>
      <c r="X6" s="6"/>
      <c r="Y6" s="6"/>
    </row>
    <row r="7" spans="1:25" ht="45" customHeight="1" x14ac:dyDescent="0.25">
      <c r="A7" s="144"/>
      <c r="B7" s="97">
        <v>1.3</v>
      </c>
      <c r="C7" s="98" t="s">
        <v>283</v>
      </c>
      <c r="D7" s="85" t="str">
        <f t="shared" si="0"/>
        <v>1, 2</v>
      </c>
      <c r="E7" s="107" t="b">
        <v>1</v>
      </c>
      <c r="F7" s="107" t="b">
        <v>1</v>
      </c>
      <c r="G7" s="107" t="b">
        <v>1</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PI11, PI12, PI21</v>
      </c>
      <c r="X7" s="6"/>
      <c r="Y7" s="6"/>
    </row>
    <row r="8" spans="1:25" ht="45" customHeight="1" x14ac:dyDescent="0.25">
      <c r="A8" s="145" t="s">
        <v>128</v>
      </c>
      <c r="B8" s="99">
        <v>2.1</v>
      </c>
      <c r="C8" s="117" t="s">
        <v>281</v>
      </c>
      <c r="D8" s="85" t="str">
        <f t="shared" si="0"/>
        <v>2, 4, 5, 6, 7</v>
      </c>
      <c r="E8" s="107" t="b">
        <v>0</v>
      </c>
      <c r="F8" s="107" t="b">
        <v>0</v>
      </c>
      <c r="G8" s="107" t="b">
        <v>1</v>
      </c>
      <c r="H8" s="107" t="b">
        <v>1</v>
      </c>
      <c r="I8" s="107" t="b">
        <v>1</v>
      </c>
      <c r="J8" s="107" t="b">
        <v>1</v>
      </c>
      <c r="K8" s="107" t="b">
        <v>0</v>
      </c>
      <c r="L8" s="107" t="b">
        <v>0</v>
      </c>
      <c r="M8" s="107" t="b">
        <v>1</v>
      </c>
      <c r="N8" s="107" t="b">
        <v>1</v>
      </c>
      <c r="O8" s="107" t="b">
        <v>1</v>
      </c>
      <c r="P8" s="107" t="b">
        <v>1</v>
      </c>
      <c r="Q8" s="107" t="b">
        <v>1</v>
      </c>
      <c r="R8" s="107" t="b">
        <v>1</v>
      </c>
      <c r="S8" s="107" t="b">
        <v>1</v>
      </c>
      <c r="T8" s="107" t="b">
        <v>1</v>
      </c>
      <c r="U8" s="107" t="b">
        <v>1</v>
      </c>
      <c r="V8" s="107" t="b">
        <v>1</v>
      </c>
      <c r="W8" s="83" t="str" cm="1">
        <f t="array" ref="W8">_xlfn.TEXTJOIN(", ",TRUE,IF(E8:V8,{"PI11","PI12","PI21","PI22","PI23","PI24","PI31","PI32","PI41","PI42","PI51","PI52","PI61","PI62","PI63","PI64","PI71","PI72"},""))</f>
        <v>PI21, PI22, PI23, PI24, PI41, PI42, PI51, PI52, PI61, PI62, PI63, PI64, PI71, PI72</v>
      </c>
      <c r="X8" s="6"/>
      <c r="Y8" s="6"/>
    </row>
    <row r="9" spans="1:25" ht="45" customHeight="1" x14ac:dyDescent="0.25">
      <c r="A9" s="143"/>
      <c r="B9" s="99">
        <v>2.2000000000000002</v>
      </c>
      <c r="C9" s="110" t="s">
        <v>247</v>
      </c>
      <c r="D9" s="85" t="str">
        <f t="shared" si="0"/>
        <v>2, 4, 5, 6, 7</v>
      </c>
      <c r="E9" s="107" t="b">
        <v>0</v>
      </c>
      <c r="F9" s="107" t="b">
        <v>0</v>
      </c>
      <c r="G9" s="107" t="b">
        <v>1</v>
      </c>
      <c r="H9" s="107" t="b">
        <v>1</v>
      </c>
      <c r="I9" s="107" t="b">
        <v>1</v>
      </c>
      <c r="J9" s="107" t="b">
        <v>1</v>
      </c>
      <c r="K9" s="107" t="b">
        <v>0</v>
      </c>
      <c r="L9" s="107" t="b">
        <v>0</v>
      </c>
      <c r="M9" s="107" t="b">
        <v>1</v>
      </c>
      <c r="N9" s="107" t="b">
        <v>1</v>
      </c>
      <c r="O9" s="107" t="b">
        <v>1</v>
      </c>
      <c r="P9" s="107" t="b">
        <v>1</v>
      </c>
      <c r="Q9" s="107" t="b">
        <v>1</v>
      </c>
      <c r="R9" s="107" t="b">
        <v>1</v>
      </c>
      <c r="S9" s="107" t="b">
        <v>1</v>
      </c>
      <c r="T9" s="107" t="b">
        <v>1</v>
      </c>
      <c r="U9" s="107" t="b">
        <v>1</v>
      </c>
      <c r="V9" s="107" t="b">
        <v>1</v>
      </c>
      <c r="W9" s="83" t="str" cm="1">
        <f t="array" ref="W9">_xlfn.TEXTJOIN(", ",TRUE,IF(E9:V9,{"PI11","PI12","PI21","PI22","PI23","PI24","PI31","PI32","PI41","PI42","PI51","PI52","PI61","PI62","PI63","PI64","PI71","PI72"},""))</f>
        <v>PI21, PI22, PI23, PI24, PI41, PI42, PI51, PI52, PI61, PI62, PI63, PI64, PI71, PI72</v>
      </c>
      <c r="X9" s="6"/>
      <c r="Y9" s="6"/>
    </row>
    <row r="10" spans="1:25" ht="45" customHeight="1" x14ac:dyDescent="0.25">
      <c r="A10" s="143"/>
      <c r="B10" s="99"/>
      <c r="C10" s="112"/>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12"/>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12"/>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8" t="s">
        <v>248</v>
      </c>
      <c r="D13" s="85" t="str">
        <f t="shared" si="0"/>
        <v>2, 5, 6, 7</v>
      </c>
      <c r="E13" s="107" t="b">
        <v>0</v>
      </c>
      <c r="F13" s="107" t="b">
        <v>0</v>
      </c>
      <c r="G13" s="107" t="b">
        <v>1</v>
      </c>
      <c r="H13" s="107" t="b">
        <v>1</v>
      </c>
      <c r="I13" s="107" t="b">
        <v>1</v>
      </c>
      <c r="J13" s="107" t="b">
        <v>1</v>
      </c>
      <c r="K13" s="107" t="b">
        <v>0</v>
      </c>
      <c r="L13" s="107" t="b">
        <v>0</v>
      </c>
      <c r="M13" s="107" t="b">
        <v>0</v>
      </c>
      <c r="N13" s="107" t="b">
        <v>0</v>
      </c>
      <c r="O13" s="107" t="b">
        <v>0</v>
      </c>
      <c r="P13" s="107" t="b">
        <v>1</v>
      </c>
      <c r="Q13" s="107" t="b">
        <v>1</v>
      </c>
      <c r="R13" s="107" t="b">
        <v>1</v>
      </c>
      <c r="S13" s="107" t="b">
        <v>1</v>
      </c>
      <c r="T13" s="107" t="b">
        <v>1</v>
      </c>
      <c r="U13" s="107" t="b">
        <v>1</v>
      </c>
      <c r="V13" s="107" t="b">
        <v>1</v>
      </c>
      <c r="W13" s="83" t="str" cm="1">
        <f t="array" ref="W13">_xlfn.TEXTJOIN(", ",TRUE,IF(E13:V13,{"PI11","PI12","PI21","PI22","PI23","PI24","PI31","PI32","PI41","PI42","PI51","PI52","PI61","PI62","PI63","PI64","PI71","PI72"},""))</f>
        <v>PI21, PI22, PI23, PI24, PI52, PI61, PI62, PI63, PI64, PI71, PI72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Microprocessors Design</v>
      </c>
      <c r="D15" s="85" t="str">
        <f>A2</f>
        <v>EE 322</v>
      </c>
      <c r="E15" s="68" t="str">
        <f t="shared" ref="E15:V15" si="1">IF(COUNTIF(E$5:E$14,TRUE)&gt;0,$D$2,"")</f>
        <v>P</v>
      </c>
      <c r="F15" s="69" t="str">
        <f t="shared" si="1"/>
        <v>P</v>
      </c>
      <c r="G15" s="70" t="str">
        <f t="shared" si="1"/>
        <v>P</v>
      </c>
      <c r="H15" s="71" t="str">
        <f t="shared" si="1"/>
        <v>P</v>
      </c>
      <c r="I15" s="72" t="str">
        <f t="shared" si="1"/>
        <v>P</v>
      </c>
      <c r="J15" s="73" t="str">
        <f t="shared" si="1"/>
        <v>P</v>
      </c>
      <c r="K15" s="74" t="str">
        <f t="shared" si="1"/>
        <v>P</v>
      </c>
      <c r="L15" s="86" t="str">
        <f t="shared" si="1"/>
        <v>P</v>
      </c>
      <c r="M15" s="87" t="str">
        <f t="shared" si="1"/>
        <v>P</v>
      </c>
      <c r="N15" s="88" t="str">
        <f t="shared" si="1"/>
        <v>P</v>
      </c>
      <c r="O15" s="89" t="str">
        <f t="shared" si="1"/>
        <v>P</v>
      </c>
      <c r="P15" s="90" t="str">
        <f t="shared" si="1"/>
        <v>P</v>
      </c>
      <c r="Q15" s="91" t="str">
        <f t="shared" si="1"/>
        <v>P</v>
      </c>
      <c r="R15" s="92" t="str">
        <f t="shared" si="1"/>
        <v>P</v>
      </c>
      <c r="S15" s="93" t="str">
        <f t="shared" si="1"/>
        <v>P</v>
      </c>
      <c r="T15" s="94" t="str">
        <f t="shared" si="1"/>
        <v>P</v>
      </c>
      <c r="U15" s="95" t="str">
        <f t="shared" si="1"/>
        <v>P</v>
      </c>
      <c r="V15" s="96" t="str">
        <f t="shared" si="1"/>
        <v>P</v>
      </c>
      <c r="W15" s="6"/>
      <c r="X15" s="6"/>
      <c r="Y15" s="6"/>
    </row>
    <row r="16" spans="1:25" ht="30" customHeight="1" x14ac:dyDescent="0.25">
      <c r="A16" s="103" t="s">
        <v>136</v>
      </c>
      <c r="B16" s="103"/>
      <c r="C16" s="83" t="str">
        <f>C2</f>
        <v>Microprocessors Design</v>
      </c>
      <c r="D16" s="85" t="str">
        <f>A2</f>
        <v>EE 322</v>
      </c>
      <c r="E16" s="147" t="str">
        <f>IF(COUNTIF(E$5:F$14,TRUE)&gt;0,$D$2,"")</f>
        <v>P</v>
      </c>
      <c r="F16" s="125"/>
      <c r="G16" s="148" t="str">
        <f>IF(COUNTIF(G$5:J$14,TRUE)&gt;0,$D$2,"")</f>
        <v>P</v>
      </c>
      <c r="H16" s="129"/>
      <c r="I16" s="129"/>
      <c r="J16" s="125"/>
      <c r="K16" s="149" t="str">
        <f>IF(COUNTIF(K$5:L$14,TRUE)&gt;0,$D$2,"")</f>
        <v>P</v>
      </c>
      <c r="L16" s="125"/>
      <c r="M16" s="137" t="str">
        <f>IF(COUNTIF(M$5:N$14,TRUE)&gt;0,$D$2,"")</f>
        <v>P</v>
      </c>
      <c r="N16" s="125"/>
      <c r="O16" s="138" t="str">
        <f>IF(COUNTIF(O$5:P$14,TRUE)&gt;0,$D$2,"")</f>
        <v>P</v>
      </c>
      <c r="P16" s="125"/>
      <c r="Q16" s="139" t="str">
        <f>IF(COUNTIF(Q$5:T$14,TRUE)&gt;0,$D$2,"")</f>
        <v>P</v>
      </c>
      <c r="R16" s="129"/>
      <c r="S16" s="129"/>
      <c r="T16" s="125"/>
      <c r="U16" s="136" t="str">
        <f>IF(COUNTIF(U$5:V$14,TRUE)&gt;0,$D$2,"")</f>
        <v>P</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C24" s="108"/>
      <c r="D24" s="104"/>
    </row>
    <row r="25" spans="1:25" ht="18.75" customHeight="1" x14ac:dyDescent="0.25">
      <c r="D25" s="104"/>
    </row>
    <row r="26" spans="1:25" ht="18.75" customHeight="1" x14ac:dyDescent="0.25">
      <c r="C26" s="111"/>
      <c r="D26" s="104"/>
    </row>
    <row r="27" spans="1:25" ht="18.75" customHeight="1" x14ac:dyDescent="0.25">
      <c r="D27" s="104"/>
    </row>
    <row r="28" spans="1:25" ht="18.75" customHeight="1" x14ac:dyDescent="0.25">
      <c r="C28" s="111"/>
      <c r="D28" s="104"/>
    </row>
    <row r="29" spans="1:25" ht="18.75" customHeight="1" x14ac:dyDescent="0.25">
      <c r="D29" s="104"/>
    </row>
    <row r="30" spans="1:25" ht="18.75" customHeight="1" x14ac:dyDescent="0.25">
      <c r="C30" s="111"/>
      <c r="D30" s="104"/>
    </row>
    <row r="31" spans="1:25" ht="18.75" customHeight="1" x14ac:dyDescent="0.25">
      <c r="D31" s="104"/>
    </row>
    <row r="32" spans="1:25" ht="18.75" customHeight="1" x14ac:dyDescent="0.25">
      <c r="C32" s="111"/>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449" priority="1" operator="equal">
      <formula>"TRUE"</formula>
    </cfRule>
  </conditionalFormatting>
  <conditionalFormatting sqref="F5:F14">
    <cfRule type="cellIs" dxfId="448" priority="2" operator="equal">
      <formula>"TRUE"</formula>
    </cfRule>
  </conditionalFormatting>
  <conditionalFormatting sqref="G5:G14">
    <cfRule type="cellIs" dxfId="447" priority="3" operator="equal">
      <formula>"TRUE"</formula>
    </cfRule>
  </conditionalFormatting>
  <conditionalFormatting sqref="H5:I14">
    <cfRule type="cellIs" dxfId="446" priority="4" operator="equal">
      <formula>"TRUE"</formula>
    </cfRule>
  </conditionalFormatting>
  <conditionalFormatting sqref="I5:I14">
    <cfRule type="cellIs" dxfId="445" priority="5" operator="equal">
      <formula>"TRUE"</formula>
    </cfRule>
  </conditionalFormatting>
  <conditionalFormatting sqref="J5:J14">
    <cfRule type="cellIs" dxfId="444" priority="6" operator="equal">
      <formula>"TRUE"</formula>
    </cfRule>
  </conditionalFormatting>
  <conditionalFormatting sqref="K5:K14">
    <cfRule type="cellIs" dxfId="443" priority="7" operator="equal">
      <formula>"TRUE"</formula>
    </cfRule>
  </conditionalFormatting>
  <conditionalFormatting sqref="L5:L14">
    <cfRule type="cellIs" dxfId="442" priority="8" operator="equal">
      <formula>"TRUE"</formula>
    </cfRule>
  </conditionalFormatting>
  <conditionalFormatting sqref="M5:M14">
    <cfRule type="cellIs" dxfId="441" priority="9" operator="equal">
      <formula>"TRUE"</formula>
    </cfRule>
  </conditionalFormatting>
  <conditionalFormatting sqref="N5:N14">
    <cfRule type="cellIs" dxfId="440" priority="10" operator="equal">
      <formula>"TRUE"</formula>
    </cfRule>
  </conditionalFormatting>
  <conditionalFormatting sqref="O5:O14">
    <cfRule type="cellIs" dxfId="439" priority="11" operator="equal">
      <formula>"TRUE"</formula>
    </cfRule>
  </conditionalFormatting>
  <conditionalFormatting sqref="P5:P14">
    <cfRule type="cellIs" dxfId="438" priority="12" operator="equal">
      <formula>"TRUE"</formula>
    </cfRule>
  </conditionalFormatting>
  <conditionalFormatting sqref="Q5:Q14">
    <cfRule type="cellIs" dxfId="437" priority="13" operator="equal">
      <formula>"TRUE"</formula>
    </cfRule>
  </conditionalFormatting>
  <conditionalFormatting sqref="R5:R14">
    <cfRule type="cellIs" dxfId="436" priority="14" operator="equal">
      <formula>"TRUE"</formula>
    </cfRule>
  </conditionalFormatting>
  <conditionalFormatting sqref="S5:S14">
    <cfRule type="cellIs" dxfId="435" priority="15" operator="equal">
      <formula>"TRUE"</formula>
    </cfRule>
  </conditionalFormatting>
  <conditionalFormatting sqref="T5:T14">
    <cfRule type="cellIs" dxfId="434" priority="16" operator="equal">
      <formula>"TRUE"</formula>
    </cfRule>
  </conditionalFormatting>
  <conditionalFormatting sqref="U5:U14">
    <cfRule type="cellIs" dxfId="433" priority="17" operator="equal">
      <formula>"TRUE"</formula>
    </cfRule>
  </conditionalFormatting>
  <conditionalFormatting sqref="V5:V14">
    <cfRule type="cellIs" dxfId="432" priority="18" operator="equal">
      <formula>"TRUE"</formula>
    </cfRule>
  </conditionalFormatting>
  <pageMargins left="0.7" right="0.7" top="0.75" bottom="0.75" header="0" footer="0"/>
  <pageSetup paperSize="9" fitToWidth="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Y1000"/>
  <sheetViews>
    <sheetView zoomScale="55" zoomScaleNormal="55" workbookViewId="0">
      <selection activeCell="B11" sqref="B11"/>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162</v>
      </c>
      <c r="B2" s="83">
        <v>19</v>
      </c>
      <c r="C2" s="103" t="s">
        <v>92</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249</v>
      </c>
      <c r="D5" s="85" t="str">
        <f>_xlfn.TEXTJOIN(", ",TRUE,IF(OR(E5,F5),"1",""),IF(OR(G5,H5,I5,J5),"2",""),IF(OR(K5,L5),"3",""),IF(OR(M5,N5),"4",""),IF(OR(O5,P5),"5",""),IF(OR(Q5,R5,S5,T5),"6",""),IF(OR(U5,V5),"7",""))</f>
        <v>1</v>
      </c>
      <c r="E5" s="107" t="b">
        <v>0</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PI12</v>
      </c>
      <c r="X5" s="6"/>
      <c r="Y5" s="6"/>
    </row>
    <row r="6" spans="1:25" ht="45" customHeight="1" x14ac:dyDescent="0.25">
      <c r="A6" s="143"/>
      <c r="B6" s="97"/>
      <c r="C6" s="115"/>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115"/>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7" t="s">
        <v>250</v>
      </c>
      <c r="D8" s="85" t="str">
        <f t="shared" si="0"/>
        <v>1</v>
      </c>
      <c r="E8" s="107" t="b">
        <v>0</v>
      </c>
      <c r="F8" s="107" t="b">
        <v>1</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PI12</v>
      </c>
      <c r="X8" s="6"/>
      <c r="Y8" s="6"/>
    </row>
    <row r="9" spans="1:25" ht="45" customHeight="1" x14ac:dyDescent="0.25">
      <c r="A9" s="143"/>
      <c r="B9" s="99">
        <v>2.2000000000000002</v>
      </c>
      <c r="C9" s="117" t="s">
        <v>251</v>
      </c>
      <c r="D9" s="85" t="str">
        <f t="shared" si="0"/>
        <v>1</v>
      </c>
      <c r="E9" s="107" t="b">
        <v>0</v>
      </c>
      <c r="F9" s="107" t="b">
        <v>1</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PI12</v>
      </c>
      <c r="X9" s="6"/>
      <c r="Y9" s="6"/>
    </row>
    <row r="10" spans="1:25" ht="45" customHeight="1" x14ac:dyDescent="0.25">
      <c r="A10" s="143"/>
      <c r="B10" s="99">
        <v>2.2999999999999998</v>
      </c>
      <c r="C10" s="117" t="s">
        <v>163</v>
      </c>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v>2.4</v>
      </c>
      <c r="C11" s="117" t="s">
        <v>164</v>
      </c>
      <c r="D11" s="85" t="str">
        <f t="shared" si="0"/>
        <v>3</v>
      </c>
      <c r="E11" s="107" t="b">
        <v>0</v>
      </c>
      <c r="F11" s="107" t="b">
        <v>0</v>
      </c>
      <c r="G11" s="107" t="b">
        <v>0</v>
      </c>
      <c r="H11" s="107" t="b">
        <v>0</v>
      </c>
      <c r="I11" s="107" t="b">
        <v>0</v>
      </c>
      <c r="J11" s="107" t="b">
        <v>0</v>
      </c>
      <c r="K11" s="107" t="b">
        <v>0</v>
      </c>
      <c r="L11" s="107" t="b">
        <v>1</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PI32</v>
      </c>
      <c r="X11" s="6"/>
      <c r="Y11" s="6"/>
    </row>
    <row r="12" spans="1:25" ht="45" customHeight="1" x14ac:dyDescent="0.25">
      <c r="A12" s="144"/>
      <c r="B12" s="99"/>
      <c r="C12" s="117"/>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8" t="s">
        <v>165</v>
      </c>
      <c r="D13" s="85" t="str">
        <f t="shared" si="0"/>
        <v>7</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1</v>
      </c>
      <c r="V13" s="107" t="b">
        <v>0</v>
      </c>
      <c r="W13" s="83" t="str" cm="1">
        <f t="array" ref="W13">_xlfn.TEXTJOIN(", ",TRUE,IF(E13:V13,{"PI11","PI12","PI21","PI22","PI23","PI24","PI31","PI32","PI41","PI42","PI51","PI52","PI61","PI62","PI63","PI64","PI71","PI72"},""))</f>
        <v>PI71</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Electromagnetics Fundamental</v>
      </c>
      <c r="D15" s="85" t="str">
        <f>A2</f>
        <v>EE 341</v>
      </c>
      <c r="E15" s="68" t="str">
        <f t="shared" ref="E15:V15" si="1">IF(COUNTIF(E$5:E$14,TRUE)&gt;0,$D$2,"")</f>
        <v/>
      </c>
      <c r="F15" s="69" t="str">
        <f t="shared" si="1"/>
        <v>P</v>
      </c>
      <c r="G15" s="70" t="str">
        <f t="shared" si="1"/>
        <v/>
      </c>
      <c r="H15" s="71" t="str">
        <f t="shared" si="1"/>
        <v/>
      </c>
      <c r="I15" s="72" t="str">
        <f t="shared" si="1"/>
        <v/>
      </c>
      <c r="J15" s="73" t="str">
        <f t="shared" si="1"/>
        <v/>
      </c>
      <c r="K15" s="74" t="str">
        <f t="shared" si="1"/>
        <v/>
      </c>
      <c r="L15" s="86" t="str">
        <f t="shared" si="1"/>
        <v>P</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P</v>
      </c>
      <c r="V15" s="96" t="str">
        <f t="shared" si="1"/>
        <v/>
      </c>
      <c r="W15" s="6"/>
      <c r="X15" s="6"/>
      <c r="Y15" s="6"/>
    </row>
    <row r="16" spans="1:25" ht="30" customHeight="1" x14ac:dyDescent="0.25">
      <c r="A16" s="103" t="s">
        <v>136</v>
      </c>
      <c r="B16" s="103"/>
      <c r="C16" s="83" t="str">
        <f>C2</f>
        <v>Electromagnetics Fundamental</v>
      </c>
      <c r="D16" s="85" t="str">
        <f>A2</f>
        <v>EE 341</v>
      </c>
      <c r="E16" s="147" t="str">
        <f>IF(COUNTIF(E$5:F$14,TRUE)&gt;0,$D$2,"")</f>
        <v>P</v>
      </c>
      <c r="F16" s="125"/>
      <c r="G16" s="148" t="str">
        <f>IF(COUNTIF(G$5:J$14,TRUE)&gt;0,$D$2,"")</f>
        <v/>
      </c>
      <c r="H16" s="129"/>
      <c r="I16" s="129"/>
      <c r="J16" s="125"/>
      <c r="K16" s="149" t="str">
        <f>IF(COUNTIF(K$5:L$14,TRUE)&gt;0,$D$2,"")</f>
        <v>P</v>
      </c>
      <c r="L16" s="125"/>
      <c r="M16" s="137" t="str">
        <f>IF(COUNTIF(M$5:N$14,TRUE)&gt;0,$D$2,"")</f>
        <v/>
      </c>
      <c r="N16" s="125"/>
      <c r="O16" s="138" t="str">
        <f>IF(COUNTIF(O$5:P$14,TRUE)&gt;0,$D$2,"")</f>
        <v/>
      </c>
      <c r="P16" s="125"/>
      <c r="Q16" s="139" t="str">
        <f>IF(COUNTIF(Q$5:T$14,TRUE)&gt;0,$D$2,"")</f>
        <v/>
      </c>
      <c r="R16" s="129"/>
      <c r="S16" s="129"/>
      <c r="T16" s="125"/>
      <c r="U16" s="136" t="str">
        <f>IF(COUNTIF(U$5:V$14,TRUE)&gt;0,$D$2,"")</f>
        <v>P</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431" priority="1" operator="equal">
      <formula>"TRUE"</formula>
    </cfRule>
  </conditionalFormatting>
  <conditionalFormatting sqref="F5:F14">
    <cfRule type="cellIs" dxfId="430" priority="2" operator="equal">
      <formula>"TRUE"</formula>
    </cfRule>
  </conditionalFormatting>
  <conditionalFormatting sqref="G5:G14">
    <cfRule type="cellIs" dxfId="429" priority="3" operator="equal">
      <formula>"TRUE"</formula>
    </cfRule>
  </conditionalFormatting>
  <conditionalFormatting sqref="H5:I14">
    <cfRule type="cellIs" dxfId="428" priority="4" operator="equal">
      <formula>"TRUE"</formula>
    </cfRule>
  </conditionalFormatting>
  <conditionalFormatting sqref="I5:I14">
    <cfRule type="cellIs" dxfId="427" priority="5" operator="equal">
      <formula>"TRUE"</formula>
    </cfRule>
  </conditionalFormatting>
  <conditionalFormatting sqref="J5:J14">
    <cfRule type="cellIs" dxfId="426" priority="6" operator="equal">
      <formula>"TRUE"</formula>
    </cfRule>
  </conditionalFormatting>
  <conditionalFormatting sqref="K5:K14">
    <cfRule type="cellIs" dxfId="425" priority="7" operator="equal">
      <formula>"TRUE"</formula>
    </cfRule>
  </conditionalFormatting>
  <conditionalFormatting sqref="L5:L14">
    <cfRule type="cellIs" dxfId="424" priority="8" operator="equal">
      <formula>"TRUE"</formula>
    </cfRule>
  </conditionalFormatting>
  <conditionalFormatting sqref="M5:M14">
    <cfRule type="cellIs" dxfId="423" priority="9" operator="equal">
      <formula>"TRUE"</formula>
    </cfRule>
  </conditionalFormatting>
  <conditionalFormatting sqref="N5:N14">
    <cfRule type="cellIs" dxfId="422" priority="10" operator="equal">
      <formula>"TRUE"</formula>
    </cfRule>
  </conditionalFormatting>
  <conditionalFormatting sqref="O5:O14">
    <cfRule type="cellIs" dxfId="421" priority="11" operator="equal">
      <formula>"TRUE"</formula>
    </cfRule>
  </conditionalFormatting>
  <conditionalFormatting sqref="P5:P14">
    <cfRule type="cellIs" dxfId="420" priority="12" operator="equal">
      <formula>"TRUE"</formula>
    </cfRule>
  </conditionalFormatting>
  <conditionalFormatting sqref="Q5:Q14">
    <cfRule type="cellIs" dxfId="419" priority="13" operator="equal">
      <formula>"TRUE"</formula>
    </cfRule>
  </conditionalFormatting>
  <conditionalFormatting sqref="R5:R14">
    <cfRule type="cellIs" dxfId="418" priority="14" operator="equal">
      <formula>"TRUE"</formula>
    </cfRule>
  </conditionalFormatting>
  <conditionalFormatting sqref="S5:S14">
    <cfRule type="cellIs" dxfId="417" priority="15" operator="equal">
      <formula>"TRUE"</formula>
    </cfRule>
  </conditionalFormatting>
  <conditionalFormatting sqref="T5:T14">
    <cfRule type="cellIs" dxfId="416" priority="16" operator="equal">
      <formula>"TRUE"</formula>
    </cfRule>
  </conditionalFormatting>
  <conditionalFormatting sqref="U5:U14">
    <cfRule type="cellIs" dxfId="415" priority="17" operator="equal">
      <formula>"TRUE"</formula>
    </cfRule>
  </conditionalFormatting>
  <conditionalFormatting sqref="V5:V14">
    <cfRule type="cellIs" dxfId="414" priority="18" operator="equal">
      <formula>"TRUE"</formula>
    </cfRule>
  </conditionalFormatting>
  <pageMargins left="0.7" right="0.7" top="0.75" bottom="0.75" header="0" footer="0"/>
  <pageSetup paperSize="9" fitToWidth="0" orientation="landscape"/>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166</v>
      </c>
      <c r="B2" s="83">
        <v>20</v>
      </c>
      <c r="C2" s="103" t="s">
        <v>93</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167</v>
      </c>
      <c r="D5" s="85" t="str">
        <f>_xlfn.TEXTJOIN(", ",TRUE,IF(OR(E5,F5),"1",""),IF(OR(G5,H5,I5,J5),"2",""),IF(OR(K5,L5),"3",""),IF(OR(M5,N5),"4",""),IF(OR(O5,P5),"5",""),IF(OR(Q5,R5,S5,T5),"6",""),IF(OR(U5,V5),"7",""))</f>
        <v>1</v>
      </c>
      <c r="E5" s="107" t="b">
        <v>1</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168</v>
      </c>
      <c r="D8" s="85" t="str">
        <f t="shared" si="0"/>
        <v>1</v>
      </c>
      <c r="E8" s="107" t="b">
        <v>0</v>
      </c>
      <c r="F8" s="107" t="b">
        <v>1</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PI12</v>
      </c>
      <c r="X8" s="6"/>
      <c r="Y8" s="6"/>
    </row>
    <row r="9" spans="1:25" ht="45" customHeight="1" x14ac:dyDescent="0.25">
      <c r="A9" s="143"/>
      <c r="B9" s="99">
        <v>2.2000000000000002</v>
      </c>
      <c r="C9" s="100" t="s">
        <v>169</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1</v>
      </c>
      <c r="T9" s="107" t="b">
        <v>1</v>
      </c>
      <c r="U9" s="107" t="b">
        <v>0</v>
      </c>
      <c r="V9" s="107" t="b">
        <v>0</v>
      </c>
      <c r="W9" s="83" t="str" cm="1">
        <f t="array" ref="W9">_xlfn.TEXTJOIN(", ",TRUE,IF(E9:V9,{"PI11","PI12","PI21","PI22","PI23","PI24","PI31","PI32","PI41","PI42","PI51","PI52","PI61","PI62","PI63","PI64","PI71","PI72"},""))</f>
        <v>PI63, PI64</v>
      </c>
      <c r="X9" s="6"/>
      <c r="Y9" s="6"/>
    </row>
    <row r="10" spans="1:25" ht="45" customHeight="1" x14ac:dyDescent="0.25">
      <c r="A10" s="143"/>
      <c r="B10" s="99">
        <v>2.2999999999999998</v>
      </c>
      <c r="C10" s="100" t="s">
        <v>170</v>
      </c>
      <c r="D10" s="85" t="str">
        <f t="shared" si="0"/>
        <v>2</v>
      </c>
      <c r="E10" s="107" t="b">
        <v>0</v>
      </c>
      <c r="F10" s="107" t="b">
        <v>0</v>
      </c>
      <c r="G10" s="107" t="b">
        <v>1</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PI21</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171</v>
      </c>
      <c r="D13" s="85" t="str">
        <f t="shared" si="0"/>
        <v>1</v>
      </c>
      <c r="E13" s="107" t="b">
        <v>1</v>
      </c>
      <c r="F13" s="107" t="b">
        <v>1</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PI11, PI12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Control Systems</v>
      </c>
      <c r="D15" s="85" t="str">
        <f>A2</f>
        <v>EE 332</v>
      </c>
      <c r="E15" s="68" t="str">
        <f t="shared" ref="E15:V15" si="1">IF(COUNTIF(E$5:E$14,TRUE)&gt;0,$D$2,"")</f>
        <v>P</v>
      </c>
      <c r="F15" s="69" t="str">
        <f t="shared" si="1"/>
        <v>P</v>
      </c>
      <c r="G15" s="70" t="str">
        <f t="shared" si="1"/>
        <v>P</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P</v>
      </c>
      <c r="T15" s="94" t="str">
        <f t="shared" si="1"/>
        <v>P</v>
      </c>
      <c r="U15" s="95" t="str">
        <f t="shared" si="1"/>
        <v/>
      </c>
      <c r="V15" s="96" t="str">
        <f t="shared" si="1"/>
        <v/>
      </c>
      <c r="W15" s="6"/>
      <c r="X15" s="6"/>
      <c r="Y15" s="6"/>
    </row>
    <row r="16" spans="1:25" ht="30" customHeight="1" x14ac:dyDescent="0.25">
      <c r="A16" s="103" t="s">
        <v>136</v>
      </c>
      <c r="B16" s="103"/>
      <c r="C16" s="83" t="str">
        <f>C2</f>
        <v>Control Systems</v>
      </c>
      <c r="D16" s="85" t="str">
        <f>A2</f>
        <v>EE 332</v>
      </c>
      <c r="E16" s="147" t="str">
        <f>IF(COUNTIF(E$5:F$14,TRUE)&gt;0,$D$2,"")</f>
        <v>P</v>
      </c>
      <c r="F16" s="125"/>
      <c r="G16" s="148" t="str">
        <f>IF(COUNTIF(G$5:J$14,TRUE)&gt;0,$D$2,"")</f>
        <v>P</v>
      </c>
      <c r="H16" s="129"/>
      <c r="I16" s="129"/>
      <c r="J16" s="125"/>
      <c r="K16" s="149" t="str">
        <f>IF(COUNTIF(K$5:L$14,TRUE)&gt;0,$D$2,"")</f>
        <v/>
      </c>
      <c r="L16" s="125"/>
      <c r="M16" s="137" t="str">
        <f>IF(COUNTIF(M$5:N$14,TRUE)&gt;0,$D$2,"")</f>
        <v/>
      </c>
      <c r="N16" s="125"/>
      <c r="O16" s="138" t="str">
        <f>IF(COUNTIF(O$5:P$14,TRUE)&gt;0,$D$2,"")</f>
        <v/>
      </c>
      <c r="P16" s="125"/>
      <c r="Q16" s="139" t="str">
        <f>IF(COUNTIF(Q$5:T$14,TRUE)&gt;0,$D$2,"")</f>
        <v>P</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413" priority="1" operator="equal">
      <formula>"TRUE"</formula>
    </cfRule>
  </conditionalFormatting>
  <conditionalFormatting sqref="F5:F14">
    <cfRule type="cellIs" dxfId="412" priority="2" operator="equal">
      <formula>"TRUE"</formula>
    </cfRule>
  </conditionalFormatting>
  <conditionalFormatting sqref="G5:G14">
    <cfRule type="cellIs" dxfId="411" priority="3" operator="equal">
      <formula>"TRUE"</formula>
    </cfRule>
  </conditionalFormatting>
  <conditionalFormatting sqref="H5:I14">
    <cfRule type="cellIs" dxfId="410" priority="4" operator="equal">
      <formula>"TRUE"</formula>
    </cfRule>
  </conditionalFormatting>
  <conditionalFormatting sqref="I5:I14">
    <cfRule type="cellIs" dxfId="409" priority="5" operator="equal">
      <formula>"TRUE"</formula>
    </cfRule>
  </conditionalFormatting>
  <conditionalFormatting sqref="J5:J14">
    <cfRule type="cellIs" dxfId="408" priority="6" operator="equal">
      <formula>"TRUE"</formula>
    </cfRule>
  </conditionalFormatting>
  <conditionalFormatting sqref="K5:K14">
    <cfRule type="cellIs" dxfId="407" priority="7" operator="equal">
      <formula>"TRUE"</formula>
    </cfRule>
  </conditionalFormatting>
  <conditionalFormatting sqref="L5:L14">
    <cfRule type="cellIs" dxfId="406" priority="8" operator="equal">
      <formula>"TRUE"</formula>
    </cfRule>
  </conditionalFormatting>
  <conditionalFormatting sqref="M5:M14">
    <cfRule type="cellIs" dxfId="405" priority="9" operator="equal">
      <formula>"TRUE"</formula>
    </cfRule>
  </conditionalFormatting>
  <conditionalFormatting sqref="N5:N14">
    <cfRule type="cellIs" dxfId="404" priority="10" operator="equal">
      <formula>"TRUE"</formula>
    </cfRule>
  </conditionalFormatting>
  <conditionalFormatting sqref="O5:O14">
    <cfRule type="cellIs" dxfId="403" priority="11" operator="equal">
      <formula>"TRUE"</formula>
    </cfRule>
  </conditionalFormatting>
  <conditionalFormatting sqref="P5:P14">
    <cfRule type="cellIs" dxfId="402" priority="12" operator="equal">
      <formula>"TRUE"</formula>
    </cfRule>
  </conditionalFormatting>
  <conditionalFormatting sqref="Q5:Q14">
    <cfRule type="cellIs" dxfId="401" priority="13" operator="equal">
      <formula>"TRUE"</formula>
    </cfRule>
  </conditionalFormatting>
  <conditionalFormatting sqref="R5:R14">
    <cfRule type="cellIs" dxfId="400" priority="14" operator="equal">
      <formula>"TRUE"</formula>
    </cfRule>
  </conditionalFormatting>
  <conditionalFormatting sqref="S5:S14">
    <cfRule type="cellIs" dxfId="399" priority="15" operator="equal">
      <formula>"TRUE"</formula>
    </cfRule>
  </conditionalFormatting>
  <conditionalFormatting sqref="T5:T14">
    <cfRule type="cellIs" dxfId="398" priority="16" operator="equal">
      <formula>"TRUE"</formula>
    </cfRule>
  </conditionalFormatting>
  <conditionalFormatting sqref="U5:U14">
    <cfRule type="cellIs" dxfId="397" priority="17" operator="equal">
      <formula>"TRUE"</formula>
    </cfRule>
  </conditionalFormatting>
  <conditionalFormatting sqref="V5:V14">
    <cfRule type="cellIs" dxfId="396" priority="18" operator="equal">
      <formula>"TRUE"</formula>
    </cfRule>
  </conditionalFormatting>
  <pageMargins left="0.7" right="0.7" top="0.75" bottom="0.75" header="0" footer="0"/>
  <pageSetup paperSize="9" fitToWidth="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Y1000"/>
  <sheetViews>
    <sheetView zoomScale="55" zoomScaleNormal="55" workbookViewId="0">
      <selection activeCell="S21" sqref="S21"/>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172</v>
      </c>
      <c r="B2" s="83">
        <v>21</v>
      </c>
      <c r="C2" s="103" t="s">
        <v>95</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173</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174</v>
      </c>
      <c r="D8" s="85" t="str">
        <f t="shared" si="0"/>
        <v>1</v>
      </c>
      <c r="E8" s="107" t="b">
        <v>0</v>
      </c>
      <c r="F8" s="107" t="b">
        <v>1</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PI12</v>
      </c>
      <c r="X8" s="6"/>
      <c r="Y8" s="6"/>
    </row>
    <row r="9" spans="1:25" ht="45" customHeight="1" x14ac:dyDescent="0.25">
      <c r="A9" s="143"/>
      <c r="B9" s="99">
        <v>2.2000000000000002</v>
      </c>
      <c r="C9" s="100" t="s">
        <v>175</v>
      </c>
      <c r="D9" s="85" t="str">
        <f t="shared" si="0"/>
        <v>1</v>
      </c>
      <c r="E9" s="107" t="b">
        <v>1</v>
      </c>
      <c r="F9" s="107" t="b">
        <v>1</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PI11, PI12</v>
      </c>
      <c r="X9" s="6"/>
      <c r="Y9" s="6"/>
    </row>
    <row r="10" spans="1:25" ht="45" customHeight="1" x14ac:dyDescent="0.25">
      <c r="A10" s="143"/>
      <c r="B10" s="99">
        <v>2.2999999999999998</v>
      </c>
      <c r="C10" s="100" t="s">
        <v>176</v>
      </c>
      <c r="D10" s="85" t="str">
        <f t="shared" si="0"/>
        <v>1</v>
      </c>
      <c r="E10" s="107" t="b">
        <v>1</v>
      </c>
      <c r="F10" s="107" t="b">
        <v>1</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PI11, PI12</v>
      </c>
      <c r="X10" s="6"/>
      <c r="Y10" s="6"/>
    </row>
    <row r="11" spans="1:25" ht="45" customHeight="1" x14ac:dyDescent="0.25">
      <c r="A11" s="143"/>
      <c r="B11" s="99">
        <v>2.4</v>
      </c>
      <c r="C11" s="100" t="s">
        <v>177</v>
      </c>
      <c r="D11" s="85" t="str">
        <f t="shared" si="0"/>
        <v>6</v>
      </c>
      <c r="E11" s="107" t="b">
        <v>0</v>
      </c>
      <c r="F11" s="107" t="b">
        <v>0</v>
      </c>
      <c r="G11" s="107" t="b">
        <v>0</v>
      </c>
      <c r="H11" s="107" t="b">
        <v>0</v>
      </c>
      <c r="I11" s="107" t="b">
        <v>0</v>
      </c>
      <c r="J11" s="107" t="b">
        <v>0</v>
      </c>
      <c r="K11" s="107" t="b">
        <v>0</v>
      </c>
      <c r="L11" s="107" t="b">
        <v>0</v>
      </c>
      <c r="M11" s="107" t="b">
        <v>0</v>
      </c>
      <c r="N11" s="107" t="b">
        <v>0</v>
      </c>
      <c r="O11" s="107" t="b">
        <v>0</v>
      </c>
      <c r="P11" s="107" t="b">
        <v>0</v>
      </c>
      <c r="Q11" s="107" t="b">
        <v>1</v>
      </c>
      <c r="R11" s="107" t="b">
        <v>1</v>
      </c>
      <c r="S11" s="107" t="b">
        <v>1</v>
      </c>
      <c r="T11" s="107" t="b">
        <v>1</v>
      </c>
      <c r="U11" s="107" t="b">
        <v>0</v>
      </c>
      <c r="V11" s="107" t="b">
        <v>0</v>
      </c>
      <c r="W11" s="83" t="str" cm="1">
        <f t="array" ref="W11">_xlfn.TEXTJOIN(", ",TRUE,IF(E11:V11,{"PI11","PI12","PI21","PI22","PI23","PI24","PI31","PI32","PI41","PI42","PI51","PI52","PI61","PI62","PI63","PI64","PI71","PI72"},""))</f>
        <v>PI61, PI62, PI63, PI64</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178</v>
      </c>
      <c r="D13" s="85" t="str">
        <f t="shared" si="0"/>
        <v>2, 3, 5, 6</v>
      </c>
      <c r="E13" s="107" t="b">
        <v>0</v>
      </c>
      <c r="F13" s="107" t="b">
        <v>0</v>
      </c>
      <c r="G13" s="107" t="b">
        <v>1</v>
      </c>
      <c r="H13" s="107" t="b">
        <v>1</v>
      </c>
      <c r="I13" s="107" t="b">
        <v>1</v>
      </c>
      <c r="J13" s="107" t="b">
        <v>1</v>
      </c>
      <c r="K13" s="107" t="b">
        <v>1</v>
      </c>
      <c r="L13" s="107" t="b">
        <v>1</v>
      </c>
      <c r="M13" s="107" t="b">
        <v>0</v>
      </c>
      <c r="N13" s="107" t="b">
        <v>0</v>
      </c>
      <c r="O13" s="107" t="b">
        <v>1</v>
      </c>
      <c r="P13" s="107" t="b">
        <v>1</v>
      </c>
      <c r="Q13" s="107" t="b">
        <v>1</v>
      </c>
      <c r="R13" s="107" t="b">
        <v>1</v>
      </c>
      <c r="S13" s="107" t="b">
        <v>1</v>
      </c>
      <c r="T13" s="107" t="b">
        <v>1</v>
      </c>
      <c r="U13" s="107" t="b">
        <v>0</v>
      </c>
      <c r="V13" s="107" t="b">
        <v>0</v>
      </c>
      <c r="W13" s="83" t="str" cm="1">
        <f t="array" ref="W13">_xlfn.TEXTJOIN(", ",TRUE,IF(E13:V13,{"PI11","PI12","PI21","PI22","PI23","PI24","PI31","PI32","PI41","PI42","PI51","PI52","PI61","PI62","PI63","PI64","PI71","PI72"},""))</f>
        <v>PI21, PI22, PI23, PI24, PI31, PI32, PI51, PI52, PI61, PI62, PI63, PI64</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Communication Systems</v>
      </c>
      <c r="D15" s="85" t="str">
        <f>A2</f>
        <v>EE 351</v>
      </c>
      <c r="E15" s="68" t="str">
        <f t="shared" ref="E15:V15" si="1">IF(COUNTIF(E$5:E$14,TRUE)&gt;0,$D$2,"")</f>
        <v>P</v>
      </c>
      <c r="F15" s="69" t="str">
        <f t="shared" si="1"/>
        <v>P</v>
      </c>
      <c r="G15" s="70" t="str">
        <f t="shared" si="1"/>
        <v>P</v>
      </c>
      <c r="H15" s="71" t="str">
        <f t="shared" si="1"/>
        <v>P</v>
      </c>
      <c r="I15" s="72" t="str">
        <f t="shared" si="1"/>
        <v>P</v>
      </c>
      <c r="J15" s="73" t="str">
        <f t="shared" si="1"/>
        <v>P</v>
      </c>
      <c r="K15" s="74" t="str">
        <f t="shared" si="1"/>
        <v>P</v>
      </c>
      <c r="L15" s="86" t="str">
        <f t="shared" si="1"/>
        <v>P</v>
      </c>
      <c r="M15" s="87" t="str">
        <f t="shared" si="1"/>
        <v/>
      </c>
      <c r="N15" s="88" t="str">
        <f t="shared" si="1"/>
        <v/>
      </c>
      <c r="O15" s="89" t="str">
        <f t="shared" si="1"/>
        <v>P</v>
      </c>
      <c r="P15" s="90" t="str">
        <f t="shared" si="1"/>
        <v>P</v>
      </c>
      <c r="Q15" s="91" t="str">
        <f t="shared" si="1"/>
        <v>P</v>
      </c>
      <c r="R15" s="92" t="str">
        <f t="shared" si="1"/>
        <v>P</v>
      </c>
      <c r="S15" s="93" t="str">
        <f t="shared" si="1"/>
        <v>P</v>
      </c>
      <c r="T15" s="94" t="str">
        <f t="shared" si="1"/>
        <v>P</v>
      </c>
      <c r="U15" s="95" t="str">
        <f t="shared" si="1"/>
        <v/>
      </c>
      <c r="V15" s="96" t="str">
        <f t="shared" si="1"/>
        <v/>
      </c>
      <c r="W15" s="6"/>
      <c r="X15" s="6"/>
      <c r="Y15" s="6"/>
    </row>
    <row r="16" spans="1:25" ht="30" customHeight="1" x14ac:dyDescent="0.25">
      <c r="A16" s="103" t="s">
        <v>136</v>
      </c>
      <c r="B16" s="103"/>
      <c r="C16" s="83" t="str">
        <f>C2</f>
        <v>Communication Systems</v>
      </c>
      <c r="D16" s="85" t="str">
        <f>A2</f>
        <v>EE 351</v>
      </c>
      <c r="E16" s="147" t="str">
        <f>IF(COUNTIF(E$5:F$14,TRUE)&gt;0,$D$2,"")</f>
        <v>P</v>
      </c>
      <c r="F16" s="125"/>
      <c r="G16" s="148" t="str">
        <f>IF(COUNTIF(G$5:J$14,TRUE)&gt;0,$D$2,"")</f>
        <v>P</v>
      </c>
      <c r="H16" s="129"/>
      <c r="I16" s="129"/>
      <c r="J16" s="125"/>
      <c r="K16" s="149" t="str">
        <f>IF(COUNTIF(K$5:L$14,TRUE)&gt;0,$D$2,"")</f>
        <v>P</v>
      </c>
      <c r="L16" s="125"/>
      <c r="M16" s="137" t="str">
        <f>IF(COUNTIF(M$5:N$14,TRUE)&gt;0,$D$2,"")</f>
        <v/>
      </c>
      <c r="N16" s="125"/>
      <c r="O16" s="138" t="str">
        <f>IF(COUNTIF(O$5:P$14,TRUE)&gt;0,$D$2,"")</f>
        <v>P</v>
      </c>
      <c r="P16" s="125"/>
      <c r="Q16" s="139" t="str">
        <f>IF(COUNTIF(Q$5:T$14,TRUE)&gt;0,$D$2,"")</f>
        <v>P</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95" priority="1" operator="equal">
      <formula>"TRUE"</formula>
    </cfRule>
  </conditionalFormatting>
  <conditionalFormatting sqref="F5:F14">
    <cfRule type="cellIs" dxfId="394" priority="2" operator="equal">
      <formula>"TRUE"</formula>
    </cfRule>
  </conditionalFormatting>
  <conditionalFormatting sqref="G5:G14">
    <cfRule type="cellIs" dxfId="393" priority="3" operator="equal">
      <formula>"TRUE"</formula>
    </cfRule>
  </conditionalFormatting>
  <conditionalFormatting sqref="H5:I14">
    <cfRule type="cellIs" dxfId="392" priority="4" operator="equal">
      <formula>"TRUE"</formula>
    </cfRule>
  </conditionalFormatting>
  <conditionalFormatting sqref="I5:I14">
    <cfRule type="cellIs" dxfId="391" priority="5" operator="equal">
      <formula>"TRUE"</formula>
    </cfRule>
  </conditionalFormatting>
  <conditionalFormatting sqref="J5:J14">
    <cfRule type="cellIs" dxfId="390" priority="6" operator="equal">
      <formula>"TRUE"</formula>
    </cfRule>
  </conditionalFormatting>
  <conditionalFormatting sqref="K5:K14">
    <cfRule type="cellIs" dxfId="389" priority="7" operator="equal">
      <formula>"TRUE"</formula>
    </cfRule>
  </conditionalFormatting>
  <conditionalFormatting sqref="L5:L14">
    <cfRule type="cellIs" dxfId="388" priority="8" operator="equal">
      <formula>"TRUE"</formula>
    </cfRule>
  </conditionalFormatting>
  <conditionalFormatting sqref="M5:M14">
    <cfRule type="cellIs" dxfId="387" priority="9" operator="equal">
      <formula>"TRUE"</formula>
    </cfRule>
  </conditionalFormatting>
  <conditionalFormatting sqref="N5:N14">
    <cfRule type="cellIs" dxfId="386" priority="10" operator="equal">
      <formula>"TRUE"</formula>
    </cfRule>
  </conditionalFormatting>
  <conditionalFormatting sqref="O5:O14">
    <cfRule type="cellIs" dxfId="385" priority="11" operator="equal">
      <formula>"TRUE"</formula>
    </cfRule>
  </conditionalFormatting>
  <conditionalFormatting sqref="P5:P14">
    <cfRule type="cellIs" dxfId="384" priority="12" operator="equal">
      <formula>"TRUE"</formula>
    </cfRule>
  </conditionalFormatting>
  <conditionalFormatting sqref="Q5:Q14">
    <cfRule type="cellIs" dxfId="383" priority="13" operator="equal">
      <formula>"TRUE"</formula>
    </cfRule>
  </conditionalFormatting>
  <conditionalFormatting sqref="R5:R14">
    <cfRule type="cellIs" dxfId="382" priority="14" operator="equal">
      <formula>"TRUE"</formula>
    </cfRule>
  </conditionalFormatting>
  <conditionalFormatting sqref="S5:S14">
    <cfRule type="cellIs" dxfId="381" priority="15" operator="equal">
      <formula>"TRUE"</formula>
    </cfRule>
  </conditionalFormatting>
  <conditionalFormatting sqref="T5:T14">
    <cfRule type="cellIs" dxfId="380" priority="16" operator="equal">
      <formula>"TRUE"</formula>
    </cfRule>
  </conditionalFormatting>
  <conditionalFormatting sqref="U5:U14">
    <cfRule type="cellIs" dxfId="379" priority="17" operator="equal">
      <formula>"TRUE"</formula>
    </cfRule>
  </conditionalFormatting>
  <conditionalFormatting sqref="V5:V14">
    <cfRule type="cellIs" dxfId="378" priority="18" operator="equal">
      <formula>"TRUE"</formula>
    </cfRule>
  </conditionalFormatting>
  <pageMargins left="0.7" right="0.7" top="0.75" bottom="0.75" header="0" footer="0"/>
  <pageSetup paperSize="9" fitToWidth="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Y1000"/>
  <sheetViews>
    <sheetView zoomScale="85" zoomScaleNormal="85" workbookViewId="0">
      <selection activeCell="B13" sqref="B13"/>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179</v>
      </c>
      <c r="B2" s="83">
        <v>22</v>
      </c>
      <c r="C2" s="103" t="s">
        <v>97</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180</v>
      </c>
      <c r="D5" s="85" t="str">
        <f>_xlfn.TEXTJOIN(", ",TRUE,IF(OR(E5,F5),"1",""),IF(OR(G5,H5,I5,J5),"2",""),IF(OR(K5,L5),"3",""),IF(OR(M5,N5),"4",""),IF(OR(O5,P5),"5",""),IF(OR(Q5,R5,S5,T5),"6",""),IF(OR(U5,V5),"7",""))</f>
        <v>1, 2</v>
      </c>
      <c r="E5" s="107" t="b">
        <v>1</v>
      </c>
      <c r="F5" s="107" t="b">
        <v>1</v>
      </c>
      <c r="G5" s="107" t="b">
        <v>1</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 PI21</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181</v>
      </c>
      <c r="D8" s="85" t="str">
        <f t="shared" si="0"/>
        <v>2</v>
      </c>
      <c r="E8" s="107" t="b">
        <v>0</v>
      </c>
      <c r="F8" s="107" t="b">
        <v>0</v>
      </c>
      <c r="G8" s="107" t="b">
        <v>1</v>
      </c>
      <c r="H8" s="107" t="b">
        <v>1</v>
      </c>
      <c r="I8" s="107" t="b">
        <v>0</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PI24</v>
      </c>
      <c r="X8" s="6"/>
      <c r="Y8" s="6"/>
    </row>
    <row r="9" spans="1:25" ht="45" customHeight="1" x14ac:dyDescent="0.25">
      <c r="A9" s="143"/>
      <c r="B9" s="99">
        <v>2.2000000000000002</v>
      </c>
      <c r="C9" s="100" t="s">
        <v>182</v>
      </c>
      <c r="D9" s="85" t="str">
        <f t="shared" si="0"/>
        <v>2</v>
      </c>
      <c r="E9" s="107" t="b">
        <v>0</v>
      </c>
      <c r="F9" s="107" t="b">
        <v>0</v>
      </c>
      <c r="G9" s="107" t="b">
        <v>1</v>
      </c>
      <c r="H9" s="107" t="b">
        <v>1</v>
      </c>
      <c r="I9" s="107" t="b">
        <v>0</v>
      </c>
      <c r="J9" s="107" t="b">
        <v>1</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PI21, PI22, PI24</v>
      </c>
      <c r="X9" s="6"/>
      <c r="Y9" s="6"/>
    </row>
    <row r="10" spans="1:25" ht="45" customHeight="1" x14ac:dyDescent="0.25">
      <c r="A10" s="143"/>
      <c r="B10" s="99">
        <v>2.2999999999999998</v>
      </c>
      <c r="C10" s="100" t="s">
        <v>183</v>
      </c>
      <c r="D10" s="85" t="str">
        <f t="shared" si="0"/>
        <v>2</v>
      </c>
      <c r="E10" s="107" t="b">
        <v>0</v>
      </c>
      <c r="F10" s="107" t="b">
        <v>0</v>
      </c>
      <c r="G10" s="107" t="b">
        <v>1</v>
      </c>
      <c r="H10" s="107" t="b">
        <v>1</v>
      </c>
      <c r="I10" s="107" t="b">
        <v>0</v>
      </c>
      <c r="J10" s="107" t="b">
        <v>1</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PI21, PI22, PI24</v>
      </c>
      <c r="X10" s="6"/>
      <c r="Y10" s="6"/>
    </row>
    <row r="11" spans="1:25" ht="45" customHeight="1" x14ac:dyDescent="0.25">
      <c r="A11" s="143"/>
      <c r="B11" s="99">
        <v>2.4</v>
      </c>
      <c r="C11" s="100" t="s">
        <v>184</v>
      </c>
      <c r="D11" s="85" t="str">
        <f t="shared" si="0"/>
        <v>2</v>
      </c>
      <c r="E11" s="107" t="b">
        <v>0</v>
      </c>
      <c r="F11" s="107" t="b">
        <v>0</v>
      </c>
      <c r="G11" s="107" t="b">
        <v>1</v>
      </c>
      <c r="H11" s="107" t="b">
        <v>1</v>
      </c>
      <c r="I11" s="107" t="b">
        <v>0</v>
      </c>
      <c r="J11" s="107" t="b">
        <v>1</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PI21, PI22, PI24</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185</v>
      </c>
      <c r="D13" s="85" t="str">
        <f t="shared" si="0"/>
        <v>3, 4, 5, 6, 7</v>
      </c>
      <c r="E13" s="107" t="b">
        <v>0</v>
      </c>
      <c r="F13" s="107" t="b">
        <v>0</v>
      </c>
      <c r="G13" s="107" t="b">
        <v>0</v>
      </c>
      <c r="H13" s="107" t="b">
        <v>0</v>
      </c>
      <c r="I13" s="107" t="b">
        <v>0</v>
      </c>
      <c r="J13" s="107" t="b">
        <v>0</v>
      </c>
      <c r="K13" s="107" t="b">
        <v>1</v>
      </c>
      <c r="L13" s="107" t="b">
        <v>1</v>
      </c>
      <c r="M13" s="107" t="b">
        <v>1</v>
      </c>
      <c r="N13" s="107" t="b">
        <v>1</v>
      </c>
      <c r="O13" s="107" t="b">
        <v>1</v>
      </c>
      <c r="P13" s="107" t="b">
        <v>1</v>
      </c>
      <c r="Q13" s="107" t="b">
        <v>1</v>
      </c>
      <c r="R13" s="107" t="b">
        <v>0</v>
      </c>
      <c r="S13" s="107" t="b">
        <v>0</v>
      </c>
      <c r="T13" s="107" t="b">
        <v>0</v>
      </c>
      <c r="U13" s="107" t="b">
        <v>1</v>
      </c>
      <c r="V13" s="107" t="b">
        <v>0</v>
      </c>
      <c r="W13" s="83" t="str" cm="1">
        <f t="array" ref="W13">_xlfn.TEXTJOIN(", ",TRUE,IF(E13:V13,{"PI11","PI12","PI21","PI22","PI23","PI24","PI31","PI32","PI41","PI42","PI51","PI52","PI61","PI62","PI63","PI64","PI71","PI72"},""))</f>
        <v>PI31, PI32, PI41, PI42, PI51, PI52, PI61, PI71</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Power Electronics</v>
      </c>
      <c r="D15" s="85" t="str">
        <f>A2</f>
        <v>EE 305</v>
      </c>
      <c r="E15" s="68" t="str">
        <f t="shared" ref="E15:V15" si="1">IF(COUNTIF(E$5:E$14,TRUE)&gt;0,$D$2,"")</f>
        <v>P</v>
      </c>
      <c r="F15" s="69" t="str">
        <f t="shared" si="1"/>
        <v>P</v>
      </c>
      <c r="G15" s="70" t="str">
        <f t="shared" si="1"/>
        <v>P</v>
      </c>
      <c r="H15" s="71" t="str">
        <f t="shared" si="1"/>
        <v>P</v>
      </c>
      <c r="I15" s="72" t="str">
        <f t="shared" si="1"/>
        <v/>
      </c>
      <c r="J15" s="73" t="str">
        <f t="shared" si="1"/>
        <v>P</v>
      </c>
      <c r="K15" s="74" t="str">
        <f t="shared" si="1"/>
        <v>P</v>
      </c>
      <c r="L15" s="86" t="str">
        <f t="shared" si="1"/>
        <v>P</v>
      </c>
      <c r="M15" s="87" t="str">
        <f t="shared" si="1"/>
        <v>P</v>
      </c>
      <c r="N15" s="88" t="str">
        <f t="shared" si="1"/>
        <v>P</v>
      </c>
      <c r="O15" s="89" t="str">
        <f t="shared" si="1"/>
        <v>P</v>
      </c>
      <c r="P15" s="90" t="str">
        <f t="shared" si="1"/>
        <v>P</v>
      </c>
      <c r="Q15" s="91" t="str">
        <f t="shared" si="1"/>
        <v>P</v>
      </c>
      <c r="R15" s="92" t="str">
        <f t="shared" si="1"/>
        <v/>
      </c>
      <c r="S15" s="93" t="str">
        <f t="shared" si="1"/>
        <v/>
      </c>
      <c r="T15" s="94" t="str">
        <f t="shared" si="1"/>
        <v/>
      </c>
      <c r="U15" s="95" t="str">
        <f t="shared" si="1"/>
        <v>P</v>
      </c>
      <c r="V15" s="96" t="str">
        <f t="shared" si="1"/>
        <v/>
      </c>
      <c r="W15" s="6"/>
      <c r="X15" s="6"/>
      <c r="Y15" s="6"/>
    </row>
    <row r="16" spans="1:25" ht="30" customHeight="1" x14ac:dyDescent="0.25">
      <c r="A16" s="103" t="s">
        <v>136</v>
      </c>
      <c r="B16" s="103"/>
      <c r="C16" s="83" t="str">
        <f>C2</f>
        <v>Power Electronics</v>
      </c>
      <c r="D16" s="85" t="str">
        <f>A2</f>
        <v>EE 305</v>
      </c>
      <c r="E16" s="147" t="str">
        <f>IF(COUNTIF(E$5:F$14,TRUE)&gt;0,$D$2,"")</f>
        <v>P</v>
      </c>
      <c r="F16" s="125"/>
      <c r="G16" s="148" t="str">
        <f>IF(COUNTIF(G$5:J$14,TRUE)&gt;0,$D$2,"")</f>
        <v>P</v>
      </c>
      <c r="H16" s="129"/>
      <c r="I16" s="129"/>
      <c r="J16" s="125"/>
      <c r="K16" s="149" t="str">
        <f>IF(COUNTIF(K$5:L$14,TRUE)&gt;0,$D$2,"")</f>
        <v>P</v>
      </c>
      <c r="L16" s="125"/>
      <c r="M16" s="137" t="str">
        <f>IF(COUNTIF(M$5:N$14,TRUE)&gt;0,$D$2,"")</f>
        <v>P</v>
      </c>
      <c r="N16" s="125"/>
      <c r="O16" s="138" t="str">
        <f>IF(COUNTIF(O$5:P$14,TRUE)&gt;0,$D$2,"")</f>
        <v>P</v>
      </c>
      <c r="P16" s="125"/>
      <c r="Q16" s="139" t="str">
        <f>IF(COUNTIF(Q$5:T$14,TRUE)&gt;0,$D$2,"")</f>
        <v>P</v>
      </c>
      <c r="R16" s="129"/>
      <c r="S16" s="129"/>
      <c r="T16" s="125"/>
      <c r="U16" s="136" t="str">
        <f>IF(COUNTIF(U$5:V$14,TRUE)&gt;0,$D$2,"")</f>
        <v>P</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77" priority="1" operator="equal">
      <formula>"TRUE"</formula>
    </cfRule>
  </conditionalFormatting>
  <conditionalFormatting sqref="F5:F14">
    <cfRule type="cellIs" dxfId="376" priority="2" operator="equal">
      <formula>"TRUE"</formula>
    </cfRule>
  </conditionalFormatting>
  <conditionalFormatting sqref="G5:G14">
    <cfRule type="cellIs" dxfId="375" priority="3" operator="equal">
      <formula>"TRUE"</formula>
    </cfRule>
  </conditionalFormatting>
  <conditionalFormatting sqref="H5:I14">
    <cfRule type="cellIs" dxfId="374" priority="4" operator="equal">
      <formula>"TRUE"</formula>
    </cfRule>
  </conditionalFormatting>
  <conditionalFormatting sqref="I5:I14">
    <cfRule type="cellIs" dxfId="373" priority="5" operator="equal">
      <formula>"TRUE"</formula>
    </cfRule>
  </conditionalFormatting>
  <conditionalFormatting sqref="J5:J14">
    <cfRule type="cellIs" dxfId="372" priority="6" operator="equal">
      <formula>"TRUE"</formula>
    </cfRule>
  </conditionalFormatting>
  <conditionalFormatting sqref="K5:K14">
    <cfRule type="cellIs" dxfId="371" priority="7" operator="equal">
      <formula>"TRUE"</formula>
    </cfRule>
  </conditionalFormatting>
  <conditionalFormatting sqref="L5:L14">
    <cfRule type="cellIs" dxfId="370" priority="8" operator="equal">
      <formula>"TRUE"</formula>
    </cfRule>
  </conditionalFormatting>
  <conditionalFormatting sqref="M5:M14">
    <cfRule type="cellIs" dxfId="369" priority="9" operator="equal">
      <formula>"TRUE"</formula>
    </cfRule>
  </conditionalFormatting>
  <conditionalFormatting sqref="N5:N14">
    <cfRule type="cellIs" dxfId="368" priority="10" operator="equal">
      <formula>"TRUE"</formula>
    </cfRule>
  </conditionalFormatting>
  <conditionalFormatting sqref="O5:O14">
    <cfRule type="cellIs" dxfId="367" priority="11" operator="equal">
      <formula>"TRUE"</formula>
    </cfRule>
  </conditionalFormatting>
  <conditionalFormatting sqref="P5:P14">
    <cfRule type="cellIs" dxfId="366" priority="12" operator="equal">
      <formula>"TRUE"</formula>
    </cfRule>
  </conditionalFormatting>
  <conditionalFormatting sqref="Q5:Q14">
    <cfRule type="cellIs" dxfId="365" priority="13" operator="equal">
      <formula>"TRUE"</formula>
    </cfRule>
  </conditionalFormatting>
  <conditionalFormatting sqref="R5:R14">
    <cfRule type="cellIs" dxfId="364" priority="14" operator="equal">
      <formula>"TRUE"</formula>
    </cfRule>
  </conditionalFormatting>
  <conditionalFormatting sqref="S5:S14">
    <cfRule type="cellIs" dxfId="363" priority="15" operator="equal">
      <formula>"TRUE"</formula>
    </cfRule>
  </conditionalFormatting>
  <conditionalFormatting sqref="T5:T14">
    <cfRule type="cellIs" dxfId="362" priority="16" operator="equal">
      <formula>"TRUE"</formula>
    </cfRule>
  </conditionalFormatting>
  <conditionalFormatting sqref="U5:U14">
    <cfRule type="cellIs" dxfId="361" priority="17" operator="equal">
      <formula>"TRUE"</formula>
    </cfRule>
  </conditionalFormatting>
  <conditionalFormatting sqref="V5:V14">
    <cfRule type="cellIs" dxfId="360" priority="18" operator="equal">
      <formula>"TRUE"</formula>
    </cfRule>
  </conditionalFormatting>
  <pageMargins left="0.7" right="0.7" top="0.75" bottom="0.75" header="0" footer="0"/>
  <pageSetup paperSize="9" fitToWidth="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186</v>
      </c>
      <c r="B2" s="83">
        <v>23</v>
      </c>
      <c r="C2" s="103" t="s">
        <v>98</v>
      </c>
      <c r="D2" s="83" t="s">
        <v>90</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187</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v>1.2</v>
      </c>
      <c r="C6" s="98" t="s">
        <v>188</v>
      </c>
      <c r="D6" s="85" t="str">
        <f t="shared" ref="D6:D14" si="0">_xlfn.TEXTJOIN(", ",TRUE,IF(OR(E6,F6),"1",""),IF(OR(G6,H6,I6,J6),"2",""),IF(OR(K6,L6),"3",""),IF(OR(M6,N6),"4",""),IF(OR(O6,P6),"5",""),IF(OR(Q6,R6,S6,T6),"6",""),IF(OR(U6,V6),"7",""))</f>
        <v>1</v>
      </c>
      <c r="E6" s="107" t="b">
        <v>1</v>
      </c>
      <c r="F6" s="107" t="b">
        <v>1</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PI11, PI12</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189</v>
      </c>
      <c r="D8" s="85" t="str">
        <f t="shared" si="0"/>
        <v>2</v>
      </c>
      <c r="E8" s="107" t="b">
        <v>0</v>
      </c>
      <c r="F8" s="107" t="b">
        <v>0</v>
      </c>
      <c r="G8" s="107" t="b">
        <v>1</v>
      </c>
      <c r="H8" s="107" t="b">
        <v>1</v>
      </c>
      <c r="I8" s="107" t="b">
        <v>1</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PI23, PI24</v>
      </c>
      <c r="X8" s="6"/>
      <c r="Y8" s="6"/>
    </row>
    <row r="9" spans="1:25" ht="45" customHeight="1" x14ac:dyDescent="0.25">
      <c r="A9" s="143"/>
      <c r="B9" s="99">
        <v>2.2000000000000002</v>
      </c>
      <c r="C9" s="100" t="s">
        <v>190</v>
      </c>
      <c r="D9" s="85" t="str">
        <f t="shared" si="0"/>
        <v>2</v>
      </c>
      <c r="E9" s="107" t="b">
        <v>0</v>
      </c>
      <c r="F9" s="107" t="b">
        <v>0</v>
      </c>
      <c r="G9" s="107" t="b">
        <v>1</v>
      </c>
      <c r="H9" s="107" t="b">
        <v>1</v>
      </c>
      <c r="I9" s="107" t="b">
        <v>1</v>
      </c>
      <c r="J9" s="107" t="b">
        <v>1</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PI21, PI22, PI23, PI24</v>
      </c>
      <c r="X9" s="6"/>
      <c r="Y9" s="6"/>
    </row>
    <row r="10" spans="1:25" ht="45" customHeight="1" x14ac:dyDescent="0.25">
      <c r="A10" s="143"/>
      <c r="B10" s="99"/>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191</v>
      </c>
      <c r="D13" s="85" t="str">
        <f t="shared" si="0"/>
        <v>7</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PI71, PI72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Electrical Machines</v>
      </c>
      <c r="D15" s="85" t="str">
        <f>A2</f>
        <v>EE 304</v>
      </c>
      <c r="E15" s="68" t="str">
        <f t="shared" ref="E15:V15" si="1">IF(COUNTIF(E$5:E$14,TRUE)&gt;0,$D$2,"")</f>
        <v>P</v>
      </c>
      <c r="F15" s="69" t="str">
        <f t="shared" si="1"/>
        <v>P</v>
      </c>
      <c r="G15" s="70" t="str">
        <f t="shared" si="1"/>
        <v>P</v>
      </c>
      <c r="H15" s="71" t="str">
        <f t="shared" si="1"/>
        <v>P</v>
      </c>
      <c r="I15" s="72" t="str">
        <f t="shared" si="1"/>
        <v>P</v>
      </c>
      <c r="J15" s="73" t="str">
        <f t="shared" si="1"/>
        <v>P</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P</v>
      </c>
      <c r="V15" s="96" t="str">
        <f t="shared" si="1"/>
        <v>P</v>
      </c>
      <c r="W15" s="6"/>
      <c r="X15" s="6"/>
      <c r="Y15" s="6"/>
    </row>
    <row r="16" spans="1:25" ht="30" customHeight="1" x14ac:dyDescent="0.25">
      <c r="A16" s="103" t="s">
        <v>136</v>
      </c>
      <c r="B16" s="103"/>
      <c r="C16" s="83" t="str">
        <f>C2</f>
        <v>Electrical Machines</v>
      </c>
      <c r="D16" s="85" t="str">
        <f>A2</f>
        <v>EE 304</v>
      </c>
      <c r="E16" s="147" t="str">
        <f>IF(COUNTIF(E$5:F$14,TRUE)&gt;0,$D$2,"")</f>
        <v>P</v>
      </c>
      <c r="F16" s="125"/>
      <c r="G16" s="148" t="str">
        <f>IF(COUNTIF(G$5:J$14,TRUE)&gt;0,$D$2,"")</f>
        <v>P</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P</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59" priority="1" operator="equal">
      <formula>"TRUE"</formula>
    </cfRule>
  </conditionalFormatting>
  <conditionalFormatting sqref="F5:F14">
    <cfRule type="cellIs" dxfId="358" priority="2" operator="equal">
      <formula>"TRUE"</formula>
    </cfRule>
  </conditionalFormatting>
  <conditionalFormatting sqref="G5:G14">
    <cfRule type="cellIs" dxfId="357" priority="3" operator="equal">
      <formula>"TRUE"</formula>
    </cfRule>
  </conditionalFormatting>
  <conditionalFormatting sqref="H5:I14">
    <cfRule type="cellIs" dxfId="356" priority="4" operator="equal">
      <formula>"TRUE"</formula>
    </cfRule>
  </conditionalFormatting>
  <conditionalFormatting sqref="I5:I14">
    <cfRule type="cellIs" dxfId="355" priority="5" operator="equal">
      <formula>"TRUE"</formula>
    </cfRule>
  </conditionalFormatting>
  <conditionalFormatting sqref="J5:J14">
    <cfRule type="cellIs" dxfId="354" priority="6" operator="equal">
      <formula>"TRUE"</formula>
    </cfRule>
  </conditionalFormatting>
  <conditionalFormatting sqref="K5:K14">
    <cfRule type="cellIs" dxfId="353" priority="7" operator="equal">
      <formula>"TRUE"</formula>
    </cfRule>
  </conditionalFormatting>
  <conditionalFormatting sqref="L5:L14">
    <cfRule type="cellIs" dxfId="352" priority="8" operator="equal">
      <formula>"TRUE"</formula>
    </cfRule>
  </conditionalFormatting>
  <conditionalFormatting sqref="M5:M14">
    <cfRule type="cellIs" dxfId="351" priority="9" operator="equal">
      <formula>"TRUE"</formula>
    </cfRule>
  </conditionalFormatting>
  <conditionalFormatting sqref="N5:N14">
    <cfRule type="cellIs" dxfId="350" priority="10" operator="equal">
      <formula>"TRUE"</formula>
    </cfRule>
  </conditionalFormatting>
  <conditionalFormatting sqref="O5:O14">
    <cfRule type="cellIs" dxfId="349" priority="11" operator="equal">
      <formula>"TRUE"</formula>
    </cfRule>
  </conditionalFormatting>
  <conditionalFormatting sqref="P5:P14">
    <cfRule type="cellIs" dxfId="348" priority="12" operator="equal">
      <formula>"TRUE"</formula>
    </cfRule>
  </conditionalFormatting>
  <conditionalFormatting sqref="Q5:Q14">
    <cfRule type="cellIs" dxfId="347" priority="13" operator="equal">
      <formula>"TRUE"</formula>
    </cfRule>
  </conditionalFormatting>
  <conditionalFormatting sqref="R5:R14">
    <cfRule type="cellIs" dxfId="346" priority="14" operator="equal">
      <formula>"TRUE"</formula>
    </cfRule>
  </conditionalFormatting>
  <conditionalFormatting sqref="S5:S14">
    <cfRule type="cellIs" dxfId="345" priority="15" operator="equal">
      <formula>"TRUE"</formula>
    </cfRule>
  </conditionalFormatting>
  <conditionalFormatting sqref="T5:T14">
    <cfRule type="cellIs" dxfId="344" priority="16" operator="equal">
      <formula>"TRUE"</formula>
    </cfRule>
  </conditionalFormatting>
  <conditionalFormatting sqref="U5:U14">
    <cfRule type="cellIs" dxfId="343" priority="17" operator="equal">
      <formula>"TRUE"</formula>
    </cfRule>
  </conditionalFormatting>
  <conditionalFormatting sqref="V5:V14">
    <cfRule type="cellIs" dxfId="342" priority="18" operator="equal">
      <formula>"TRUE"</formula>
    </cfRule>
  </conditionalFormatting>
  <pageMargins left="0.7" right="0.7" top="0.75" bottom="0.75" header="0" footer="0"/>
  <pageSetup paperSize="9" fitToWidth="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Y1000"/>
  <sheetViews>
    <sheetView zoomScale="85" zoomScaleNormal="85" workbookViewId="0">
      <selection activeCell="C6" sqref="C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192</v>
      </c>
      <c r="B2" s="83">
        <v>24</v>
      </c>
      <c r="C2" s="103" t="s">
        <v>99</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292</v>
      </c>
      <c r="D5" s="85" t="str">
        <f>_xlfn.TEXTJOIN(", ",TRUE,IF(OR(E5,F5),"1",""),IF(OR(G5,H5,I5,J5),"2",""),IF(OR(K5,L5),"3",""),IF(OR(M5,N5),"4",""),IF(OR(O5,P5),"5",""),IF(OR(Q5,R5,S5,T5),"6",""),IF(OR(U5,V5),"7",""))</f>
        <v>1, 2</v>
      </c>
      <c r="E5" s="107" t="b">
        <v>1</v>
      </c>
      <c r="F5" s="107" t="b">
        <v>0</v>
      </c>
      <c r="G5" s="107" t="b">
        <v>1</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PI21</v>
      </c>
      <c r="X5" s="6"/>
      <c r="Y5" s="6"/>
    </row>
    <row r="6" spans="1:25" ht="45" customHeight="1" x14ac:dyDescent="0.25">
      <c r="A6" s="143"/>
      <c r="B6" s="97">
        <v>1.2</v>
      </c>
      <c r="C6" s="98" t="s">
        <v>194</v>
      </c>
      <c r="D6" s="85" t="str">
        <f t="shared" ref="D6:D14" si="0">_xlfn.TEXTJOIN(", ",TRUE,IF(OR(E6,F6),"1",""),IF(OR(G6,H6,I6,J6),"2",""),IF(OR(K6,L6),"3",""),IF(OR(M6,N6),"4",""),IF(OR(O6,P6),"5",""),IF(OR(Q6,R6,S6,T6),"6",""),IF(OR(U6,V6),"7",""))</f>
        <v>1, 2</v>
      </c>
      <c r="E6" s="107" t="b">
        <v>1</v>
      </c>
      <c r="F6" s="107" t="b">
        <v>0</v>
      </c>
      <c r="G6" s="107" t="b">
        <v>1</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PI11, PI21</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195</v>
      </c>
      <c r="D8" s="85" t="str">
        <f t="shared" si="0"/>
        <v>2</v>
      </c>
      <c r="E8" s="107" t="b">
        <v>0</v>
      </c>
      <c r="F8" s="107" t="b">
        <v>0</v>
      </c>
      <c r="G8" s="107" t="b">
        <v>1</v>
      </c>
      <c r="H8" s="107" t="b">
        <v>1</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v>
      </c>
      <c r="X8" s="6"/>
      <c r="Y8" s="6"/>
    </row>
    <row r="9" spans="1:25" ht="45" customHeight="1" x14ac:dyDescent="0.25">
      <c r="A9" s="143"/>
      <c r="B9" s="99">
        <v>2.2000000000000002</v>
      </c>
      <c r="C9" s="100" t="s">
        <v>196</v>
      </c>
      <c r="D9" s="85" t="str">
        <f t="shared" si="0"/>
        <v>2</v>
      </c>
      <c r="E9" s="107" t="b">
        <v>0</v>
      </c>
      <c r="F9" s="107" t="b">
        <v>0</v>
      </c>
      <c r="G9" s="107" t="b">
        <v>1</v>
      </c>
      <c r="H9" s="107" t="b">
        <v>1</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PI21, PI22</v>
      </c>
      <c r="X9" s="6"/>
      <c r="Y9" s="6"/>
    </row>
    <row r="10" spans="1:25" ht="45" customHeight="1" x14ac:dyDescent="0.25">
      <c r="A10" s="143"/>
      <c r="B10" s="99">
        <v>2.2999999999999998</v>
      </c>
      <c r="C10" s="100" t="s">
        <v>197</v>
      </c>
      <c r="D10" s="85" t="str">
        <f t="shared" si="0"/>
        <v>2, 4, 7</v>
      </c>
      <c r="E10" s="107" t="b">
        <v>0</v>
      </c>
      <c r="F10" s="107" t="b">
        <v>0</v>
      </c>
      <c r="G10" s="107" t="b">
        <v>0</v>
      </c>
      <c r="H10" s="107" t="b">
        <v>0</v>
      </c>
      <c r="I10" s="107" t="b">
        <v>1</v>
      </c>
      <c r="J10" s="107" t="b">
        <v>1</v>
      </c>
      <c r="K10" s="107" t="b">
        <v>0</v>
      </c>
      <c r="L10" s="107" t="b">
        <v>0</v>
      </c>
      <c r="M10" s="107" t="b">
        <v>1</v>
      </c>
      <c r="N10" s="107" t="b">
        <v>1</v>
      </c>
      <c r="O10" s="107" t="b">
        <v>0</v>
      </c>
      <c r="P10" s="107" t="b">
        <v>0</v>
      </c>
      <c r="Q10" s="107" t="b">
        <v>0</v>
      </c>
      <c r="R10" s="107" t="b">
        <v>0</v>
      </c>
      <c r="S10" s="107" t="b">
        <v>0</v>
      </c>
      <c r="T10" s="107" t="b">
        <v>0</v>
      </c>
      <c r="U10" s="107" t="b">
        <v>1</v>
      </c>
      <c r="V10" s="107" t="b">
        <v>1</v>
      </c>
      <c r="W10" s="83" t="str" cm="1">
        <f t="array" ref="W10">_xlfn.TEXTJOIN(", ",TRUE,IF(E10:V10,{"PI11","PI12","PI21","PI22","PI23","PI24","PI31","PI32","PI41","PI42","PI51","PI52","PI61","PI62","PI63","PI64","PI71","PI72"},""))</f>
        <v>PI23, PI24, PI41, PI42, PI71, PI72</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19">
        <v>3.1</v>
      </c>
      <c r="C13" s="118" t="s">
        <v>198</v>
      </c>
      <c r="D13" s="85" t="str">
        <f t="shared" si="0"/>
        <v>4</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PI41, PI42</v>
      </c>
      <c r="X13" s="6"/>
      <c r="Y13" s="6"/>
    </row>
    <row r="14" spans="1:25" ht="45" customHeight="1" x14ac:dyDescent="0.25">
      <c r="A14" s="144"/>
      <c r="B14" s="119">
        <v>3.2</v>
      </c>
      <c r="C14" s="118" t="s">
        <v>199</v>
      </c>
      <c r="D14" s="85" t="str">
        <f t="shared" si="0"/>
        <v>7</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1</v>
      </c>
      <c r="V14" s="107" t="b">
        <v>1</v>
      </c>
      <c r="W14" s="83" t="str" cm="1">
        <f t="array" ref="W14">_xlfn.TEXTJOIN(", ",TRUE,IF(E14:V14,{"PI11","PI12","PI21","PI22","PI23","PI24","PI31","PI32","PI41","PI42","PI51","PI52","PI61","PI62","PI63","PI64","PI71","PI72"},""))</f>
        <v>PI71, PI72</v>
      </c>
      <c r="X14" s="6"/>
      <c r="Y14" s="6"/>
    </row>
    <row r="15" spans="1:25" ht="30" customHeight="1" x14ac:dyDescent="0.25">
      <c r="A15" s="103" t="s">
        <v>133</v>
      </c>
      <c r="B15" s="103"/>
      <c r="C15" s="83" t="str">
        <f>C2</f>
        <v>Power Systems</v>
      </c>
      <c r="D15" s="85" t="str">
        <f>A2</f>
        <v>EE 403</v>
      </c>
      <c r="E15" s="68" t="str">
        <f t="shared" ref="E15:V15" si="1">IF(COUNTIF(E$5:E$14,TRUE)&gt;0,$D$2,"")</f>
        <v>M</v>
      </c>
      <c r="F15" s="69" t="str">
        <f t="shared" si="1"/>
        <v/>
      </c>
      <c r="G15" s="70" t="str">
        <f t="shared" si="1"/>
        <v>M</v>
      </c>
      <c r="H15" s="71" t="str">
        <f t="shared" si="1"/>
        <v>M</v>
      </c>
      <c r="I15" s="72" t="str">
        <f t="shared" si="1"/>
        <v>M</v>
      </c>
      <c r="J15" s="73" t="str">
        <f t="shared" si="1"/>
        <v>M</v>
      </c>
      <c r="K15" s="74" t="str">
        <f t="shared" si="1"/>
        <v/>
      </c>
      <c r="L15" s="86" t="str">
        <f t="shared" si="1"/>
        <v/>
      </c>
      <c r="M15" s="87" t="str">
        <f t="shared" si="1"/>
        <v>M</v>
      </c>
      <c r="N15" s="88" t="str">
        <f t="shared" si="1"/>
        <v>M</v>
      </c>
      <c r="O15" s="89" t="str">
        <f t="shared" si="1"/>
        <v/>
      </c>
      <c r="P15" s="90" t="str">
        <f t="shared" si="1"/>
        <v/>
      </c>
      <c r="Q15" s="91" t="str">
        <f t="shared" si="1"/>
        <v/>
      </c>
      <c r="R15" s="92" t="str">
        <f t="shared" si="1"/>
        <v/>
      </c>
      <c r="S15" s="93" t="str">
        <f t="shared" si="1"/>
        <v/>
      </c>
      <c r="T15" s="94" t="str">
        <f t="shared" si="1"/>
        <v/>
      </c>
      <c r="U15" s="95" t="str">
        <f t="shared" si="1"/>
        <v>M</v>
      </c>
      <c r="V15" s="96" t="str">
        <f t="shared" si="1"/>
        <v>M</v>
      </c>
      <c r="W15" s="6"/>
      <c r="X15" s="6"/>
      <c r="Y15" s="6"/>
    </row>
    <row r="16" spans="1:25" ht="30" customHeight="1" x14ac:dyDescent="0.25">
      <c r="A16" s="103" t="s">
        <v>136</v>
      </c>
      <c r="B16" s="103"/>
      <c r="C16" s="83" t="str">
        <f>C2</f>
        <v>Power Systems</v>
      </c>
      <c r="D16" s="85" t="str">
        <f>A2</f>
        <v>EE 403</v>
      </c>
      <c r="E16" s="147" t="str">
        <f>IF(COUNTIF(E$5:F$14,TRUE)&gt;0,$D$2,"")</f>
        <v>M</v>
      </c>
      <c r="F16" s="125"/>
      <c r="G16" s="148" t="str">
        <f>IF(COUNTIF(G$5:J$14,TRUE)&gt;0,$D$2,"")</f>
        <v>M</v>
      </c>
      <c r="H16" s="129"/>
      <c r="I16" s="129"/>
      <c r="J16" s="125"/>
      <c r="K16" s="149" t="str">
        <f>IF(COUNTIF(K$5:L$14,TRUE)&gt;0,$D$2,"")</f>
        <v/>
      </c>
      <c r="L16" s="125"/>
      <c r="M16" s="137" t="str">
        <f>IF(COUNTIF(M$5:N$14,TRUE)&gt;0,$D$2,"")</f>
        <v>M</v>
      </c>
      <c r="N16" s="125"/>
      <c r="O16" s="138" t="str">
        <f>IF(COUNTIF(O$5:P$14,TRUE)&gt;0,$D$2,"")</f>
        <v/>
      </c>
      <c r="P16" s="125"/>
      <c r="Q16" s="139" t="str">
        <f>IF(COUNTIF(Q$5:T$14,TRUE)&gt;0,$D$2,"")</f>
        <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41" priority="1" operator="equal">
      <formula>"TRUE"</formula>
    </cfRule>
  </conditionalFormatting>
  <conditionalFormatting sqref="F5:F14">
    <cfRule type="cellIs" dxfId="340" priority="2" operator="equal">
      <formula>"TRUE"</formula>
    </cfRule>
  </conditionalFormatting>
  <conditionalFormatting sqref="G5:G14">
    <cfRule type="cellIs" dxfId="339" priority="3" operator="equal">
      <formula>"TRUE"</formula>
    </cfRule>
  </conditionalFormatting>
  <conditionalFormatting sqref="H5:I14">
    <cfRule type="cellIs" dxfId="338" priority="4" operator="equal">
      <formula>"TRUE"</formula>
    </cfRule>
  </conditionalFormatting>
  <conditionalFormatting sqref="I5:I14">
    <cfRule type="cellIs" dxfId="337" priority="5" operator="equal">
      <formula>"TRUE"</formula>
    </cfRule>
  </conditionalFormatting>
  <conditionalFormatting sqref="J5:J14">
    <cfRule type="cellIs" dxfId="336" priority="6" operator="equal">
      <formula>"TRUE"</formula>
    </cfRule>
  </conditionalFormatting>
  <conditionalFormatting sqref="K5:K14">
    <cfRule type="cellIs" dxfId="335" priority="7" operator="equal">
      <formula>"TRUE"</formula>
    </cfRule>
  </conditionalFormatting>
  <conditionalFormatting sqref="L5:L14">
    <cfRule type="cellIs" dxfId="334" priority="8" operator="equal">
      <formula>"TRUE"</formula>
    </cfRule>
  </conditionalFormatting>
  <conditionalFormatting sqref="M5:M14">
    <cfRule type="cellIs" dxfId="333" priority="9" operator="equal">
      <formula>"TRUE"</formula>
    </cfRule>
  </conditionalFormatting>
  <conditionalFormatting sqref="N5:N14">
    <cfRule type="cellIs" dxfId="332" priority="10" operator="equal">
      <formula>"TRUE"</formula>
    </cfRule>
  </conditionalFormatting>
  <conditionalFormatting sqref="O5:O14">
    <cfRule type="cellIs" dxfId="331" priority="11" operator="equal">
      <formula>"TRUE"</formula>
    </cfRule>
  </conditionalFormatting>
  <conditionalFormatting sqref="P5:P14">
    <cfRule type="cellIs" dxfId="330" priority="12" operator="equal">
      <formula>"TRUE"</formula>
    </cfRule>
  </conditionalFormatting>
  <conditionalFormatting sqref="Q5:Q14">
    <cfRule type="cellIs" dxfId="329" priority="13" operator="equal">
      <formula>"TRUE"</formula>
    </cfRule>
  </conditionalFormatting>
  <conditionalFormatting sqref="R5:R14">
    <cfRule type="cellIs" dxfId="328" priority="14" operator="equal">
      <formula>"TRUE"</formula>
    </cfRule>
  </conditionalFormatting>
  <conditionalFormatting sqref="S5:S14">
    <cfRule type="cellIs" dxfId="327" priority="15" operator="equal">
      <formula>"TRUE"</formula>
    </cfRule>
  </conditionalFormatting>
  <conditionalFormatting sqref="T5:T14">
    <cfRule type="cellIs" dxfId="326" priority="16" operator="equal">
      <formula>"TRUE"</formula>
    </cfRule>
  </conditionalFormatting>
  <conditionalFormatting sqref="U5:U14">
    <cfRule type="cellIs" dxfId="325" priority="17" operator="equal">
      <formula>"TRUE"</formula>
    </cfRule>
  </conditionalFormatting>
  <conditionalFormatting sqref="V5:V14">
    <cfRule type="cellIs" dxfId="324" priority="18" operator="equal">
      <formula>"TRUE"</formula>
    </cfRule>
  </conditionalFormatting>
  <pageMargins left="0.7" right="0.7" top="0.75" bottom="0.75" header="0" footer="0"/>
  <pageSetup paperSize="9" fitToWidth="0" orientation="landscape"/>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Y1001"/>
  <sheetViews>
    <sheetView zoomScale="55" zoomScaleNormal="55" workbookViewId="0">
      <selection activeCell="C15" sqref="C15"/>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200</v>
      </c>
      <c r="B2" s="83">
        <v>25</v>
      </c>
      <c r="C2" s="103" t="s">
        <v>100</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20" t="s">
        <v>252</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c r="C6" s="120"/>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120"/>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6" t="s">
        <v>284</v>
      </c>
      <c r="D8" s="85" t="str">
        <f t="shared" si="0"/>
        <v>2</v>
      </c>
      <c r="E8" s="107" t="b">
        <v>0</v>
      </c>
      <c r="F8" s="107" t="b">
        <v>0</v>
      </c>
      <c r="G8" s="107" t="b">
        <v>1</v>
      </c>
      <c r="H8" s="107" t="b">
        <v>1</v>
      </c>
      <c r="I8" s="107" t="b">
        <v>1</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PI23, PI24</v>
      </c>
      <c r="X8" s="6"/>
      <c r="Y8" s="6"/>
    </row>
    <row r="9" spans="1:25" ht="45" customHeight="1" x14ac:dyDescent="0.25">
      <c r="A9" s="143"/>
      <c r="B9" s="99">
        <v>2.2000000000000002</v>
      </c>
      <c r="C9" s="116" t="s">
        <v>285</v>
      </c>
      <c r="D9" s="85" t="str">
        <f t="shared" si="0"/>
        <v>2</v>
      </c>
      <c r="E9" s="107" t="b">
        <v>0</v>
      </c>
      <c r="F9" s="107" t="b">
        <v>0</v>
      </c>
      <c r="G9" s="107" t="b">
        <v>1</v>
      </c>
      <c r="H9" s="107" t="b">
        <v>0</v>
      </c>
      <c r="I9" s="107" t="b">
        <v>1</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PI21, PI23</v>
      </c>
      <c r="X9" s="6"/>
      <c r="Y9" s="6"/>
    </row>
    <row r="10" spans="1:25" ht="45" customHeight="1" x14ac:dyDescent="0.25">
      <c r="A10" s="143"/>
      <c r="B10" s="99">
        <v>2.2999999999999998</v>
      </c>
      <c r="C10" s="116" t="s">
        <v>253</v>
      </c>
      <c r="D10" s="85" t="str">
        <f t="shared" si="0"/>
        <v>3</v>
      </c>
      <c r="E10" s="107" t="b">
        <v>0</v>
      </c>
      <c r="F10" s="107" t="b">
        <v>0</v>
      </c>
      <c r="G10" s="107" t="b">
        <v>0</v>
      </c>
      <c r="H10" s="107" t="b">
        <v>0</v>
      </c>
      <c r="I10" s="107" t="b">
        <v>0</v>
      </c>
      <c r="J10" s="107" t="b">
        <v>0</v>
      </c>
      <c r="K10" s="107" t="b">
        <v>1</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PI31</v>
      </c>
      <c r="X10" s="6"/>
      <c r="Y10" s="6"/>
    </row>
    <row r="11" spans="1:25" ht="45" customHeight="1" x14ac:dyDescent="0.25">
      <c r="A11" s="143"/>
      <c r="B11" s="99">
        <v>2.4</v>
      </c>
      <c r="C11" s="116" t="s">
        <v>254</v>
      </c>
      <c r="D11" s="85" t="str">
        <f t="shared" si="0"/>
        <v>3</v>
      </c>
      <c r="E11" s="107" t="b">
        <v>0</v>
      </c>
      <c r="F11" s="107" t="b">
        <v>0</v>
      </c>
      <c r="G11" s="107" t="b">
        <v>0</v>
      </c>
      <c r="H11" s="107" t="b">
        <v>0</v>
      </c>
      <c r="I11" s="107" t="b">
        <v>0</v>
      </c>
      <c r="J11" s="107" t="b">
        <v>0</v>
      </c>
      <c r="K11" s="107" t="b">
        <v>1</v>
      </c>
      <c r="L11" s="107" t="b">
        <v>1</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PI31, PI32</v>
      </c>
      <c r="X11" s="6"/>
      <c r="Y11" s="6"/>
    </row>
    <row r="12" spans="1:25" ht="45" customHeight="1" x14ac:dyDescent="0.25">
      <c r="A12" s="144"/>
      <c r="B12" s="99">
        <v>2.5</v>
      </c>
      <c r="C12" s="116" t="s">
        <v>201</v>
      </c>
      <c r="D12" s="85" t="str">
        <f t="shared" si="0"/>
        <v>6</v>
      </c>
      <c r="E12" s="107" t="b">
        <v>0</v>
      </c>
      <c r="F12" s="107" t="b">
        <v>0</v>
      </c>
      <c r="G12" s="107" t="b">
        <v>0</v>
      </c>
      <c r="H12" s="107" t="b">
        <v>0</v>
      </c>
      <c r="I12" s="107" t="b">
        <v>0</v>
      </c>
      <c r="J12" s="107" t="b">
        <v>0</v>
      </c>
      <c r="K12" s="107" t="b">
        <v>0</v>
      </c>
      <c r="L12" s="107" t="b">
        <v>0</v>
      </c>
      <c r="M12" s="107" t="b">
        <v>0</v>
      </c>
      <c r="N12" s="107" t="b">
        <v>0</v>
      </c>
      <c r="O12" s="107" t="b">
        <v>0</v>
      </c>
      <c r="P12" s="107" t="b">
        <v>0</v>
      </c>
      <c r="Q12" s="107" t="b">
        <v>1</v>
      </c>
      <c r="R12" s="107" t="b">
        <v>1</v>
      </c>
      <c r="S12" s="107" t="b">
        <v>1</v>
      </c>
      <c r="T12" s="107" t="b">
        <v>1</v>
      </c>
      <c r="U12" s="107" t="b">
        <v>0</v>
      </c>
      <c r="V12" s="107" t="b">
        <v>0</v>
      </c>
      <c r="W12" s="83" t="str" cm="1">
        <f t="array" ref="W12">_xlfn.TEXTJOIN(", ",TRUE,IF(E12:V12,{"PI11","PI12","PI21","PI22","PI23","PI24","PI31","PI32","PI41","PI42","PI51","PI52","PI61","PI62","PI63","PI64","PI71","PI72"},""))</f>
        <v>PI61, PI62, PI63, PI64</v>
      </c>
      <c r="X12" s="6"/>
      <c r="Y12" s="6"/>
    </row>
    <row r="13" spans="1:25" ht="45" customHeight="1" x14ac:dyDescent="0.25">
      <c r="A13" s="146" t="s">
        <v>132</v>
      </c>
      <c r="B13" s="101">
        <v>3.1</v>
      </c>
      <c r="C13" s="121" t="s">
        <v>255</v>
      </c>
      <c r="D13" s="85" t="str">
        <f t="shared" si="0"/>
        <v>4</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PI41, PI42</v>
      </c>
      <c r="X13" s="6"/>
      <c r="Y13" s="6"/>
    </row>
    <row r="14" spans="1:25" ht="45" customHeight="1" x14ac:dyDescent="0.25">
      <c r="A14" s="143"/>
      <c r="B14" s="101">
        <v>3.2</v>
      </c>
      <c r="C14" s="121" t="s">
        <v>256</v>
      </c>
      <c r="D14" s="85" t="str">
        <f t="shared" si="0"/>
        <v>5</v>
      </c>
      <c r="E14" s="107" t="b">
        <v>0</v>
      </c>
      <c r="F14" s="107" t="b">
        <v>0</v>
      </c>
      <c r="G14" s="107" t="b">
        <v>0</v>
      </c>
      <c r="H14" s="107" t="b">
        <v>0</v>
      </c>
      <c r="I14" s="107" t="b">
        <v>0</v>
      </c>
      <c r="J14" s="107" t="b">
        <v>0</v>
      </c>
      <c r="K14" s="107" t="b">
        <v>0</v>
      </c>
      <c r="L14" s="107" t="b">
        <v>0</v>
      </c>
      <c r="M14" s="107" t="b">
        <v>0</v>
      </c>
      <c r="N14" s="107" t="b">
        <v>0</v>
      </c>
      <c r="O14" s="107" t="b">
        <v>1</v>
      </c>
      <c r="P14" s="107" t="b">
        <v>1</v>
      </c>
      <c r="Q14" s="107" t="b">
        <v>0</v>
      </c>
      <c r="R14" s="107" t="b">
        <v>0</v>
      </c>
      <c r="S14" s="107" t="b">
        <v>0</v>
      </c>
      <c r="T14" s="107" t="b">
        <v>0</v>
      </c>
      <c r="U14" s="107" t="b">
        <v>0</v>
      </c>
      <c r="V14" s="107" t="b">
        <v>0</v>
      </c>
      <c r="W14" s="83" t="str" cm="1">
        <f t="array" ref="W14">_xlfn.TEXTJOIN(", ",TRUE,IF(E14:V14,{"PI11","PI12","PI21","PI22","PI23","PI24","PI31","PI32","PI41","PI42","PI51","PI52","PI61","PI62","PI63","PI64","PI71","PI72"},""))</f>
        <v>PI51, PI52</v>
      </c>
      <c r="X14" s="6"/>
      <c r="Y14" s="6"/>
    </row>
    <row r="15" spans="1:25" ht="45" customHeight="1" x14ac:dyDescent="0.25">
      <c r="A15" s="144"/>
      <c r="B15" s="101">
        <v>3.3</v>
      </c>
      <c r="C15" s="121" t="s">
        <v>202</v>
      </c>
      <c r="D15" s="85" t="str">
        <f>_xlfn.TEXTJOIN(", ",TRUE,IF(OR(E15,F15),"1",""),IF(OR(G15,H15,I15,J15),"2",""),IF(OR(K15,L15),"3",""),IF(OR(M15,N15),"4",""),IF(OR(O15,P15),"5",""),IF(OR(Q15,R15,S15,T15),"6",""),IF(OR(U15,V15),"7",""))</f>
        <v>7</v>
      </c>
      <c r="E15" s="107" t="b">
        <v>0</v>
      </c>
      <c r="F15" s="107" t="b">
        <v>0</v>
      </c>
      <c r="G15" s="107" t="b">
        <v>0</v>
      </c>
      <c r="H15" s="107" t="b">
        <v>0</v>
      </c>
      <c r="I15" s="107" t="b">
        <v>0</v>
      </c>
      <c r="J15" s="107" t="b">
        <v>0</v>
      </c>
      <c r="K15" s="107" t="b">
        <v>0</v>
      </c>
      <c r="L15" s="107" t="b">
        <v>0</v>
      </c>
      <c r="M15" s="107" t="b">
        <v>0</v>
      </c>
      <c r="N15" s="107" t="b">
        <v>0</v>
      </c>
      <c r="O15" s="107" t="b">
        <v>0</v>
      </c>
      <c r="P15" s="107" t="b">
        <v>0</v>
      </c>
      <c r="Q15" s="107" t="b">
        <v>0</v>
      </c>
      <c r="R15" s="107" t="b">
        <v>0</v>
      </c>
      <c r="S15" s="107" t="b">
        <v>0</v>
      </c>
      <c r="T15" s="107" t="b">
        <v>0</v>
      </c>
      <c r="U15" s="107" t="b">
        <v>1</v>
      </c>
      <c r="V15" s="107" t="b">
        <v>1</v>
      </c>
      <c r="W15" s="83" t="str" cm="1">
        <f t="array" ref="W15">_xlfn.TEXTJOIN(", ",TRUE,IF(E15:V15,{"PI11","PI12","PI21","PI22","PI23","PI24","PI31","PI32","PI41","PI42","PI51","PI52","PI61","PI62","PI63","PI64","PI71","PI72"},""))</f>
        <v>PI71, PI72</v>
      </c>
      <c r="X15" s="6"/>
      <c r="Y15" s="6"/>
    </row>
    <row r="16" spans="1:25" ht="30" customHeight="1" x14ac:dyDescent="0.25">
      <c r="A16" s="103" t="s">
        <v>133</v>
      </c>
      <c r="B16" s="103"/>
      <c r="C16" s="83" t="str">
        <f>C2</f>
        <v>Senior Design Project</v>
      </c>
      <c r="D16" s="85" t="str">
        <f>A2</f>
        <v>EE 490</v>
      </c>
      <c r="E16" s="68" t="str">
        <f t="shared" ref="E16:V16" si="1">IF(COUNTIF(E$5:E$15,TRUE)&gt;0,$D$2,"")</f>
        <v>M</v>
      </c>
      <c r="F16" s="69" t="str">
        <f t="shared" si="1"/>
        <v>M</v>
      </c>
      <c r="G16" s="70" t="str">
        <f t="shared" si="1"/>
        <v>M</v>
      </c>
      <c r="H16" s="71" t="str">
        <f t="shared" si="1"/>
        <v>M</v>
      </c>
      <c r="I16" s="72" t="str">
        <f t="shared" si="1"/>
        <v>M</v>
      </c>
      <c r="J16" s="73" t="str">
        <f t="shared" si="1"/>
        <v>M</v>
      </c>
      <c r="K16" s="74" t="str">
        <f t="shared" si="1"/>
        <v>M</v>
      </c>
      <c r="L16" s="86" t="str">
        <f t="shared" si="1"/>
        <v>M</v>
      </c>
      <c r="M16" s="87" t="str">
        <f t="shared" si="1"/>
        <v>M</v>
      </c>
      <c r="N16" s="88" t="str">
        <f t="shared" si="1"/>
        <v>M</v>
      </c>
      <c r="O16" s="89" t="str">
        <f t="shared" si="1"/>
        <v>M</v>
      </c>
      <c r="P16" s="90" t="str">
        <f t="shared" si="1"/>
        <v>M</v>
      </c>
      <c r="Q16" s="91" t="str">
        <f t="shared" si="1"/>
        <v>M</v>
      </c>
      <c r="R16" s="92" t="str">
        <f t="shared" si="1"/>
        <v>M</v>
      </c>
      <c r="S16" s="93" t="str">
        <f t="shared" si="1"/>
        <v>M</v>
      </c>
      <c r="T16" s="94" t="str">
        <f t="shared" si="1"/>
        <v>M</v>
      </c>
      <c r="U16" s="95" t="str">
        <f t="shared" si="1"/>
        <v>M</v>
      </c>
      <c r="V16" s="96" t="str">
        <f t="shared" si="1"/>
        <v>M</v>
      </c>
      <c r="W16" s="6"/>
      <c r="X16" s="6"/>
      <c r="Y16" s="6"/>
    </row>
    <row r="17" spans="1:25" ht="30" customHeight="1" x14ac:dyDescent="0.25">
      <c r="A17" s="103" t="s">
        <v>136</v>
      </c>
      <c r="B17" s="103"/>
      <c r="C17" s="83" t="str">
        <f>C2</f>
        <v>Senior Design Project</v>
      </c>
      <c r="D17" s="85" t="str">
        <f>A2</f>
        <v>EE 490</v>
      </c>
      <c r="E17" s="147" t="str">
        <f>IF(COUNTIF(E$5:F$15,TRUE)&gt;0,$D$2,"")</f>
        <v>M</v>
      </c>
      <c r="F17" s="125"/>
      <c r="G17" s="148" t="str">
        <f>IF(COUNTIF(G$5:J$15,TRUE)&gt;0,$D$2,"")</f>
        <v>M</v>
      </c>
      <c r="H17" s="129"/>
      <c r="I17" s="129"/>
      <c r="J17" s="125"/>
      <c r="K17" s="149" t="str">
        <f>IF(COUNTIF(K$5:L$15,TRUE)&gt;0,$D$2,"")</f>
        <v>M</v>
      </c>
      <c r="L17" s="125"/>
      <c r="M17" s="137" t="str">
        <f>IF(COUNTIF(M$5:N$15,TRUE)&gt;0,$D$2,"")</f>
        <v>M</v>
      </c>
      <c r="N17" s="125"/>
      <c r="O17" s="138" t="str">
        <f>IF(COUNTIF(O$5:P$15,TRUE)&gt;0,$D$2,"")</f>
        <v>M</v>
      </c>
      <c r="P17" s="125"/>
      <c r="Q17" s="139" t="str">
        <f>IF(COUNTIF(Q$5:T$15,TRUE)&gt;0,$D$2,"")</f>
        <v>M</v>
      </c>
      <c r="R17" s="129"/>
      <c r="S17" s="129"/>
      <c r="T17" s="125"/>
      <c r="U17" s="136" t="str">
        <f>IF(COUNTIF(U$5:V$15,TRUE)&gt;0,$D$2,"")</f>
        <v>M</v>
      </c>
      <c r="V17" s="125"/>
      <c r="W17" s="6"/>
      <c r="X17" s="6"/>
      <c r="Y17" s="6"/>
    </row>
    <row r="18" spans="1:25" ht="18.75" customHeight="1" x14ac:dyDescent="0.25">
      <c r="A18" s="6"/>
      <c r="B18" s="6"/>
      <c r="C18" s="6"/>
      <c r="D18" s="104"/>
      <c r="E18" s="6"/>
      <c r="F18" s="6"/>
      <c r="G18" s="6"/>
      <c r="H18" s="6"/>
      <c r="I18" s="6"/>
      <c r="J18" s="6"/>
      <c r="K18" s="6"/>
      <c r="L18" s="6"/>
      <c r="M18" s="6"/>
      <c r="N18" s="6"/>
      <c r="O18" s="6"/>
      <c r="P18" s="6"/>
      <c r="Q18" s="6"/>
      <c r="R18" s="6"/>
      <c r="S18" s="6"/>
      <c r="T18" s="6"/>
      <c r="U18" s="6"/>
      <c r="V18" s="6"/>
      <c r="W18" s="6"/>
      <c r="X18" s="6"/>
      <c r="Y18" s="6"/>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row r="1001" spans="4:4" ht="18.75" customHeight="1" x14ac:dyDescent="0.25">
      <c r="D1001" s="104"/>
    </row>
  </sheetData>
  <mergeCells count="22">
    <mergeCell ref="M17:N17"/>
    <mergeCell ref="O17:P17"/>
    <mergeCell ref="Q17:T17"/>
    <mergeCell ref="U17:V17"/>
    <mergeCell ref="A3:A4"/>
    <mergeCell ref="A5:A7"/>
    <mergeCell ref="A8:A12"/>
    <mergeCell ref="A13:A15"/>
    <mergeCell ref="E17:F17"/>
    <mergeCell ref="G17:J17"/>
    <mergeCell ref="K17:L17"/>
    <mergeCell ref="B3:B4"/>
    <mergeCell ref="C3:C4"/>
    <mergeCell ref="D3:D4"/>
    <mergeCell ref="E3:F3"/>
    <mergeCell ref="G3:J3"/>
    <mergeCell ref="K3:L3"/>
    <mergeCell ref="M3:N3"/>
    <mergeCell ref="O3:P3"/>
    <mergeCell ref="Q3:T3"/>
    <mergeCell ref="E1:V2"/>
    <mergeCell ref="U3:V3"/>
  </mergeCells>
  <conditionalFormatting sqref="E5:E15">
    <cfRule type="cellIs" dxfId="323" priority="1" operator="equal">
      <formula>"TRUE"</formula>
    </cfRule>
  </conditionalFormatting>
  <conditionalFormatting sqref="F5:F15">
    <cfRule type="cellIs" dxfId="322" priority="2" operator="equal">
      <formula>"TRUE"</formula>
    </cfRule>
  </conditionalFormatting>
  <conditionalFormatting sqref="G5:G15">
    <cfRule type="cellIs" dxfId="321" priority="3" operator="equal">
      <formula>"TRUE"</formula>
    </cfRule>
  </conditionalFormatting>
  <conditionalFormatting sqref="H5:I15">
    <cfRule type="cellIs" dxfId="320" priority="4" operator="equal">
      <formula>"TRUE"</formula>
    </cfRule>
  </conditionalFormatting>
  <conditionalFormatting sqref="I5:I15">
    <cfRule type="cellIs" dxfId="319" priority="5" operator="equal">
      <formula>"TRUE"</formula>
    </cfRule>
  </conditionalFormatting>
  <conditionalFormatting sqref="J5:J15">
    <cfRule type="cellIs" dxfId="318" priority="6" operator="equal">
      <formula>"TRUE"</formula>
    </cfRule>
  </conditionalFormatting>
  <conditionalFormatting sqref="K5:K15">
    <cfRule type="cellIs" dxfId="317" priority="7" operator="equal">
      <formula>"TRUE"</formula>
    </cfRule>
  </conditionalFormatting>
  <conditionalFormatting sqref="L5:L15">
    <cfRule type="cellIs" dxfId="316" priority="8" operator="equal">
      <formula>"TRUE"</formula>
    </cfRule>
  </conditionalFormatting>
  <conditionalFormatting sqref="M5:M15">
    <cfRule type="cellIs" dxfId="315" priority="9" operator="equal">
      <formula>"TRUE"</formula>
    </cfRule>
  </conditionalFormatting>
  <conditionalFormatting sqref="N5:N15">
    <cfRule type="cellIs" dxfId="314" priority="10" operator="equal">
      <formula>"TRUE"</formula>
    </cfRule>
  </conditionalFormatting>
  <conditionalFormatting sqref="O5:O15">
    <cfRule type="cellIs" dxfId="313" priority="11" operator="equal">
      <formula>"TRUE"</formula>
    </cfRule>
  </conditionalFormatting>
  <conditionalFormatting sqref="P5:P15">
    <cfRule type="cellIs" dxfId="312" priority="12" operator="equal">
      <formula>"TRUE"</formula>
    </cfRule>
  </conditionalFormatting>
  <conditionalFormatting sqref="Q5:Q15">
    <cfRule type="cellIs" dxfId="311" priority="13" operator="equal">
      <formula>"TRUE"</formula>
    </cfRule>
  </conditionalFormatting>
  <conditionalFormatting sqref="R5:R15">
    <cfRule type="cellIs" dxfId="310" priority="14" operator="equal">
      <formula>"TRUE"</formula>
    </cfRule>
  </conditionalFormatting>
  <conditionalFormatting sqref="S5:S15">
    <cfRule type="cellIs" dxfId="309" priority="15" operator="equal">
      <formula>"TRUE"</formula>
    </cfRule>
  </conditionalFormatting>
  <conditionalFormatting sqref="T5:T15">
    <cfRule type="cellIs" dxfId="308" priority="16" operator="equal">
      <formula>"TRUE"</formula>
    </cfRule>
  </conditionalFormatting>
  <conditionalFormatting sqref="U5:U15">
    <cfRule type="cellIs" dxfId="307" priority="17" operator="equal">
      <formula>"TRUE"</formula>
    </cfRule>
  </conditionalFormatting>
  <conditionalFormatting sqref="V5:V15">
    <cfRule type="cellIs" dxfId="306" priority="18" operator="equal">
      <formula>"TRUE"</formula>
    </cfRule>
  </conditionalFormatting>
  <pageMargins left="0.7" right="0.7" top="0.75" bottom="0.75" header="0" footer="0"/>
  <pageSetup paperSize="9" fitToWidth="0" orientation="landscape"/>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Y1000"/>
  <sheetViews>
    <sheetView zoomScale="55" zoomScaleNormal="55" workbookViewId="0">
      <selection activeCell="C14" sqref="C1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203</v>
      </c>
      <c r="B2" s="83">
        <v>26</v>
      </c>
      <c r="C2" s="103" t="s">
        <v>101</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204</v>
      </c>
      <c r="D5" s="85" t="str">
        <f>_xlfn.TEXTJOIN(", ",TRUE,IF(OR(E5,F5),"1",""),IF(OR(G5,H5,I5,J5),"2",""),IF(OR(K5,L5),"3",""),IF(OR(M5,N5),"4",""),IF(OR(O5,P5),"5",""),IF(OR(Q5,R5,S5,T5),"6",""),IF(OR(U5,V5),"7",""))</f>
        <v>1, 7</v>
      </c>
      <c r="E5" s="107" t="b">
        <v>0</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1</v>
      </c>
      <c r="V5" s="107" t="b">
        <v>1</v>
      </c>
      <c r="W5" s="83" t="str" cm="1">
        <f t="array" ref="W5">_xlfn.TEXTJOIN(", ",TRUE,IF(E5:V5,{"PI11","PI12","PI21","PI22","PI23","PI24","PI31","PI32","PI41","PI42","PI51","PI52","PI61","PI62","PI63","PI64","PI71","PI72"},""))</f>
        <v>PI12, PI71, PI72</v>
      </c>
      <c r="X5" s="6"/>
      <c r="Y5" s="6"/>
    </row>
    <row r="6" spans="1:25" ht="45" customHeight="1" x14ac:dyDescent="0.25">
      <c r="A6" s="143"/>
      <c r="B6" s="97">
        <v>1.2</v>
      </c>
      <c r="C6" s="115" t="s">
        <v>290</v>
      </c>
      <c r="D6" s="85" t="str">
        <f t="shared" ref="D6:D14" si="0">_xlfn.TEXTJOIN(", ",TRUE,IF(OR(E6,F6),"1",""),IF(OR(G6,H6,I6,J6),"2",""),IF(OR(K6,L6),"3",""),IF(OR(M6,N6),"4",""),IF(OR(O6,P6),"5",""),IF(OR(Q6,R6,S6,T6),"6",""),IF(OR(U6,V6),"7",""))</f>
        <v>1</v>
      </c>
      <c r="E6" s="107" t="b">
        <v>1</v>
      </c>
      <c r="F6" s="107" t="b">
        <v>1</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PI11, PI12</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205</v>
      </c>
      <c r="D8" s="85" t="str">
        <f t="shared" si="0"/>
        <v>3</v>
      </c>
      <c r="E8" s="107" t="b">
        <v>0</v>
      </c>
      <c r="F8" s="107" t="b">
        <v>0</v>
      </c>
      <c r="G8" s="107" t="b">
        <v>0</v>
      </c>
      <c r="H8" s="107" t="b">
        <v>0</v>
      </c>
      <c r="I8" s="107" t="b">
        <v>0</v>
      </c>
      <c r="J8" s="107" t="b">
        <v>0</v>
      </c>
      <c r="K8" s="107" t="b">
        <v>1</v>
      </c>
      <c r="L8" s="107" t="b">
        <v>1</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PI31, PI32</v>
      </c>
      <c r="X8" s="6"/>
      <c r="Y8" s="6"/>
    </row>
    <row r="9" spans="1:25" ht="45" customHeight="1" x14ac:dyDescent="0.25">
      <c r="A9" s="143"/>
      <c r="B9" s="99">
        <v>2.2000000000000002</v>
      </c>
      <c r="C9" s="117" t="s">
        <v>291</v>
      </c>
      <c r="D9" s="85" t="str">
        <f t="shared" si="0"/>
        <v>1, 6</v>
      </c>
      <c r="E9" s="107" t="b">
        <v>0</v>
      </c>
      <c r="F9" s="107" t="b">
        <v>1</v>
      </c>
      <c r="G9" s="107" t="b">
        <v>0</v>
      </c>
      <c r="H9" s="107" t="b">
        <v>0</v>
      </c>
      <c r="I9" s="107" t="b">
        <v>0</v>
      </c>
      <c r="J9" s="107" t="b">
        <v>0</v>
      </c>
      <c r="K9" s="107" t="b">
        <v>0</v>
      </c>
      <c r="L9" s="107" t="b">
        <v>0</v>
      </c>
      <c r="M9" s="107" t="b">
        <v>0</v>
      </c>
      <c r="N9" s="107" t="b">
        <v>0</v>
      </c>
      <c r="O9" s="107" t="b">
        <v>0</v>
      </c>
      <c r="P9" s="107" t="b">
        <v>0</v>
      </c>
      <c r="Q9" s="107" t="b">
        <v>0</v>
      </c>
      <c r="R9" s="107" t="b">
        <v>0</v>
      </c>
      <c r="S9" s="107" t="b">
        <v>1</v>
      </c>
      <c r="T9" s="107" t="b">
        <v>1</v>
      </c>
      <c r="U9" s="107" t="b">
        <v>0</v>
      </c>
      <c r="V9" s="107" t="b">
        <v>0</v>
      </c>
      <c r="W9" s="83" t="str" cm="1">
        <f t="array" ref="W9">_xlfn.TEXTJOIN(", ",TRUE,IF(E9:V9,{"PI11","PI12","PI21","PI22","PI23","PI24","PI31","PI32","PI41","PI42","PI51","PI52","PI61","PI62","PI63","PI64","PI71","PI72"},""))</f>
        <v>PI12, PI63, PI64</v>
      </c>
      <c r="X9" s="6"/>
      <c r="Y9" s="6"/>
    </row>
    <row r="10" spans="1:25" ht="45" customHeight="1" x14ac:dyDescent="0.25">
      <c r="A10" s="143"/>
      <c r="B10" s="99">
        <v>2.2999999999999998</v>
      </c>
      <c r="C10" s="117" t="s">
        <v>206</v>
      </c>
      <c r="D10" s="85" t="str">
        <f t="shared" si="0"/>
        <v>5</v>
      </c>
      <c r="E10" s="107" t="b">
        <v>0</v>
      </c>
      <c r="F10" s="107" t="b">
        <v>0</v>
      </c>
      <c r="G10" s="107" t="b">
        <v>0</v>
      </c>
      <c r="H10" s="107" t="b">
        <v>0</v>
      </c>
      <c r="I10" s="107" t="b">
        <v>0</v>
      </c>
      <c r="J10" s="107" t="b">
        <v>0</v>
      </c>
      <c r="K10" s="107" t="b">
        <v>0</v>
      </c>
      <c r="L10" s="107" t="b">
        <v>0</v>
      </c>
      <c r="M10" s="107" t="b">
        <v>0</v>
      </c>
      <c r="N10" s="107" t="b">
        <v>0</v>
      </c>
      <c r="O10" s="107" t="b">
        <v>1</v>
      </c>
      <c r="P10" s="107" t="b">
        <v>1</v>
      </c>
      <c r="Q10" s="107" t="b">
        <v>0</v>
      </c>
      <c r="R10" s="107" t="b">
        <v>0</v>
      </c>
      <c r="S10" s="107" t="b">
        <v>0</v>
      </c>
      <c r="T10" s="107" t="b">
        <v>0</v>
      </c>
      <c r="U10" s="107" t="b">
        <v>0</v>
      </c>
      <c r="V10" s="107" t="b">
        <v>0</v>
      </c>
      <c r="W10" s="83" t="str" cm="1">
        <f t="array" ref="W10">_xlfn.TEXTJOIN(", ",TRUE,IF(E10:V10,{"PI11","PI12","PI21","PI22","PI23","PI24","PI31","PI32","PI41","PI42","PI51","PI52","PI61","PI62","PI63","PI64","PI71","PI72"},""))</f>
        <v>PI51, PI52</v>
      </c>
      <c r="X10" s="6"/>
      <c r="Y10" s="6"/>
    </row>
    <row r="11" spans="1:25" ht="45" customHeight="1" x14ac:dyDescent="0.25">
      <c r="A11" s="143"/>
      <c r="B11" s="99"/>
      <c r="C11" s="117"/>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17"/>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8" t="s">
        <v>207</v>
      </c>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18" t="s">
        <v>257</v>
      </c>
      <c r="D14" s="85" t="str">
        <f t="shared" si="0"/>
        <v>4</v>
      </c>
      <c r="E14" s="107" t="b">
        <v>0</v>
      </c>
      <c r="F14" s="107" t="b">
        <v>0</v>
      </c>
      <c r="G14" s="107" t="b">
        <v>0</v>
      </c>
      <c r="H14" s="107" t="b">
        <v>0</v>
      </c>
      <c r="I14" s="107" t="b">
        <v>0</v>
      </c>
      <c r="J14" s="107" t="b">
        <v>0</v>
      </c>
      <c r="K14" s="107" t="b">
        <v>0</v>
      </c>
      <c r="L14" s="107" t="b">
        <v>0</v>
      </c>
      <c r="M14" s="107" t="b">
        <v>1</v>
      </c>
      <c r="N14" s="107" t="b">
        <v>1</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PI41, PI42</v>
      </c>
      <c r="X14" s="6"/>
      <c r="Y14" s="6"/>
    </row>
    <row r="15" spans="1:25" ht="30" customHeight="1" x14ac:dyDescent="0.25">
      <c r="A15" s="103" t="s">
        <v>133</v>
      </c>
      <c r="B15" s="103"/>
      <c r="C15" s="83" t="str">
        <f>C2</f>
        <v>Cooperative Training</v>
      </c>
      <c r="D15" s="85" t="str">
        <f>A2</f>
        <v>EE 492</v>
      </c>
      <c r="E15" s="68" t="str">
        <f t="shared" ref="E15:V15" si="1">IF(COUNTIF(E$5:E$14,TRUE)&gt;0,$D$2,"")</f>
        <v>M</v>
      </c>
      <c r="F15" s="69" t="str">
        <f t="shared" si="1"/>
        <v>M</v>
      </c>
      <c r="G15" s="70" t="str">
        <f t="shared" si="1"/>
        <v/>
      </c>
      <c r="H15" s="71" t="str">
        <f t="shared" si="1"/>
        <v/>
      </c>
      <c r="I15" s="72" t="str">
        <f t="shared" si="1"/>
        <v/>
      </c>
      <c r="J15" s="73" t="str">
        <f t="shared" si="1"/>
        <v/>
      </c>
      <c r="K15" s="74" t="str">
        <f t="shared" si="1"/>
        <v>M</v>
      </c>
      <c r="L15" s="86" t="str">
        <f t="shared" si="1"/>
        <v>M</v>
      </c>
      <c r="M15" s="87" t="str">
        <f t="shared" si="1"/>
        <v>M</v>
      </c>
      <c r="N15" s="88" t="str">
        <f t="shared" si="1"/>
        <v>M</v>
      </c>
      <c r="O15" s="89" t="str">
        <f t="shared" si="1"/>
        <v>M</v>
      </c>
      <c r="P15" s="90" t="str">
        <f t="shared" si="1"/>
        <v>M</v>
      </c>
      <c r="Q15" s="91" t="str">
        <f t="shared" si="1"/>
        <v/>
      </c>
      <c r="R15" s="92" t="str">
        <f t="shared" si="1"/>
        <v/>
      </c>
      <c r="S15" s="93" t="str">
        <f t="shared" si="1"/>
        <v>M</v>
      </c>
      <c r="T15" s="94" t="str">
        <f t="shared" si="1"/>
        <v>M</v>
      </c>
      <c r="U15" s="95" t="str">
        <f t="shared" si="1"/>
        <v>M</v>
      </c>
      <c r="V15" s="96" t="str">
        <f t="shared" si="1"/>
        <v>M</v>
      </c>
      <c r="W15" s="6"/>
      <c r="X15" s="6"/>
      <c r="Y15" s="6"/>
    </row>
    <row r="16" spans="1:25" ht="30" customHeight="1" x14ac:dyDescent="0.25">
      <c r="A16" s="103" t="s">
        <v>136</v>
      </c>
      <c r="B16" s="103"/>
      <c r="C16" s="83" t="str">
        <f>C2</f>
        <v>Cooperative Training</v>
      </c>
      <c r="D16" s="85" t="str">
        <f>A2</f>
        <v>EE 492</v>
      </c>
      <c r="E16" s="147" t="str">
        <f>IF(COUNTIF(E$5:F$14,TRUE)&gt;0,$D$2,"")</f>
        <v>M</v>
      </c>
      <c r="F16" s="125"/>
      <c r="G16" s="148" t="str">
        <f>IF(COUNTIF(G$5:J$14,TRUE)&gt;0,$D$2,"")</f>
        <v/>
      </c>
      <c r="H16" s="129"/>
      <c r="I16" s="129"/>
      <c r="J16" s="125"/>
      <c r="K16" s="149" t="str">
        <f>IF(COUNTIF(K$5:L$14,TRUE)&gt;0,$D$2,"")</f>
        <v>M</v>
      </c>
      <c r="L16" s="125"/>
      <c r="M16" s="137" t="str">
        <f>IF(COUNTIF(M$5:N$14,TRUE)&gt;0,$D$2,"")</f>
        <v>M</v>
      </c>
      <c r="N16" s="125"/>
      <c r="O16" s="138" t="str">
        <f>IF(COUNTIF(O$5:P$14,TRUE)&gt;0,$D$2,"")</f>
        <v>M</v>
      </c>
      <c r="P16" s="125"/>
      <c r="Q16" s="139" t="str">
        <f>IF(COUNTIF(Q$5:T$14,TRUE)&gt;0,$D$2,"")</f>
        <v>M</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05" priority="1" operator="equal">
      <formula>"TRUE"</formula>
    </cfRule>
  </conditionalFormatting>
  <conditionalFormatting sqref="F5:F14">
    <cfRule type="cellIs" dxfId="304" priority="2" operator="equal">
      <formula>"TRUE"</formula>
    </cfRule>
  </conditionalFormatting>
  <conditionalFormatting sqref="G5:G14">
    <cfRule type="cellIs" dxfId="303" priority="3" operator="equal">
      <formula>"TRUE"</formula>
    </cfRule>
  </conditionalFormatting>
  <conditionalFormatting sqref="H5:I14">
    <cfRule type="cellIs" dxfId="302" priority="4" operator="equal">
      <formula>"TRUE"</formula>
    </cfRule>
  </conditionalFormatting>
  <conditionalFormatting sqref="I5:I14">
    <cfRule type="cellIs" dxfId="301" priority="5" operator="equal">
      <formula>"TRUE"</formula>
    </cfRule>
  </conditionalFormatting>
  <conditionalFormatting sqref="J5:J14">
    <cfRule type="cellIs" dxfId="300" priority="6" operator="equal">
      <formula>"TRUE"</formula>
    </cfRule>
  </conditionalFormatting>
  <conditionalFormatting sqref="K5:K14">
    <cfRule type="cellIs" dxfId="299" priority="7" operator="equal">
      <formula>"TRUE"</formula>
    </cfRule>
  </conditionalFormatting>
  <conditionalFormatting sqref="L5:L14">
    <cfRule type="cellIs" dxfId="298" priority="8" operator="equal">
      <formula>"TRUE"</formula>
    </cfRule>
  </conditionalFormatting>
  <conditionalFormatting sqref="M5:M14">
    <cfRule type="cellIs" dxfId="297" priority="9" operator="equal">
      <formula>"TRUE"</formula>
    </cfRule>
  </conditionalFormatting>
  <conditionalFormatting sqref="N5:N14">
    <cfRule type="cellIs" dxfId="296" priority="10" operator="equal">
      <formula>"TRUE"</formula>
    </cfRule>
  </conditionalFormatting>
  <conditionalFormatting sqref="O5:O14">
    <cfRule type="cellIs" dxfId="295" priority="11" operator="equal">
      <formula>"TRUE"</formula>
    </cfRule>
  </conditionalFormatting>
  <conditionalFormatting sqref="P5:P14">
    <cfRule type="cellIs" dxfId="294" priority="12" operator="equal">
      <formula>"TRUE"</formula>
    </cfRule>
  </conditionalFormatting>
  <conditionalFormatting sqref="Q5:Q14">
    <cfRule type="cellIs" dxfId="293" priority="13" operator="equal">
      <formula>"TRUE"</formula>
    </cfRule>
  </conditionalFormatting>
  <conditionalFormatting sqref="R5:R14">
    <cfRule type="cellIs" dxfId="292" priority="14" operator="equal">
      <formula>"TRUE"</formula>
    </cfRule>
  </conditionalFormatting>
  <conditionalFormatting sqref="S5:S14">
    <cfRule type="cellIs" dxfId="291" priority="15" operator="equal">
      <formula>"TRUE"</formula>
    </cfRule>
  </conditionalFormatting>
  <conditionalFormatting sqref="T5:T14">
    <cfRule type="cellIs" dxfId="290" priority="16" operator="equal">
      <formula>"TRUE"</formula>
    </cfRule>
  </conditionalFormatting>
  <conditionalFormatting sqref="U5:U14">
    <cfRule type="cellIs" dxfId="289" priority="17" operator="equal">
      <formula>"TRUE"</formula>
    </cfRule>
  </conditionalFormatting>
  <conditionalFormatting sqref="V5:V14">
    <cfRule type="cellIs" dxfId="288" priority="18" operator="equal">
      <formula>"TRUE"</formula>
    </cfRule>
  </conditionalFormatting>
  <pageMargins left="0.7" right="0.7" top="0.75" bottom="0.75" header="0" footer="0"/>
  <pageSetup paperSize="9" fitToWidth="0" orientation="landscape"/>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208</v>
      </c>
      <c r="B2" s="83">
        <v>27</v>
      </c>
      <c r="C2" s="103" t="s">
        <v>103</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Electrical and Electronic Measurements</v>
      </c>
      <c r="D15" s="85" t="str">
        <f>A2</f>
        <v>EE 414</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Electrical and Electronic Measurements</v>
      </c>
      <c r="D16" s="85" t="str">
        <f>A2</f>
        <v>EE 414</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287" priority="1" operator="equal">
      <formula>"TRUE"</formula>
    </cfRule>
  </conditionalFormatting>
  <conditionalFormatting sqref="F5:F14">
    <cfRule type="cellIs" dxfId="286" priority="2" operator="equal">
      <formula>"TRUE"</formula>
    </cfRule>
  </conditionalFormatting>
  <conditionalFormatting sqref="G5:G14">
    <cfRule type="cellIs" dxfId="285" priority="3" operator="equal">
      <formula>"TRUE"</formula>
    </cfRule>
  </conditionalFormatting>
  <conditionalFormatting sqref="H5:I14">
    <cfRule type="cellIs" dxfId="284" priority="4" operator="equal">
      <formula>"TRUE"</formula>
    </cfRule>
  </conditionalFormatting>
  <conditionalFormatting sqref="I5:I14">
    <cfRule type="cellIs" dxfId="283" priority="5" operator="equal">
      <formula>"TRUE"</formula>
    </cfRule>
  </conditionalFormatting>
  <conditionalFormatting sqref="J5:J14">
    <cfRule type="cellIs" dxfId="282" priority="6" operator="equal">
      <formula>"TRUE"</formula>
    </cfRule>
  </conditionalFormatting>
  <conditionalFormatting sqref="K5:K14">
    <cfRule type="cellIs" dxfId="281" priority="7" operator="equal">
      <formula>"TRUE"</formula>
    </cfRule>
  </conditionalFormatting>
  <conditionalFormatting sqref="L5:L14">
    <cfRule type="cellIs" dxfId="280" priority="8" operator="equal">
      <formula>"TRUE"</formula>
    </cfRule>
  </conditionalFormatting>
  <conditionalFormatting sqref="M5:M14">
    <cfRule type="cellIs" dxfId="279" priority="9" operator="equal">
      <formula>"TRUE"</formula>
    </cfRule>
  </conditionalFormatting>
  <conditionalFormatting sqref="N5:N14">
    <cfRule type="cellIs" dxfId="278" priority="10" operator="equal">
      <formula>"TRUE"</formula>
    </cfRule>
  </conditionalFormatting>
  <conditionalFormatting sqref="O5:O14">
    <cfRule type="cellIs" dxfId="277" priority="11" operator="equal">
      <formula>"TRUE"</formula>
    </cfRule>
  </conditionalFormatting>
  <conditionalFormatting sqref="P5:P14">
    <cfRule type="cellIs" dxfId="276" priority="12" operator="equal">
      <formula>"TRUE"</formula>
    </cfRule>
  </conditionalFormatting>
  <conditionalFormatting sqref="Q5:Q14">
    <cfRule type="cellIs" dxfId="275" priority="13" operator="equal">
      <formula>"TRUE"</formula>
    </cfRule>
  </conditionalFormatting>
  <conditionalFormatting sqref="R5:R14">
    <cfRule type="cellIs" dxfId="274" priority="14" operator="equal">
      <formula>"TRUE"</formula>
    </cfRule>
  </conditionalFormatting>
  <conditionalFormatting sqref="S5:S14">
    <cfRule type="cellIs" dxfId="273" priority="15" operator="equal">
      <formula>"TRUE"</formula>
    </cfRule>
  </conditionalFormatting>
  <conditionalFormatting sqref="T5:T14">
    <cfRule type="cellIs" dxfId="272" priority="16" operator="equal">
      <formula>"TRUE"</formula>
    </cfRule>
  </conditionalFormatting>
  <conditionalFormatting sqref="U5:U14">
    <cfRule type="cellIs" dxfId="271" priority="17" operator="equal">
      <formula>"TRUE"</formula>
    </cfRule>
  </conditionalFormatting>
  <conditionalFormatting sqref="V5:V14">
    <cfRule type="cellIs" dxfId="270" priority="18" operator="equal">
      <formula>"TRUE"</formula>
    </cfRule>
  </conditionalFormatting>
  <pageMargins left="0.7" right="0.7" top="0.75" bottom="0.75" header="0" footer="0"/>
  <pageSetup paperSize="9" fitToWidth="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Y1000"/>
  <sheetViews>
    <sheetView zoomScale="55" zoomScaleNormal="55" workbookViewId="0">
      <selection activeCell="I26" sqref="I26"/>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209</v>
      </c>
      <c r="B2" s="83">
        <v>28</v>
      </c>
      <c r="C2" s="84" t="s">
        <v>104</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Opto-Electronics</v>
      </c>
      <c r="D15" s="85" t="str">
        <f>A2</f>
        <v>EE 415</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Opto-Electronics</v>
      </c>
      <c r="D16" s="85" t="str">
        <f>A2</f>
        <v>EE 415</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269" priority="1" operator="equal">
      <formula>"TRUE"</formula>
    </cfRule>
  </conditionalFormatting>
  <conditionalFormatting sqref="F5:F14">
    <cfRule type="cellIs" dxfId="268" priority="2" operator="equal">
      <formula>"TRUE"</formula>
    </cfRule>
  </conditionalFormatting>
  <conditionalFormatting sqref="G5:G14">
    <cfRule type="cellIs" dxfId="267" priority="3" operator="equal">
      <formula>"TRUE"</formula>
    </cfRule>
  </conditionalFormatting>
  <conditionalFormatting sqref="H5:I14">
    <cfRule type="cellIs" dxfId="266" priority="4" operator="equal">
      <formula>"TRUE"</formula>
    </cfRule>
  </conditionalFormatting>
  <conditionalFormatting sqref="I5:I14">
    <cfRule type="cellIs" dxfId="265" priority="5" operator="equal">
      <formula>"TRUE"</formula>
    </cfRule>
  </conditionalFormatting>
  <conditionalFormatting sqref="J5:J14">
    <cfRule type="cellIs" dxfId="264" priority="6" operator="equal">
      <formula>"TRUE"</formula>
    </cfRule>
  </conditionalFormatting>
  <conditionalFormatting sqref="K5:K14">
    <cfRule type="cellIs" dxfId="263" priority="7" operator="equal">
      <formula>"TRUE"</formula>
    </cfRule>
  </conditionalFormatting>
  <conditionalFormatting sqref="L5:L14">
    <cfRule type="cellIs" dxfId="262" priority="8" operator="equal">
      <formula>"TRUE"</formula>
    </cfRule>
  </conditionalFormatting>
  <conditionalFormatting sqref="M5:M14">
    <cfRule type="cellIs" dxfId="261" priority="9" operator="equal">
      <formula>"TRUE"</formula>
    </cfRule>
  </conditionalFormatting>
  <conditionalFormatting sqref="N5:N14">
    <cfRule type="cellIs" dxfId="260" priority="10" operator="equal">
      <formula>"TRUE"</formula>
    </cfRule>
  </conditionalFormatting>
  <conditionalFormatting sqref="O5:O14">
    <cfRule type="cellIs" dxfId="259" priority="11" operator="equal">
      <formula>"TRUE"</formula>
    </cfRule>
  </conditionalFormatting>
  <conditionalFormatting sqref="P5:P14">
    <cfRule type="cellIs" dxfId="258" priority="12" operator="equal">
      <formula>"TRUE"</formula>
    </cfRule>
  </conditionalFormatting>
  <conditionalFormatting sqref="Q5:Q14">
    <cfRule type="cellIs" dxfId="257" priority="13" operator="equal">
      <formula>"TRUE"</formula>
    </cfRule>
  </conditionalFormatting>
  <conditionalFormatting sqref="R5:R14">
    <cfRule type="cellIs" dxfId="256" priority="14" operator="equal">
      <formula>"TRUE"</formula>
    </cfRule>
  </conditionalFormatting>
  <conditionalFormatting sqref="S5:S14">
    <cfRule type="cellIs" dxfId="255" priority="15" operator="equal">
      <formula>"TRUE"</formula>
    </cfRule>
  </conditionalFormatting>
  <conditionalFormatting sqref="T5:T14">
    <cfRule type="cellIs" dxfId="254" priority="16" operator="equal">
      <formula>"TRUE"</formula>
    </cfRule>
  </conditionalFormatting>
  <conditionalFormatting sqref="U5:U14">
    <cfRule type="cellIs" dxfId="253" priority="17" operator="equal">
      <formula>"TRUE"</formula>
    </cfRule>
  </conditionalFormatting>
  <conditionalFormatting sqref="V5:V14">
    <cfRule type="cellIs" dxfId="252" priority="18" operator="equal">
      <formula>"TRUE"</formula>
    </cfRule>
  </conditionalFormatting>
  <pageMargins left="0.7" right="0.7" top="0.75" bottom="0.75" header="0" footer="0"/>
  <pageSetup paperSize="9" fitToWidth="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Y1000"/>
  <sheetViews>
    <sheetView zoomScale="55" zoomScaleNormal="55" workbookViewId="0">
      <selection activeCell="D24" sqref="D2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b">
        <v>0</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210</v>
      </c>
      <c r="B2" s="83">
        <v>29</v>
      </c>
      <c r="C2" s="103" t="s">
        <v>105</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09" t="s">
        <v>258</v>
      </c>
      <c r="D5" s="85" t="str">
        <f>_xlfn.TEXTJOIN(", ",TRUE,IF(OR(E5,F5),"1",""),IF(OR(G5,H5,I5,J5),"2",""),IF(OR(K5,L5),"3",""),IF(OR(M5,N5),"4",""),IF(OR(O5,P5),"5",""),IF(OR(Q5,R5,S5,T5),"6",""),IF(OR(U5,V5),"7",""))</f>
        <v>1, 3, 7</v>
      </c>
      <c r="E5" s="107" t="b">
        <v>1</v>
      </c>
      <c r="F5" s="107" t="b">
        <v>1</v>
      </c>
      <c r="G5" s="107" t="b">
        <v>0</v>
      </c>
      <c r="H5" s="107" t="b">
        <v>0</v>
      </c>
      <c r="I5" s="107" t="b">
        <v>0</v>
      </c>
      <c r="J5" s="107" t="b">
        <v>0</v>
      </c>
      <c r="K5" s="107" t="b">
        <v>1</v>
      </c>
      <c r="L5" s="107" t="b">
        <v>1</v>
      </c>
      <c r="M5" s="107" t="b">
        <v>0</v>
      </c>
      <c r="N5" s="107" t="b">
        <v>0</v>
      </c>
      <c r="O5" s="107" t="b">
        <v>0</v>
      </c>
      <c r="P5" s="107" t="b">
        <v>0</v>
      </c>
      <c r="Q5" s="107" t="b">
        <v>0</v>
      </c>
      <c r="R5" s="107" t="b">
        <v>0</v>
      </c>
      <c r="S5" s="107" t="b">
        <v>0</v>
      </c>
      <c r="T5" s="107" t="b">
        <v>0</v>
      </c>
      <c r="U5" s="107" t="b">
        <v>1</v>
      </c>
      <c r="V5" s="107" t="b">
        <v>1</v>
      </c>
      <c r="W5" s="83" t="str" cm="1">
        <f t="array" ref="W5">_xlfn.TEXTJOIN(", ",TRUE,IF(E5:V5,{"PI11","PI12","PI21","PI22","PI23","PI24","PI31","PI32","PI41","PI42","PI51","PI52","PI61","PI62","PI63","PI64","PI71","PI72"},""))</f>
        <v>PI11, PI12, PI31, PI32, PI71, PI72</v>
      </c>
      <c r="X5" s="6"/>
      <c r="Y5" s="6"/>
    </row>
    <row r="6" spans="1:25" ht="45" customHeight="1" x14ac:dyDescent="0.25">
      <c r="A6" s="143"/>
      <c r="B6" s="97">
        <v>1.2</v>
      </c>
      <c r="C6" s="109" t="s">
        <v>259</v>
      </c>
      <c r="D6" s="85" t="str">
        <f t="shared" ref="D6:D14" si="0">_xlfn.TEXTJOIN(", ",TRUE,IF(OR(E6,F6),"1",""),IF(OR(G6,H6,I6,J6),"2",""),IF(OR(K6,L6),"3",""),IF(OR(M6,N6),"4",""),IF(OR(O6,P6),"5",""),IF(OR(Q6,R6,S6,T6),"6",""),IF(OR(U6,V6),"7",""))</f>
        <v>1, 4, 7</v>
      </c>
      <c r="E6" s="107" t="b">
        <v>1</v>
      </c>
      <c r="F6" s="107" t="b">
        <v>1</v>
      </c>
      <c r="G6" s="107" t="b">
        <v>0</v>
      </c>
      <c r="H6" s="107" t="b">
        <v>0</v>
      </c>
      <c r="I6" s="107" t="b">
        <v>0</v>
      </c>
      <c r="J6" s="107" t="b">
        <v>0</v>
      </c>
      <c r="K6" s="107" t="b">
        <v>0</v>
      </c>
      <c r="L6" s="107" t="b">
        <v>0</v>
      </c>
      <c r="M6" s="107" t="b">
        <v>1</v>
      </c>
      <c r="N6" s="107" t="b">
        <v>1</v>
      </c>
      <c r="O6" s="107" t="b">
        <v>0</v>
      </c>
      <c r="P6" s="107" t="b">
        <v>0</v>
      </c>
      <c r="Q6" s="107" t="b">
        <v>0</v>
      </c>
      <c r="R6" s="107" t="b">
        <v>0</v>
      </c>
      <c r="S6" s="107" t="b">
        <v>0</v>
      </c>
      <c r="T6" s="107" t="b">
        <v>0</v>
      </c>
      <c r="U6" s="107" t="b">
        <v>1</v>
      </c>
      <c r="V6" s="107" t="b">
        <v>1</v>
      </c>
      <c r="W6" s="83" t="str" cm="1">
        <f t="array" ref="W6">_xlfn.TEXTJOIN(", ",TRUE,IF(E6:V6,{"PI11","PI12","PI21","PI22","PI23","PI24","PI31","PI32","PI41","PI42","PI51","PI52","PI61","PI62","PI63","PI64","PI71","PI72"},""))</f>
        <v>PI11, PI12, PI41, PI42, PI71, PI72</v>
      </c>
      <c r="X6" s="6"/>
      <c r="Y6" s="6"/>
    </row>
    <row r="7" spans="1:25" ht="45" customHeight="1" x14ac:dyDescent="0.25">
      <c r="A7" s="144"/>
      <c r="B7" s="97">
        <v>1.3</v>
      </c>
      <c r="C7" s="109" t="s">
        <v>260</v>
      </c>
      <c r="D7" s="85" t="str">
        <f t="shared" si="0"/>
        <v>1, 7</v>
      </c>
      <c r="E7" s="107" t="b">
        <v>1</v>
      </c>
      <c r="F7" s="107" t="b">
        <v>1</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1</v>
      </c>
      <c r="V7" s="107" t="b">
        <v>1</v>
      </c>
      <c r="W7" s="83" t="str" cm="1">
        <f t="array" ref="W7">_xlfn.TEXTJOIN(", ",TRUE,IF(E7:V7,{"PI11","PI12","PI21","PI22","PI23","PI24","PI31","PI32","PI41","PI42","PI51","PI52","PI61","PI62","PI63","PI64","PI71","PI72"},""))</f>
        <v>PI11, PI12, PI71, PI72</v>
      </c>
      <c r="X7" s="6"/>
      <c r="Y7" s="6"/>
    </row>
    <row r="8" spans="1:25" ht="45" customHeight="1" x14ac:dyDescent="0.25">
      <c r="A8" s="145" t="s">
        <v>128</v>
      </c>
      <c r="B8" s="99">
        <v>2.1</v>
      </c>
      <c r="C8" s="110" t="s">
        <v>261</v>
      </c>
      <c r="D8" s="85" t="str">
        <f t="shared" si="0"/>
        <v>2</v>
      </c>
      <c r="E8" s="107" t="b">
        <v>0</v>
      </c>
      <c r="F8" s="107" t="b">
        <v>0</v>
      </c>
      <c r="G8" s="107" t="b">
        <v>1</v>
      </c>
      <c r="H8" s="107" t="b">
        <v>1</v>
      </c>
      <c r="I8" s="107" t="b">
        <v>1</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PI23, PI24</v>
      </c>
      <c r="X8" s="6"/>
      <c r="Y8" s="6"/>
    </row>
    <row r="9" spans="1:25" ht="45" customHeight="1" x14ac:dyDescent="0.25">
      <c r="A9" s="143"/>
      <c r="B9" s="99">
        <v>2.2000000000000002</v>
      </c>
      <c r="C9" s="110" t="s">
        <v>262</v>
      </c>
      <c r="D9" s="85" t="str">
        <f t="shared" si="0"/>
        <v>2</v>
      </c>
      <c r="E9" s="107" t="b">
        <v>0</v>
      </c>
      <c r="F9" s="107" t="b">
        <v>0</v>
      </c>
      <c r="G9" s="107" t="b">
        <v>1</v>
      </c>
      <c r="H9" s="107" t="b">
        <v>1</v>
      </c>
      <c r="I9" s="107" t="b">
        <v>1</v>
      </c>
      <c r="J9" s="107" t="b">
        <v>1</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PI21, PI22, PI23, PI24</v>
      </c>
      <c r="X9" s="6"/>
      <c r="Y9" s="6"/>
    </row>
    <row r="10" spans="1:25" ht="45" customHeight="1" x14ac:dyDescent="0.25">
      <c r="A10" s="143"/>
      <c r="B10" s="99">
        <v>2.2999999999999998</v>
      </c>
      <c r="C10" s="110" t="s">
        <v>263</v>
      </c>
      <c r="D10" s="85" t="str">
        <f t="shared" si="0"/>
        <v>2, 4</v>
      </c>
      <c r="E10" s="107" t="b">
        <v>0</v>
      </c>
      <c r="F10" s="107" t="b">
        <v>0</v>
      </c>
      <c r="G10" s="107" t="b">
        <v>1</v>
      </c>
      <c r="H10" s="107" t="b">
        <v>1</v>
      </c>
      <c r="I10" s="107" t="b">
        <v>1</v>
      </c>
      <c r="J10" s="107" t="b">
        <v>1</v>
      </c>
      <c r="K10" s="107" t="b">
        <v>0</v>
      </c>
      <c r="L10" s="107" t="b">
        <v>0</v>
      </c>
      <c r="M10" s="107" t="b">
        <v>1</v>
      </c>
      <c r="N10" s="107" t="b">
        <v>1</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PI21, PI22, PI23, PI24, PI41, PI42</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264</v>
      </c>
      <c r="D13" s="85" t="str">
        <f t="shared" si="0"/>
        <v>4, 7</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PI41, PI42, PI71, PI72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VLSI Circuits Design</v>
      </c>
      <c r="D15" s="85" t="str">
        <f>A2</f>
        <v>EE 416</v>
      </c>
      <c r="E15" s="68" t="str">
        <f t="shared" ref="E15:V15" si="1">IF(COUNTIF(E$5:E$14,TRUE)&gt;0,$D$2,"")</f>
        <v>M</v>
      </c>
      <c r="F15" s="69" t="str">
        <f t="shared" si="1"/>
        <v>M</v>
      </c>
      <c r="G15" s="70" t="str">
        <f t="shared" si="1"/>
        <v>M</v>
      </c>
      <c r="H15" s="71" t="str">
        <f t="shared" si="1"/>
        <v>M</v>
      </c>
      <c r="I15" s="72" t="str">
        <f t="shared" si="1"/>
        <v>M</v>
      </c>
      <c r="J15" s="73" t="str">
        <f t="shared" si="1"/>
        <v>M</v>
      </c>
      <c r="K15" s="74" t="str">
        <f t="shared" si="1"/>
        <v>M</v>
      </c>
      <c r="L15" s="86" t="str">
        <f t="shared" si="1"/>
        <v>M</v>
      </c>
      <c r="M15" s="87" t="str">
        <f t="shared" si="1"/>
        <v>M</v>
      </c>
      <c r="N15" s="88" t="str">
        <f t="shared" si="1"/>
        <v>M</v>
      </c>
      <c r="O15" s="89" t="str">
        <f t="shared" si="1"/>
        <v/>
      </c>
      <c r="P15" s="90" t="str">
        <f t="shared" si="1"/>
        <v/>
      </c>
      <c r="Q15" s="91" t="str">
        <f t="shared" si="1"/>
        <v/>
      </c>
      <c r="R15" s="92" t="str">
        <f t="shared" si="1"/>
        <v/>
      </c>
      <c r="S15" s="93" t="str">
        <f t="shared" si="1"/>
        <v/>
      </c>
      <c r="T15" s="94" t="str">
        <f t="shared" si="1"/>
        <v/>
      </c>
      <c r="U15" s="95" t="str">
        <f t="shared" si="1"/>
        <v>M</v>
      </c>
      <c r="V15" s="96" t="str">
        <f t="shared" si="1"/>
        <v>M</v>
      </c>
      <c r="W15" s="6"/>
      <c r="X15" s="6"/>
      <c r="Y15" s="6"/>
    </row>
    <row r="16" spans="1:25" ht="30" customHeight="1" x14ac:dyDescent="0.25">
      <c r="A16" s="103" t="s">
        <v>136</v>
      </c>
      <c r="B16" s="103"/>
      <c r="C16" s="83" t="str">
        <f>C2</f>
        <v>VLSI Circuits Design</v>
      </c>
      <c r="D16" s="85" t="str">
        <f>A2</f>
        <v>EE 416</v>
      </c>
      <c r="E16" s="147" t="str">
        <f>IF(COUNTIF(E$5:F$14,TRUE)&gt;0,$D$2,"")</f>
        <v>M</v>
      </c>
      <c r="F16" s="125"/>
      <c r="G16" s="148" t="str">
        <f>IF(COUNTIF(G$5:J$14,TRUE)&gt;0,$D$2,"")</f>
        <v>M</v>
      </c>
      <c r="H16" s="129"/>
      <c r="I16" s="129"/>
      <c r="J16" s="125"/>
      <c r="K16" s="149" t="str">
        <f>IF(COUNTIF(K$5:L$14,TRUE)&gt;0,$D$2,"")</f>
        <v>M</v>
      </c>
      <c r="L16" s="125"/>
      <c r="M16" s="137" t="str">
        <f>IF(COUNTIF(M$5:N$14,TRUE)&gt;0,$D$2,"")</f>
        <v>M</v>
      </c>
      <c r="N16" s="125"/>
      <c r="O16" s="138" t="str">
        <f>IF(COUNTIF(O$5:P$14,TRUE)&gt;0,$D$2,"")</f>
        <v/>
      </c>
      <c r="P16" s="125"/>
      <c r="Q16" s="139" t="str">
        <f>IF(COUNTIF(Q$5:T$14,TRUE)&gt;0,$D$2,"")</f>
        <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251" priority="1" operator="equal">
      <formula>"TRUE"</formula>
    </cfRule>
  </conditionalFormatting>
  <conditionalFormatting sqref="F5:F14">
    <cfRule type="cellIs" dxfId="250" priority="2" operator="equal">
      <formula>"TRUE"</formula>
    </cfRule>
  </conditionalFormatting>
  <conditionalFormatting sqref="G5:G14">
    <cfRule type="cellIs" dxfId="249" priority="3" operator="equal">
      <formula>"TRUE"</formula>
    </cfRule>
  </conditionalFormatting>
  <conditionalFormatting sqref="H5:I14">
    <cfRule type="cellIs" dxfId="248" priority="4" operator="equal">
      <formula>"TRUE"</formula>
    </cfRule>
  </conditionalFormatting>
  <conditionalFormatting sqref="I5:I14">
    <cfRule type="cellIs" dxfId="247" priority="5" operator="equal">
      <formula>"TRUE"</formula>
    </cfRule>
  </conditionalFormatting>
  <conditionalFormatting sqref="J5:J14">
    <cfRule type="cellIs" dxfId="246" priority="6" operator="equal">
      <formula>"TRUE"</formula>
    </cfRule>
  </conditionalFormatting>
  <conditionalFormatting sqref="K5:K14">
    <cfRule type="cellIs" dxfId="245" priority="7" operator="equal">
      <formula>"TRUE"</formula>
    </cfRule>
  </conditionalFormatting>
  <conditionalFormatting sqref="L5:L14">
    <cfRule type="cellIs" dxfId="244" priority="8" operator="equal">
      <formula>"TRUE"</formula>
    </cfRule>
  </conditionalFormatting>
  <conditionalFormatting sqref="M5:M14">
    <cfRule type="cellIs" dxfId="243" priority="9" operator="equal">
      <formula>"TRUE"</formula>
    </cfRule>
  </conditionalFormatting>
  <conditionalFormatting sqref="N5:N14">
    <cfRule type="cellIs" dxfId="242" priority="10" operator="equal">
      <formula>"TRUE"</formula>
    </cfRule>
  </conditionalFormatting>
  <conditionalFormatting sqref="O5:O14">
    <cfRule type="cellIs" dxfId="241" priority="11" operator="equal">
      <formula>"TRUE"</formula>
    </cfRule>
  </conditionalFormatting>
  <conditionalFormatting sqref="P5:P14">
    <cfRule type="cellIs" dxfId="240" priority="12" operator="equal">
      <formula>"TRUE"</formula>
    </cfRule>
  </conditionalFormatting>
  <conditionalFormatting sqref="Q5:Q14">
    <cfRule type="cellIs" dxfId="239" priority="13" operator="equal">
      <formula>"TRUE"</formula>
    </cfRule>
  </conditionalFormatting>
  <conditionalFormatting sqref="R5:R14">
    <cfRule type="cellIs" dxfId="238" priority="14" operator="equal">
      <formula>"TRUE"</formula>
    </cfRule>
  </conditionalFormatting>
  <conditionalFormatting sqref="S5:S14">
    <cfRule type="cellIs" dxfId="237" priority="15" operator="equal">
      <formula>"TRUE"</formula>
    </cfRule>
  </conditionalFormatting>
  <conditionalFormatting sqref="T5:T14">
    <cfRule type="cellIs" dxfId="236" priority="16" operator="equal">
      <formula>"TRUE"</formula>
    </cfRule>
  </conditionalFormatting>
  <conditionalFormatting sqref="U5:U14">
    <cfRule type="cellIs" dxfId="235" priority="17" operator="equal">
      <formula>"TRUE"</formula>
    </cfRule>
  </conditionalFormatting>
  <conditionalFormatting sqref="V5:V14">
    <cfRule type="cellIs" dxfId="234" priority="18" operator="equal">
      <formula>"TRUE"</formula>
    </cfRule>
  </conditionalFormatting>
  <pageMargins left="0.7" right="0.7" top="0.75" bottom="0.75" header="0" footer="0"/>
  <pageSetup paperSize="9" fitToWidth="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52340-C4C9-4CE6-93F4-3A585E1A2C15}">
  <sheetPr>
    <pageSetUpPr fitToPage="1"/>
  </sheetPr>
  <dimension ref="A1:Y1000"/>
  <sheetViews>
    <sheetView zoomScale="55" zoomScaleNormal="55" workbookViewId="0">
      <selection activeCell="C3" sqref="C3:C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286</v>
      </c>
      <c r="B2" s="83">
        <v>30</v>
      </c>
      <c r="C2" s="103" t="s">
        <v>287</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Communication Electronics</v>
      </c>
      <c r="D15" s="85" t="str">
        <f>A2</f>
        <v>EE 417</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Communication Electronics</v>
      </c>
      <c r="D16" s="85" t="str">
        <f>A2</f>
        <v>EE 417</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E1:V2"/>
    <mergeCell ref="A3:A4"/>
    <mergeCell ref="B3:B4"/>
    <mergeCell ref="C3:C4"/>
    <mergeCell ref="D3:D4"/>
    <mergeCell ref="E3:F3"/>
    <mergeCell ref="G3:J3"/>
    <mergeCell ref="K3:L3"/>
    <mergeCell ref="M3:N3"/>
    <mergeCell ref="O3:P3"/>
    <mergeCell ref="Q16:T16"/>
    <mergeCell ref="U16:V16"/>
    <mergeCell ref="Q3:T3"/>
    <mergeCell ref="U3:V3"/>
    <mergeCell ref="A5:A7"/>
    <mergeCell ref="A8:A12"/>
    <mergeCell ref="A13:A14"/>
    <mergeCell ref="E16:F16"/>
    <mergeCell ref="G16:J16"/>
    <mergeCell ref="K16:L16"/>
    <mergeCell ref="M16:N16"/>
    <mergeCell ref="O16:P16"/>
  </mergeCells>
  <conditionalFormatting sqref="E5:E14">
    <cfRule type="cellIs" dxfId="233" priority="1" operator="equal">
      <formula>"TRUE"</formula>
    </cfRule>
  </conditionalFormatting>
  <conditionalFormatting sqref="F5:F14">
    <cfRule type="cellIs" dxfId="232" priority="2" operator="equal">
      <formula>"TRUE"</formula>
    </cfRule>
  </conditionalFormatting>
  <conditionalFormatting sqref="G5:G14">
    <cfRule type="cellIs" dxfId="231" priority="3" operator="equal">
      <formula>"TRUE"</formula>
    </cfRule>
  </conditionalFormatting>
  <conditionalFormatting sqref="H5:I14">
    <cfRule type="cellIs" dxfId="230" priority="4" operator="equal">
      <formula>"TRUE"</formula>
    </cfRule>
  </conditionalFormatting>
  <conditionalFormatting sqref="I5:I14">
    <cfRule type="cellIs" dxfId="229" priority="5" operator="equal">
      <formula>"TRUE"</formula>
    </cfRule>
  </conditionalFormatting>
  <conditionalFormatting sqref="J5:J14">
    <cfRule type="cellIs" dxfId="228" priority="6" operator="equal">
      <formula>"TRUE"</formula>
    </cfRule>
  </conditionalFormatting>
  <conditionalFormatting sqref="K5:K14">
    <cfRule type="cellIs" dxfId="227" priority="7" operator="equal">
      <formula>"TRUE"</formula>
    </cfRule>
  </conditionalFormatting>
  <conditionalFormatting sqref="L5:L14">
    <cfRule type="cellIs" dxfId="226" priority="8" operator="equal">
      <formula>"TRUE"</formula>
    </cfRule>
  </conditionalFormatting>
  <conditionalFormatting sqref="M5:M14">
    <cfRule type="cellIs" dxfId="225" priority="9" operator="equal">
      <formula>"TRUE"</formula>
    </cfRule>
  </conditionalFormatting>
  <conditionalFormatting sqref="N5:N14">
    <cfRule type="cellIs" dxfId="224" priority="10" operator="equal">
      <formula>"TRUE"</formula>
    </cfRule>
  </conditionalFormatting>
  <conditionalFormatting sqref="O5:O14">
    <cfRule type="cellIs" dxfId="223" priority="11" operator="equal">
      <formula>"TRUE"</formula>
    </cfRule>
  </conditionalFormatting>
  <conditionalFormatting sqref="P5:P14">
    <cfRule type="cellIs" dxfId="222" priority="12" operator="equal">
      <formula>"TRUE"</formula>
    </cfRule>
  </conditionalFormatting>
  <conditionalFormatting sqref="Q5:Q14">
    <cfRule type="cellIs" dxfId="221" priority="13" operator="equal">
      <formula>"TRUE"</formula>
    </cfRule>
  </conditionalFormatting>
  <conditionalFormatting sqref="R5:R14">
    <cfRule type="cellIs" dxfId="220" priority="14" operator="equal">
      <formula>"TRUE"</formula>
    </cfRule>
  </conditionalFormatting>
  <conditionalFormatting sqref="S5:S14">
    <cfRule type="cellIs" dxfId="219" priority="15" operator="equal">
      <formula>"TRUE"</formula>
    </cfRule>
  </conditionalFormatting>
  <conditionalFormatting sqref="T5:T14">
    <cfRule type="cellIs" dxfId="218" priority="16" operator="equal">
      <formula>"TRUE"</formula>
    </cfRule>
  </conditionalFormatting>
  <conditionalFormatting sqref="U5:U14">
    <cfRule type="cellIs" dxfId="217" priority="17" operator="equal">
      <formula>"TRUE"</formula>
    </cfRule>
  </conditionalFormatting>
  <conditionalFormatting sqref="V5:V14">
    <cfRule type="cellIs" dxfId="216" priority="18" operator="equal">
      <formula>"TRUE"</formula>
    </cfRule>
  </conditionalFormatting>
  <pageMargins left="0.7" right="0.7" top="0.75" bottom="0.75" header="0" footer="0"/>
  <pageSetup paperSize="9" fitToWidth="0"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Y1000"/>
  <sheetViews>
    <sheetView zoomScale="55" zoomScaleNormal="55" workbookViewId="0">
      <selection activeCell="B2" sqref="B2"/>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211</v>
      </c>
      <c r="B2" s="83">
        <v>31</v>
      </c>
      <c r="C2" s="103" t="s">
        <v>106</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Data Communication Networks</v>
      </c>
      <c r="D15" s="85" t="str">
        <f>A2</f>
        <v>EE 423</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Data Communication Networks</v>
      </c>
      <c r="D16" s="85" t="str">
        <f>A2</f>
        <v>EE 423</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215" priority="1" operator="equal">
      <formula>"TRUE"</formula>
    </cfRule>
  </conditionalFormatting>
  <conditionalFormatting sqref="F5:F14">
    <cfRule type="cellIs" dxfId="214" priority="2" operator="equal">
      <formula>"TRUE"</formula>
    </cfRule>
  </conditionalFormatting>
  <conditionalFormatting sqref="G5:G14">
    <cfRule type="cellIs" dxfId="213" priority="3" operator="equal">
      <formula>"TRUE"</formula>
    </cfRule>
  </conditionalFormatting>
  <conditionalFormatting sqref="H5:I14">
    <cfRule type="cellIs" dxfId="212" priority="4" operator="equal">
      <formula>"TRUE"</formula>
    </cfRule>
  </conditionalFormatting>
  <conditionalFormatting sqref="I5:I14">
    <cfRule type="cellIs" dxfId="211" priority="5" operator="equal">
      <formula>"TRUE"</formula>
    </cfRule>
  </conditionalFormatting>
  <conditionalFormatting sqref="J5:J14">
    <cfRule type="cellIs" dxfId="210" priority="6" operator="equal">
      <formula>"TRUE"</formula>
    </cfRule>
  </conditionalFormatting>
  <conditionalFormatting sqref="K5:K14">
    <cfRule type="cellIs" dxfId="209" priority="7" operator="equal">
      <formula>"TRUE"</formula>
    </cfRule>
  </conditionalFormatting>
  <conditionalFormatting sqref="L5:L14">
    <cfRule type="cellIs" dxfId="208" priority="8" operator="equal">
      <formula>"TRUE"</formula>
    </cfRule>
  </conditionalFormatting>
  <conditionalFormatting sqref="M5:M14">
    <cfRule type="cellIs" dxfId="207" priority="9" operator="equal">
      <formula>"TRUE"</formula>
    </cfRule>
  </conditionalFormatting>
  <conditionalFormatting sqref="N5:N14">
    <cfRule type="cellIs" dxfId="206" priority="10" operator="equal">
      <formula>"TRUE"</formula>
    </cfRule>
  </conditionalFormatting>
  <conditionalFormatting sqref="O5:O14">
    <cfRule type="cellIs" dxfId="205" priority="11" operator="equal">
      <formula>"TRUE"</formula>
    </cfRule>
  </conditionalFormatting>
  <conditionalFormatting sqref="P5:P14">
    <cfRule type="cellIs" dxfId="204" priority="12" operator="equal">
      <formula>"TRUE"</formula>
    </cfRule>
  </conditionalFormatting>
  <conditionalFormatting sqref="Q5:Q14">
    <cfRule type="cellIs" dxfId="203" priority="13" operator="equal">
      <formula>"TRUE"</formula>
    </cfRule>
  </conditionalFormatting>
  <conditionalFormatting sqref="R5:R14">
    <cfRule type="cellIs" dxfId="202" priority="14" operator="equal">
      <formula>"TRUE"</formula>
    </cfRule>
  </conditionalFormatting>
  <conditionalFormatting sqref="S5:S14">
    <cfRule type="cellIs" dxfId="201" priority="15" operator="equal">
      <formula>"TRUE"</formula>
    </cfRule>
  </conditionalFormatting>
  <conditionalFormatting sqref="T5:T14">
    <cfRule type="cellIs" dxfId="200" priority="16" operator="equal">
      <formula>"TRUE"</formula>
    </cfRule>
  </conditionalFormatting>
  <conditionalFormatting sqref="U5:U14">
    <cfRule type="cellIs" dxfId="199" priority="17" operator="equal">
      <formula>"TRUE"</formula>
    </cfRule>
  </conditionalFormatting>
  <conditionalFormatting sqref="V5:V14">
    <cfRule type="cellIs" dxfId="198" priority="18" operator="equal">
      <formula>"TRUE"</formula>
    </cfRule>
  </conditionalFormatting>
  <pageMargins left="0.7" right="0.7" top="0.75" bottom="0.75" header="0" footer="0"/>
  <pageSetup paperSize="9" fitToWidth="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212</v>
      </c>
      <c r="B2" s="83">
        <v>32</v>
      </c>
      <c r="C2" s="103" t="s">
        <v>107</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Digital Communications</v>
      </c>
      <c r="D15" s="85" t="str">
        <f>A2</f>
        <v>EE 424</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Digital Communications</v>
      </c>
      <c r="D16" s="85" t="str">
        <f>A2</f>
        <v>EE 424</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97" priority="1" operator="equal">
      <formula>"TRUE"</formula>
    </cfRule>
  </conditionalFormatting>
  <conditionalFormatting sqref="F5:F14">
    <cfRule type="cellIs" dxfId="196" priority="2" operator="equal">
      <formula>"TRUE"</formula>
    </cfRule>
  </conditionalFormatting>
  <conditionalFormatting sqref="G5:G14">
    <cfRule type="cellIs" dxfId="195" priority="3" operator="equal">
      <formula>"TRUE"</formula>
    </cfRule>
  </conditionalFormatting>
  <conditionalFormatting sqref="H5:I14">
    <cfRule type="cellIs" dxfId="194" priority="4" operator="equal">
      <formula>"TRUE"</formula>
    </cfRule>
  </conditionalFormatting>
  <conditionalFormatting sqref="I5:I14">
    <cfRule type="cellIs" dxfId="193" priority="5" operator="equal">
      <formula>"TRUE"</formula>
    </cfRule>
  </conditionalFormatting>
  <conditionalFormatting sqref="J5:J14">
    <cfRule type="cellIs" dxfId="192" priority="6" operator="equal">
      <formula>"TRUE"</formula>
    </cfRule>
  </conditionalFormatting>
  <conditionalFormatting sqref="K5:K14">
    <cfRule type="cellIs" dxfId="191" priority="7" operator="equal">
      <formula>"TRUE"</formula>
    </cfRule>
  </conditionalFormatting>
  <conditionalFormatting sqref="L5:L14">
    <cfRule type="cellIs" dxfId="190" priority="8" operator="equal">
      <formula>"TRUE"</formula>
    </cfRule>
  </conditionalFormatting>
  <conditionalFormatting sqref="M5:M14">
    <cfRule type="cellIs" dxfId="189" priority="9" operator="equal">
      <formula>"TRUE"</formula>
    </cfRule>
  </conditionalFormatting>
  <conditionalFormatting sqref="N5:N14">
    <cfRule type="cellIs" dxfId="188" priority="10" operator="equal">
      <formula>"TRUE"</formula>
    </cfRule>
  </conditionalFormatting>
  <conditionalFormatting sqref="O5:O14">
    <cfRule type="cellIs" dxfId="187" priority="11" operator="equal">
      <formula>"TRUE"</formula>
    </cfRule>
  </conditionalFormatting>
  <conditionalFormatting sqref="P5:P14">
    <cfRule type="cellIs" dxfId="186" priority="12" operator="equal">
      <formula>"TRUE"</formula>
    </cfRule>
  </conditionalFormatting>
  <conditionalFormatting sqref="Q5:Q14">
    <cfRule type="cellIs" dxfId="185" priority="13" operator="equal">
      <formula>"TRUE"</formula>
    </cfRule>
  </conditionalFormatting>
  <conditionalFormatting sqref="R5:R14">
    <cfRule type="cellIs" dxfId="184" priority="14" operator="equal">
      <formula>"TRUE"</formula>
    </cfRule>
  </conditionalFormatting>
  <conditionalFormatting sqref="S5:S14">
    <cfRule type="cellIs" dxfId="183" priority="15" operator="equal">
      <formula>"TRUE"</formula>
    </cfRule>
  </conditionalFormatting>
  <conditionalFormatting sqref="T5:T14">
    <cfRule type="cellIs" dxfId="182" priority="16" operator="equal">
      <formula>"TRUE"</formula>
    </cfRule>
  </conditionalFormatting>
  <conditionalFormatting sqref="U5:U14">
    <cfRule type="cellIs" dxfId="181" priority="17" operator="equal">
      <formula>"TRUE"</formula>
    </cfRule>
  </conditionalFormatting>
  <conditionalFormatting sqref="V5:V14">
    <cfRule type="cellIs" dxfId="180" priority="18" operator="equal">
      <formula>"TRUE"</formula>
    </cfRule>
  </conditionalFormatting>
  <pageMargins left="0.7" right="0.7" top="0.75" bottom="0.75" header="0" footer="0"/>
  <pageSetup paperSize="9" fitToWidth="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213</v>
      </c>
      <c r="B2" s="83">
        <v>33</v>
      </c>
      <c r="C2" s="103" t="s">
        <v>108</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Wireless Communications Systems</v>
      </c>
      <c r="D15" s="85" t="str">
        <f>A2</f>
        <v>EE 425</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Wireless Communications Systems</v>
      </c>
      <c r="D16" s="85" t="str">
        <f>A2</f>
        <v>EE 425</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79" priority="1" operator="equal">
      <formula>"TRUE"</formula>
    </cfRule>
  </conditionalFormatting>
  <conditionalFormatting sqref="F5:F14">
    <cfRule type="cellIs" dxfId="178" priority="2" operator="equal">
      <formula>"TRUE"</formula>
    </cfRule>
  </conditionalFormatting>
  <conditionalFormatting sqref="G5:G14">
    <cfRule type="cellIs" dxfId="177" priority="3" operator="equal">
      <formula>"TRUE"</formula>
    </cfRule>
  </conditionalFormatting>
  <conditionalFormatting sqref="H5:I14">
    <cfRule type="cellIs" dxfId="176" priority="4" operator="equal">
      <formula>"TRUE"</formula>
    </cfRule>
  </conditionalFormatting>
  <conditionalFormatting sqref="I5:I14">
    <cfRule type="cellIs" dxfId="175" priority="5" operator="equal">
      <formula>"TRUE"</formula>
    </cfRule>
  </conditionalFormatting>
  <conditionalFormatting sqref="J5:J14">
    <cfRule type="cellIs" dxfId="174" priority="6" operator="equal">
      <formula>"TRUE"</formula>
    </cfRule>
  </conditionalFormatting>
  <conditionalFormatting sqref="K5:K14">
    <cfRule type="cellIs" dxfId="173" priority="7" operator="equal">
      <formula>"TRUE"</formula>
    </cfRule>
  </conditionalFormatting>
  <conditionalFormatting sqref="L5:L14">
    <cfRule type="cellIs" dxfId="172" priority="8" operator="equal">
      <formula>"TRUE"</formula>
    </cfRule>
  </conditionalFormatting>
  <conditionalFormatting sqref="M5:M14">
    <cfRule type="cellIs" dxfId="171" priority="9" operator="equal">
      <formula>"TRUE"</formula>
    </cfRule>
  </conditionalFormatting>
  <conditionalFormatting sqref="N5:N14">
    <cfRule type="cellIs" dxfId="170" priority="10" operator="equal">
      <formula>"TRUE"</formula>
    </cfRule>
  </conditionalFormatting>
  <conditionalFormatting sqref="O5:O14">
    <cfRule type="cellIs" dxfId="169" priority="11" operator="equal">
      <formula>"TRUE"</formula>
    </cfRule>
  </conditionalFormatting>
  <conditionalFormatting sqref="P5:P14">
    <cfRule type="cellIs" dxfId="168" priority="12" operator="equal">
      <formula>"TRUE"</formula>
    </cfRule>
  </conditionalFormatting>
  <conditionalFormatting sqref="Q5:Q14">
    <cfRule type="cellIs" dxfId="167" priority="13" operator="equal">
      <formula>"TRUE"</formula>
    </cfRule>
  </conditionalFormatting>
  <conditionalFormatting sqref="R5:R14">
    <cfRule type="cellIs" dxfId="166" priority="14" operator="equal">
      <formula>"TRUE"</formula>
    </cfRule>
  </conditionalFormatting>
  <conditionalFormatting sqref="S5:S14">
    <cfRule type="cellIs" dxfId="165" priority="15" operator="equal">
      <formula>"TRUE"</formula>
    </cfRule>
  </conditionalFormatting>
  <conditionalFormatting sqref="T5:T14">
    <cfRule type="cellIs" dxfId="164" priority="16" operator="equal">
      <formula>"TRUE"</formula>
    </cfRule>
  </conditionalFormatting>
  <conditionalFormatting sqref="U5:U14">
    <cfRule type="cellIs" dxfId="163" priority="17" operator="equal">
      <formula>"TRUE"</formula>
    </cfRule>
  </conditionalFormatting>
  <conditionalFormatting sqref="V5:V14">
    <cfRule type="cellIs" dxfId="162" priority="18" operator="equal">
      <formula>"TRUE"</formula>
    </cfRule>
  </conditionalFormatting>
  <pageMargins left="0.7" right="0.7" top="0.75" bottom="0.75" header="0" footer="0"/>
  <pageSetup paperSize="9" fitToWidth="0"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Y1000"/>
  <sheetViews>
    <sheetView zoomScale="55" zoomScaleNormal="55" workbookViewId="0">
      <selection activeCell="B2" sqref="B2"/>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214</v>
      </c>
      <c r="B2" s="83">
        <v>34</v>
      </c>
      <c r="C2" s="103" t="s">
        <v>109</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215</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v>1.2</v>
      </c>
      <c r="C6" s="98" t="s">
        <v>216</v>
      </c>
      <c r="D6" s="85" t="str">
        <f t="shared" ref="D6:D14" si="0">_xlfn.TEXTJOIN(", ",TRUE,IF(OR(E6,F6),"1",""),IF(OR(G6,H6,I6,J6),"2",""),IF(OR(K6,L6),"3",""),IF(OR(M6,N6),"4",""),IF(OR(O6,P6),"5",""),IF(OR(Q6,R6,S6,T6),"6",""),IF(OR(U6,V6),"7",""))</f>
        <v>1</v>
      </c>
      <c r="E6" s="107" t="b">
        <v>1</v>
      </c>
      <c r="F6" s="107" t="b">
        <v>1</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PI11, PI12</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217</v>
      </c>
      <c r="D8" s="85" t="str">
        <f t="shared" si="0"/>
        <v>2</v>
      </c>
      <c r="E8" s="107" t="b">
        <v>0</v>
      </c>
      <c r="F8" s="107" t="b">
        <v>0</v>
      </c>
      <c r="G8" s="107" t="b">
        <v>1</v>
      </c>
      <c r="H8" s="107" t="b">
        <v>1</v>
      </c>
      <c r="I8" s="107" t="b">
        <v>1</v>
      </c>
      <c r="J8" s="107" t="b">
        <v>1</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PI21, PI22, PI23, PI24</v>
      </c>
      <c r="X8" s="6"/>
      <c r="Y8" s="6"/>
    </row>
    <row r="9" spans="1:25" ht="45" customHeight="1" x14ac:dyDescent="0.25">
      <c r="A9" s="143"/>
      <c r="B9" s="99">
        <v>2.2000000000000002</v>
      </c>
      <c r="C9" s="100" t="s">
        <v>218</v>
      </c>
      <c r="D9" s="85" t="str">
        <f t="shared" si="0"/>
        <v>1, 2</v>
      </c>
      <c r="E9" s="107" t="b">
        <v>1</v>
      </c>
      <c r="F9" s="107" t="b">
        <v>1</v>
      </c>
      <c r="G9" s="107" t="b">
        <v>1</v>
      </c>
      <c r="H9" s="107" t="b">
        <v>0</v>
      </c>
      <c r="I9" s="107" t="b">
        <v>1</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PI11, PI12, PI21, PI23</v>
      </c>
      <c r="X9" s="6"/>
      <c r="Y9" s="6"/>
    </row>
    <row r="10" spans="1:25" ht="45" customHeight="1" x14ac:dyDescent="0.25">
      <c r="A10" s="143"/>
      <c r="B10" s="99">
        <v>2.2999999999999998</v>
      </c>
      <c r="C10" s="100" t="s">
        <v>219</v>
      </c>
      <c r="D10" s="85" t="str">
        <f t="shared" si="0"/>
        <v>1, 6</v>
      </c>
      <c r="E10" s="107" t="b">
        <v>0</v>
      </c>
      <c r="F10" s="107" t="b">
        <v>1</v>
      </c>
      <c r="G10" s="107" t="b">
        <v>0</v>
      </c>
      <c r="H10" s="107" t="b">
        <v>0</v>
      </c>
      <c r="I10" s="107" t="b">
        <v>0</v>
      </c>
      <c r="J10" s="107" t="b">
        <v>0</v>
      </c>
      <c r="K10" s="107" t="b">
        <v>0</v>
      </c>
      <c r="L10" s="107" t="b">
        <v>0</v>
      </c>
      <c r="M10" s="107" t="b">
        <v>0</v>
      </c>
      <c r="N10" s="107" t="b">
        <v>0</v>
      </c>
      <c r="O10" s="107" t="b">
        <v>0</v>
      </c>
      <c r="P10" s="107" t="b">
        <v>0</v>
      </c>
      <c r="Q10" s="107" t="b">
        <v>0</v>
      </c>
      <c r="R10" s="107" t="b">
        <v>0</v>
      </c>
      <c r="S10" s="107" t="b">
        <v>1</v>
      </c>
      <c r="T10" s="107" t="b">
        <v>1</v>
      </c>
      <c r="U10" s="107" t="b">
        <v>0</v>
      </c>
      <c r="V10" s="107" t="b">
        <v>0</v>
      </c>
      <c r="W10" s="83" t="str" cm="1">
        <f t="array" ref="W10">_xlfn.TEXTJOIN(", ",TRUE,IF(E10:V10,{"PI11","PI12","PI21","PI22","PI23","PI24","PI31","PI32","PI41","PI42","PI51","PI52","PI61","PI62","PI63","PI64","PI71","PI72"},""))</f>
        <v>PI12, PI63, PI64</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220</v>
      </c>
      <c r="D13" s="85" t="str">
        <f t="shared" si="0"/>
        <v>4, 7</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1</v>
      </c>
      <c r="V13" s="107" t="b">
        <v>0</v>
      </c>
      <c r="W13" s="83" t="str" cm="1">
        <f t="array" ref="W13">_xlfn.TEXTJOIN(", ",TRUE,IF(E13:V13,{"PI11","PI12","PI21","PI22","PI23","PI24","PI31","PI32","PI41","PI42","PI51","PI52","PI61","PI62","PI63","PI64","PI71","PI72"},""))</f>
        <v>PI41, PI42, PI71</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Antenna and wave propagation</v>
      </c>
      <c r="D15" s="85" t="str">
        <f>A2</f>
        <v>EE 426</v>
      </c>
      <c r="E15" s="68" t="str">
        <f t="shared" ref="E15:V15" si="1">IF(COUNTIF(E$5:E$14,TRUE)&gt;0,$D$2,"")</f>
        <v>M</v>
      </c>
      <c r="F15" s="69" t="str">
        <f t="shared" si="1"/>
        <v>M</v>
      </c>
      <c r="G15" s="70" t="str">
        <f t="shared" si="1"/>
        <v>M</v>
      </c>
      <c r="H15" s="71" t="str">
        <f t="shared" si="1"/>
        <v>M</v>
      </c>
      <c r="I15" s="72" t="str">
        <f t="shared" si="1"/>
        <v>M</v>
      </c>
      <c r="J15" s="73" t="str">
        <f t="shared" si="1"/>
        <v>M</v>
      </c>
      <c r="K15" s="74" t="str">
        <f t="shared" si="1"/>
        <v/>
      </c>
      <c r="L15" s="86" t="str">
        <f t="shared" si="1"/>
        <v/>
      </c>
      <c r="M15" s="87" t="str">
        <f t="shared" si="1"/>
        <v>M</v>
      </c>
      <c r="N15" s="88" t="str">
        <f t="shared" si="1"/>
        <v>M</v>
      </c>
      <c r="O15" s="89" t="str">
        <f t="shared" si="1"/>
        <v/>
      </c>
      <c r="P15" s="90" t="str">
        <f t="shared" si="1"/>
        <v/>
      </c>
      <c r="Q15" s="91" t="str">
        <f t="shared" si="1"/>
        <v/>
      </c>
      <c r="R15" s="92" t="str">
        <f t="shared" si="1"/>
        <v/>
      </c>
      <c r="S15" s="93" t="str">
        <f t="shared" si="1"/>
        <v>M</v>
      </c>
      <c r="T15" s="94" t="str">
        <f t="shared" si="1"/>
        <v>M</v>
      </c>
      <c r="U15" s="95" t="str">
        <f t="shared" si="1"/>
        <v>M</v>
      </c>
      <c r="V15" s="96" t="str">
        <f t="shared" si="1"/>
        <v/>
      </c>
      <c r="W15" s="6"/>
      <c r="X15" s="6"/>
      <c r="Y15" s="6"/>
    </row>
    <row r="16" spans="1:25" ht="30" customHeight="1" x14ac:dyDescent="0.25">
      <c r="A16" s="103" t="s">
        <v>136</v>
      </c>
      <c r="B16" s="103"/>
      <c r="C16" s="83" t="str">
        <f>C2</f>
        <v>Antenna and wave propagation</v>
      </c>
      <c r="D16" s="85" t="str">
        <f>A2</f>
        <v>EE 426</v>
      </c>
      <c r="E16" s="147" t="str">
        <f>IF(COUNTIF(E$5:F$14,TRUE)&gt;0,$D$2,"")</f>
        <v>M</v>
      </c>
      <c r="F16" s="125"/>
      <c r="G16" s="148" t="str">
        <f>IF(COUNTIF(G$5:J$14,TRUE)&gt;0,$D$2,"")</f>
        <v>M</v>
      </c>
      <c r="H16" s="129"/>
      <c r="I16" s="129"/>
      <c r="J16" s="125"/>
      <c r="K16" s="149" t="str">
        <f>IF(COUNTIF(K$5:L$14,TRUE)&gt;0,$D$2,"")</f>
        <v/>
      </c>
      <c r="L16" s="125"/>
      <c r="M16" s="137" t="str">
        <f>IF(COUNTIF(M$5:N$14,TRUE)&gt;0,$D$2,"")</f>
        <v>M</v>
      </c>
      <c r="N16" s="125"/>
      <c r="O16" s="138" t="str">
        <f>IF(COUNTIF(O$5:P$14,TRUE)&gt;0,$D$2,"")</f>
        <v/>
      </c>
      <c r="P16" s="125"/>
      <c r="Q16" s="139" t="str">
        <f>IF(COUNTIF(Q$5:T$14,TRUE)&gt;0,$D$2,"")</f>
        <v>M</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61" priority="1" operator="equal">
      <formula>"TRUE"</formula>
    </cfRule>
  </conditionalFormatting>
  <conditionalFormatting sqref="F5:F14">
    <cfRule type="cellIs" dxfId="160" priority="2" operator="equal">
      <formula>"TRUE"</formula>
    </cfRule>
  </conditionalFormatting>
  <conditionalFormatting sqref="G5:G14">
    <cfRule type="cellIs" dxfId="159" priority="3" operator="equal">
      <formula>"TRUE"</formula>
    </cfRule>
  </conditionalFormatting>
  <conditionalFormatting sqref="H5:I14">
    <cfRule type="cellIs" dxfId="158" priority="4" operator="equal">
      <formula>"TRUE"</formula>
    </cfRule>
  </conditionalFormatting>
  <conditionalFormatting sqref="I5:I14">
    <cfRule type="cellIs" dxfId="157" priority="5" operator="equal">
      <formula>"TRUE"</formula>
    </cfRule>
  </conditionalFormatting>
  <conditionalFormatting sqref="J5:J14">
    <cfRule type="cellIs" dxfId="156" priority="6" operator="equal">
      <formula>"TRUE"</formula>
    </cfRule>
  </conditionalFormatting>
  <conditionalFormatting sqref="K5:K14">
    <cfRule type="cellIs" dxfId="155" priority="7" operator="equal">
      <formula>"TRUE"</formula>
    </cfRule>
  </conditionalFormatting>
  <conditionalFormatting sqref="L5:L14">
    <cfRule type="cellIs" dxfId="154" priority="8" operator="equal">
      <formula>"TRUE"</formula>
    </cfRule>
  </conditionalFormatting>
  <conditionalFormatting sqref="M5:M14">
    <cfRule type="cellIs" dxfId="153" priority="9" operator="equal">
      <formula>"TRUE"</formula>
    </cfRule>
  </conditionalFormatting>
  <conditionalFormatting sqref="N5:N14">
    <cfRule type="cellIs" dxfId="152" priority="10" operator="equal">
      <formula>"TRUE"</formula>
    </cfRule>
  </conditionalFormatting>
  <conditionalFormatting sqref="O5:O14">
    <cfRule type="cellIs" dxfId="151" priority="11" operator="equal">
      <formula>"TRUE"</formula>
    </cfRule>
  </conditionalFormatting>
  <conditionalFormatting sqref="P5:P14">
    <cfRule type="cellIs" dxfId="150" priority="12" operator="equal">
      <formula>"TRUE"</formula>
    </cfRule>
  </conditionalFormatting>
  <conditionalFormatting sqref="Q5:Q14">
    <cfRule type="cellIs" dxfId="149" priority="13" operator="equal">
      <formula>"TRUE"</formula>
    </cfRule>
  </conditionalFormatting>
  <conditionalFormatting sqref="R5:R14">
    <cfRule type="cellIs" dxfId="148" priority="14" operator="equal">
      <formula>"TRUE"</formula>
    </cfRule>
  </conditionalFormatting>
  <conditionalFormatting sqref="S5:S14">
    <cfRule type="cellIs" dxfId="147" priority="15" operator="equal">
      <formula>"TRUE"</formula>
    </cfRule>
  </conditionalFormatting>
  <conditionalFormatting sqref="T5:T14">
    <cfRule type="cellIs" dxfId="146" priority="16" operator="equal">
      <formula>"TRUE"</formula>
    </cfRule>
  </conditionalFormatting>
  <conditionalFormatting sqref="U5:U14">
    <cfRule type="cellIs" dxfId="145" priority="17" operator="equal">
      <formula>"TRUE"</formula>
    </cfRule>
  </conditionalFormatting>
  <conditionalFormatting sqref="V5:V14">
    <cfRule type="cellIs" dxfId="144" priority="18" operator="equal">
      <formula>"TRUE"</formula>
    </cfRule>
  </conditionalFormatting>
  <pageMargins left="0.7" right="0.7" top="0.75" bottom="0.75" header="0" footer="0"/>
  <pageSetup paperSize="9" fitToWidth="0"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221</v>
      </c>
      <c r="B2" s="83">
        <v>35</v>
      </c>
      <c r="C2" s="103" t="s">
        <v>110</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Mechatronics</v>
      </c>
      <c r="D15" s="85" t="str">
        <f>A2</f>
        <v>EE 433</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Mechatronics</v>
      </c>
      <c r="D16" s="85" t="str">
        <f>A2</f>
        <v>EE 433</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43" priority="1" operator="equal">
      <formula>"TRUE"</formula>
    </cfRule>
  </conditionalFormatting>
  <conditionalFormatting sqref="F5:F14">
    <cfRule type="cellIs" dxfId="142" priority="2" operator="equal">
      <formula>"TRUE"</formula>
    </cfRule>
  </conditionalFormatting>
  <conditionalFormatting sqref="G5:G14">
    <cfRule type="cellIs" dxfId="141" priority="3" operator="equal">
      <formula>"TRUE"</formula>
    </cfRule>
  </conditionalFormatting>
  <conditionalFormatting sqref="H5:I14">
    <cfRule type="cellIs" dxfId="140" priority="4" operator="equal">
      <formula>"TRUE"</formula>
    </cfRule>
  </conditionalFormatting>
  <conditionalFormatting sqref="I5:I14">
    <cfRule type="cellIs" dxfId="139" priority="5" operator="equal">
      <formula>"TRUE"</formula>
    </cfRule>
  </conditionalFormatting>
  <conditionalFormatting sqref="J5:J14">
    <cfRule type="cellIs" dxfId="138" priority="6" operator="equal">
      <formula>"TRUE"</formula>
    </cfRule>
  </conditionalFormatting>
  <conditionalFormatting sqref="K5:K14">
    <cfRule type="cellIs" dxfId="137" priority="7" operator="equal">
      <formula>"TRUE"</formula>
    </cfRule>
  </conditionalFormatting>
  <conditionalFormatting sqref="L5:L14">
    <cfRule type="cellIs" dxfId="136" priority="8" operator="equal">
      <formula>"TRUE"</formula>
    </cfRule>
  </conditionalFormatting>
  <conditionalFormatting sqref="M5:M14">
    <cfRule type="cellIs" dxfId="135" priority="9" operator="equal">
      <formula>"TRUE"</formula>
    </cfRule>
  </conditionalFormatting>
  <conditionalFormatting sqref="N5:N14">
    <cfRule type="cellIs" dxfId="134" priority="10" operator="equal">
      <formula>"TRUE"</formula>
    </cfRule>
  </conditionalFormatting>
  <conditionalFormatting sqref="O5:O14">
    <cfRule type="cellIs" dxfId="133" priority="11" operator="equal">
      <formula>"TRUE"</formula>
    </cfRule>
  </conditionalFormatting>
  <conditionalFormatting sqref="P5:P14">
    <cfRule type="cellIs" dxfId="132" priority="12" operator="equal">
      <formula>"TRUE"</formula>
    </cfRule>
  </conditionalFormatting>
  <conditionalFormatting sqref="Q5:Q14">
    <cfRule type="cellIs" dxfId="131" priority="13" operator="equal">
      <formula>"TRUE"</formula>
    </cfRule>
  </conditionalFormatting>
  <conditionalFormatting sqref="R5:R14">
    <cfRule type="cellIs" dxfId="130" priority="14" operator="equal">
      <formula>"TRUE"</formula>
    </cfRule>
  </conditionalFormatting>
  <conditionalFormatting sqref="S5:S14">
    <cfRule type="cellIs" dxfId="129" priority="15" operator="equal">
      <formula>"TRUE"</formula>
    </cfRule>
  </conditionalFormatting>
  <conditionalFormatting sqref="T5:T14">
    <cfRule type="cellIs" dxfId="128" priority="16" operator="equal">
      <formula>"TRUE"</formula>
    </cfRule>
  </conditionalFormatting>
  <conditionalFormatting sqref="U5:U14">
    <cfRule type="cellIs" dxfId="127" priority="17" operator="equal">
      <formula>"TRUE"</formula>
    </cfRule>
  </conditionalFormatting>
  <conditionalFormatting sqref="V5:V14">
    <cfRule type="cellIs" dxfId="126" priority="18" operator="equal">
      <formula>"TRUE"</formula>
    </cfRule>
  </conditionalFormatting>
  <pageMargins left="0.7" right="0.7" top="0.75" bottom="0.75" header="0" footer="0"/>
  <pageSetup paperSize="9" fitToWidth="0"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222</v>
      </c>
      <c r="B2" s="83">
        <v>36</v>
      </c>
      <c r="C2" s="103" t="s">
        <v>111</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115" t="s">
        <v>223</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v>1.2</v>
      </c>
      <c r="C6" s="115" t="s">
        <v>224</v>
      </c>
      <c r="D6" s="85" t="str">
        <f t="shared" ref="D6:D14" si="0">_xlfn.TEXTJOIN(", ",TRUE,IF(OR(E6,F6),"1",""),IF(OR(G6,H6,I6,J6),"2",""),IF(OR(K6,L6),"3",""),IF(OR(M6,N6),"4",""),IF(OR(O6,P6),"5",""),IF(OR(Q6,R6,S6,T6),"6",""),IF(OR(U6,V6),"7",""))</f>
        <v>1, 3</v>
      </c>
      <c r="E6" s="107" t="b">
        <v>1</v>
      </c>
      <c r="F6" s="107" t="b">
        <v>1</v>
      </c>
      <c r="G6" s="107" t="b">
        <v>0</v>
      </c>
      <c r="H6" s="107" t="b">
        <v>0</v>
      </c>
      <c r="I6" s="107" t="b">
        <v>0</v>
      </c>
      <c r="J6" s="107" t="b">
        <v>0</v>
      </c>
      <c r="K6" s="107" t="b">
        <v>1</v>
      </c>
      <c r="L6" s="107" t="b">
        <v>1</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PI11, PI12, PI31, PI32</v>
      </c>
      <c r="X6" s="6"/>
      <c r="Y6" s="6"/>
    </row>
    <row r="7" spans="1:25" ht="45" customHeight="1" x14ac:dyDescent="0.25">
      <c r="A7" s="144"/>
      <c r="B7" s="97"/>
      <c r="C7" s="115"/>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17" t="s">
        <v>225</v>
      </c>
      <c r="D8" s="85" t="str">
        <f t="shared" si="0"/>
        <v>6</v>
      </c>
      <c r="E8" s="107" t="b">
        <v>0</v>
      </c>
      <c r="F8" s="107" t="b">
        <v>0</v>
      </c>
      <c r="G8" s="107" t="b">
        <v>0</v>
      </c>
      <c r="H8" s="107" t="b">
        <v>0</v>
      </c>
      <c r="I8" s="107" t="b">
        <v>0</v>
      </c>
      <c r="J8" s="107" t="b">
        <v>0</v>
      </c>
      <c r="K8" s="107" t="b">
        <v>0</v>
      </c>
      <c r="L8" s="107" t="b">
        <v>0</v>
      </c>
      <c r="M8" s="107" t="b">
        <v>0</v>
      </c>
      <c r="N8" s="107" t="b">
        <v>0</v>
      </c>
      <c r="O8" s="107" t="b">
        <v>0</v>
      </c>
      <c r="P8" s="107" t="b">
        <v>0</v>
      </c>
      <c r="Q8" s="107" t="b">
        <v>1</v>
      </c>
      <c r="R8" s="107" t="b">
        <v>1</v>
      </c>
      <c r="S8" s="107" t="b">
        <v>1</v>
      </c>
      <c r="T8" s="107" t="b">
        <v>1</v>
      </c>
      <c r="U8" s="107" t="b">
        <v>0</v>
      </c>
      <c r="V8" s="107" t="b">
        <v>0</v>
      </c>
      <c r="W8" s="83" t="str" cm="1">
        <f t="array" ref="W8">_xlfn.TEXTJOIN(", ",TRUE,IF(E8:V8,{"PI11","PI12","PI21","PI22","PI23","PI24","PI31","PI32","PI41","PI42","PI51","PI52","PI61","PI62","PI63","PI64","PI71","PI72"},""))</f>
        <v>PI61, PI62, PI63, PI64</v>
      </c>
      <c r="X8" s="6"/>
      <c r="Y8" s="6"/>
    </row>
    <row r="9" spans="1:25" ht="45" customHeight="1" x14ac:dyDescent="0.25">
      <c r="A9" s="143"/>
      <c r="B9" s="99"/>
      <c r="C9" s="117"/>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c r="C10" s="117"/>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17"/>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17"/>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8" t="s">
        <v>226</v>
      </c>
      <c r="D13" s="85" t="str">
        <f t="shared" si="0"/>
        <v>7</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PI71, PI72</v>
      </c>
      <c r="X13" s="6"/>
      <c r="Y13" s="6"/>
    </row>
    <row r="14" spans="1:25" ht="45" customHeight="1" x14ac:dyDescent="0.25">
      <c r="A14" s="144"/>
      <c r="B14" s="101"/>
      <c r="C14" s="105"/>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PLC Microcontrollers</v>
      </c>
      <c r="D15" s="85" t="str">
        <f>A2</f>
        <v>EE 434</v>
      </c>
      <c r="E15" s="68" t="str">
        <f t="shared" ref="E15:V15" si="1">IF(COUNTIF(E$5:E$14,TRUE)&gt;0,$D$2,"")</f>
        <v>M</v>
      </c>
      <c r="F15" s="69" t="str">
        <f t="shared" si="1"/>
        <v>M</v>
      </c>
      <c r="G15" s="70" t="str">
        <f t="shared" si="1"/>
        <v/>
      </c>
      <c r="H15" s="71" t="str">
        <f t="shared" si="1"/>
        <v/>
      </c>
      <c r="I15" s="72" t="str">
        <f t="shared" si="1"/>
        <v/>
      </c>
      <c r="J15" s="73" t="str">
        <f t="shared" si="1"/>
        <v/>
      </c>
      <c r="K15" s="74" t="str">
        <f t="shared" si="1"/>
        <v>M</v>
      </c>
      <c r="L15" s="86" t="str">
        <f t="shared" si="1"/>
        <v>M</v>
      </c>
      <c r="M15" s="87" t="str">
        <f t="shared" si="1"/>
        <v/>
      </c>
      <c r="N15" s="88" t="str">
        <f t="shared" si="1"/>
        <v/>
      </c>
      <c r="O15" s="89" t="str">
        <f t="shared" si="1"/>
        <v/>
      </c>
      <c r="P15" s="90" t="str">
        <f t="shared" si="1"/>
        <v/>
      </c>
      <c r="Q15" s="91" t="str">
        <f t="shared" si="1"/>
        <v>M</v>
      </c>
      <c r="R15" s="92" t="str">
        <f t="shared" si="1"/>
        <v>M</v>
      </c>
      <c r="S15" s="93" t="str">
        <f t="shared" si="1"/>
        <v>M</v>
      </c>
      <c r="T15" s="94" t="str">
        <f t="shared" si="1"/>
        <v>M</v>
      </c>
      <c r="U15" s="95" t="str">
        <f t="shared" si="1"/>
        <v>M</v>
      </c>
      <c r="V15" s="96" t="str">
        <f t="shared" si="1"/>
        <v>M</v>
      </c>
      <c r="W15" s="6"/>
      <c r="X15" s="6"/>
      <c r="Y15" s="6"/>
    </row>
    <row r="16" spans="1:25" ht="30" customHeight="1" x14ac:dyDescent="0.25">
      <c r="A16" s="103" t="s">
        <v>136</v>
      </c>
      <c r="B16" s="103"/>
      <c r="C16" s="83" t="str">
        <f>C2</f>
        <v>PLC Microcontrollers</v>
      </c>
      <c r="D16" s="85" t="str">
        <f>A2</f>
        <v>EE 434</v>
      </c>
      <c r="E16" s="147" t="str">
        <f>IF(COUNTIF(E$5:F$14,TRUE)&gt;0,$D$2,"")</f>
        <v>M</v>
      </c>
      <c r="F16" s="125"/>
      <c r="G16" s="148" t="str">
        <f>IF(COUNTIF(G$5:J$14,TRUE)&gt;0,$D$2,"")</f>
        <v/>
      </c>
      <c r="H16" s="129"/>
      <c r="I16" s="129"/>
      <c r="J16" s="125"/>
      <c r="K16" s="149" t="str">
        <f>IF(COUNTIF(K$5:L$14,TRUE)&gt;0,$D$2,"")</f>
        <v>M</v>
      </c>
      <c r="L16" s="125"/>
      <c r="M16" s="137" t="str">
        <f>IF(COUNTIF(M$5:N$14,TRUE)&gt;0,$D$2,"")</f>
        <v/>
      </c>
      <c r="N16" s="125"/>
      <c r="O16" s="138" t="str">
        <f>IF(COUNTIF(O$5:P$14,TRUE)&gt;0,$D$2,"")</f>
        <v/>
      </c>
      <c r="P16" s="125"/>
      <c r="Q16" s="139" t="str">
        <f>IF(COUNTIF(Q$5:T$14,TRUE)&gt;0,$D$2,"")</f>
        <v>M</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25" priority="1" operator="equal">
      <formula>"TRUE"</formula>
    </cfRule>
  </conditionalFormatting>
  <conditionalFormatting sqref="F5:F14">
    <cfRule type="cellIs" dxfId="124" priority="2" operator="equal">
      <formula>"TRUE"</formula>
    </cfRule>
  </conditionalFormatting>
  <conditionalFormatting sqref="G5:G14">
    <cfRule type="cellIs" dxfId="123" priority="3" operator="equal">
      <formula>"TRUE"</formula>
    </cfRule>
  </conditionalFormatting>
  <conditionalFormatting sqref="H5:I14">
    <cfRule type="cellIs" dxfId="122" priority="4" operator="equal">
      <formula>"TRUE"</formula>
    </cfRule>
  </conditionalFormatting>
  <conditionalFormatting sqref="I5:I14">
    <cfRule type="cellIs" dxfId="121" priority="5" operator="equal">
      <formula>"TRUE"</formula>
    </cfRule>
  </conditionalFormatting>
  <conditionalFormatting sqref="J5:J14">
    <cfRule type="cellIs" dxfId="120" priority="6" operator="equal">
      <formula>"TRUE"</formula>
    </cfRule>
  </conditionalFormatting>
  <conditionalFormatting sqref="K5:K14">
    <cfRule type="cellIs" dxfId="119" priority="7" operator="equal">
      <formula>"TRUE"</formula>
    </cfRule>
  </conditionalFormatting>
  <conditionalFormatting sqref="L5:L14">
    <cfRule type="cellIs" dxfId="118" priority="8" operator="equal">
      <formula>"TRUE"</formula>
    </cfRule>
  </conditionalFormatting>
  <conditionalFormatting sqref="M5:M14">
    <cfRule type="cellIs" dxfId="117" priority="9" operator="equal">
      <formula>"TRUE"</formula>
    </cfRule>
  </conditionalFormatting>
  <conditionalFormatting sqref="N5:N14">
    <cfRule type="cellIs" dxfId="116" priority="10" operator="equal">
      <formula>"TRUE"</formula>
    </cfRule>
  </conditionalFormatting>
  <conditionalFormatting sqref="O5:O14">
    <cfRule type="cellIs" dxfId="115" priority="11" operator="equal">
      <formula>"TRUE"</formula>
    </cfRule>
  </conditionalFormatting>
  <conditionalFormatting sqref="P5:P14">
    <cfRule type="cellIs" dxfId="114" priority="12" operator="equal">
      <formula>"TRUE"</formula>
    </cfRule>
  </conditionalFormatting>
  <conditionalFormatting sqref="Q5:Q14">
    <cfRule type="cellIs" dxfId="113" priority="13" operator="equal">
      <formula>"TRUE"</formula>
    </cfRule>
  </conditionalFormatting>
  <conditionalFormatting sqref="R5:R14">
    <cfRule type="cellIs" dxfId="112" priority="14" operator="equal">
      <formula>"TRUE"</formula>
    </cfRule>
  </conditionalFormatting>
  <conditionalFormatting sqref="S5:S14">
    <cfRule type="cellIs" dxfId="111" priority="15" operator="equal">
      <formula>"TRUE"</formula>
    </cfRule>
  </conditionalFormatting>
  <conditionalFormatting sqref="T5:T14">
    <cfRule type="cellIs" dxfId="110" priority="16" operator="equal">
      <formula>"TRUE"</formula>
    </cfRule>
  </conditionalFormatting>
  <conditionalFormatting sqref="U5:U14">
    <cfRule type="cellIs" dxfId="109" priority="17" operator="equal">
      <formula>"TRUE"</formula>
    </cfRule>
  </conditionalFormatting>
  <conditionalFormatting sqref="V5:V14">
    <cfRule type="cellIs" dxfId="108" priority="18" operator="equal">
      <formula>"TRUE"</formula>
    </cfRule>
  </conditionalFormatting>
  <pageMargins left="0.7" right="0.7" top="0.75" bottom="0.75" header="0" footer="0"/>
  <pageSetup paperSize="9" fitToWidth="0"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227</v>
      </c>
      <c r="B2" s="83">
        <v>37</v>
      </c>
      <c r="C2" s="103" t="s">
        <v>112</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265</v>
      </c>
      <c r="D5" s="85" t="str">
        <f>_xlfn.TEXTJOIN(", ",TRUE,IF(OR(E5,F5),"1",""),IF(OR(G5,H5,I5,J5),"2",""),IF(OR(K5,L5),"3",""),IF(OR(M5,N5),"4",""),IF(OR(O5,P5),"5",""),IF(OR(Q5,R5,S5,T5),"6",""),IF(OR(U5,V5),"7",""))</f>
        <v>1, 3, 7</v>
      </c>
      <c r="E5" s="107" t="b">
        <v>1</v>
      </c>
      <c r="F5" s="107" t="b">
        <v>1</v>
      </c>
      <c r="G5" s="107" t="b">
        <v>0</v>
      </c>
      <c r="H5" s="107" t="b">
        <v>0</v>
      </c>
      <c r="I5" s="107" t="b">
        <v>0</v>
      </c>
      <c r="J5" s="107" t="b">
        <v>0</v>
      </c>
      <c r="K5" s="107" t="b">
        <v>1</v>
      </c>
      <c r="L5" s="107" t="b">
        <v>1</v>
      </c>
      <c r="M5" s="107" t="b">
        <v>0</v>
      </c>
      <c r="N5" s="107" t="b">
        <v>0</v>
      </c>
      <c r="O5" s="107" t="b">
        <v>0</v>
      </c>
      <c r="P5" s="107" t="b">
        <v>0</v>
      </c>
      <c r="Q5" s="107" t="b">
        <v>0</v>
      </c>
      <c r="R5" s="107" t="b">
        <v>0</v>
      </c>
      <c r="S5" s="107" t="b">
        <v>0</v>
      </c>
      <c r="T5" s="107" t="b">
        <v>0</v>
      </c>
      <c r="U5" s="107" t="b">
        <v>1</v>
      </c>
      <c r="V5" s="107" t="b">
        <v>1</v>
      </c>
      <c r="W5" s="83" t="str" cm="1">
        <f t="array" ref="W5">_xlfn.TEXTJOIN(", ",TRUE,IF(E5:V5,{"PI11","PI12","PI21","PI22","PI23","PI24","PI31","PI32","PI41","PI42","PI51","PI52","PI61","PI62","PI63","PI64","PI71","PI72"},""))</f>
        <v>PI11, PI12, PI31, PI32, PI71, PI72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266</v>
      </c>
      <c r="D8" s="85" t="str">
        <f t="shared" si="0"/>
        <v>6</v>
      </c>
      <c r="E8" s="107" t="b">
        <v>0</v>
      </c>
      <c r="F8" s="107" t="b">
        <v>0</v>
      </c>
      <c r="G8" s="107" t="b">
        <v>0</v>
      </c>
      <c r="H8" s="107" t="b">
        <v>0</v>
      </c>
      <c r="I8" s="107" t="b">
        <v>0</v>
      </c>
      <c r="J8" s="107" t="b">
        <v>0</v>
      </c>
      <c r="K8" s="107" t="b">
        <v>0</v>
      </c>
      <c r="L8" s="107" t="b">
        <v>0</v>
      </c>
      <c r="M8" s="107" t="b">
        <v>0</v>
      </c>
      <c r="N8" s="107" t="b">
        <v>0</v>
      </c>
      <c r="O8" s="107" t="b">
        <v>0</v>
      </c>
      <c r="P8" s="107" t="b">
        <v>0</v>
      </c>
      <c r="Q8" s="107" t="b">
        <v>1</v>
      </c>
      <c r="R8" s="107" t="b">
        <v>1</v>
      </c>
      <c r="S8" s="107" t="b">
        <v>1</v>
      </c>
      <c r="T8" s="107" t="b">
        <v>1</v>
      </c>
      <c r="U8" s="107" t="b">
        <v>0</v>
      </c>
      <c r="V8" s="107" t="b">
        <v>0</v>
      </c>
      <c r="W8" s="83" t="str" cm="1">
        <f t="array" ref="W8">_xlfn.TEXTJOIN(", ",TRUE,IF(E8:V8,{"PI11","PI12","PI21","PI22","PI23","PI24","PI31","PI32","PI41","PI42","PI51","PI52","PI61","PI62","PI63","PI64","PI71","PI72"},""))</f>
        <v>PI61, PI62, PI63, PI64</v>
      </c>
      <c r="X8" s="6"/>
      <c r="Y8" s="6"/>
    </row>
    <row r="9" spans="1:25" ht="45" customHeight="1" x14ac:dyDescent="0.25">
      <c r="A9" s="143"/>
      <c r="B9" s="99">
        <v>2.2000000000000002</v>
      </c>
      <c r="C9" s="100" t="s">
        <v>267</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1</v>
      </c>
      <c r="R9" s="107" t="b">
        <v>1</v>
      </c>
      <c r="S9" s="107" t="b">
        <v>1</v>
      </c>
      <c r="T9" s="107" t="b">
        <v>1</v>
      </c>
      <c r="U9" s="107" t="b">
        <v>0</v>
      </c>
      <c r="V9" s="107" t="b">
        <v>0</v>
      </c>
      <c r="W9" s="83" t="str" cm="1">
        <f t="array" ref="W9">_xlfn.TEXTJOIN(", ",TRUE,IF(E9:V9,{"PI11","PI12","PI21","PI22","PI23","PI24","PI31","PI32","PI41","PI42","PI51","PI52","PI61","PI62","PI63","PI64","PI71","PI72"},""))</f>
        <v>PI61, PI62, PI63, PI64</v>
      </c>
      <c r="X9" s="6"/>
      <c r="Y9" s="6"/>
    </row>
    <row r="10" spans="1:25" ht="45" customHeight="1" x14ac:dyDescent="0.25">
      <c r="A10" s="143"/>
      <c r="B10" s="99"/>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268</v>
      </c>
      <c r="D13" s="85" t="str">
        <f t="shared" si="0"/>
        <v>4, 7</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PI41, PI42, PI71, PI72</v>
      </c>
      <c r="X13" s="6"/>
      <c r="Y13" s="6"/>
    </row>
    <row r="14" spans="1:25" ht="45" customHeight="1" x14ac:dyDescent="0.25">
      <c r="A14" s="144"/>
      <c r="B14" s="101">
        <v>3.2</v>
      </c>
      <c r="C14" s="102" t="s">
        <v>269</v>
      </c>
      <c r="D14" s="85" t="str">
        <f t="shared" si="0"/>
        <v>4, 5</v>
      </c>
      <c r="E14" s="107" t="b">
        <v>0</v>
      </c>
      <c r="F14" s="107" t="b">
        <v>0</v>
      </c>
      <c r="G14" s="107" t="b">
        <v>0</v>
      </c>
      <c r="H14" s="107" t="b">
        <v>0</v>
      </c>
      <c r="I14" s="107" t="b">
        <v>0</v>
      </c>
      <c r="J14" s="107" t="b">
        <v>0</v>
      </c>
      <c r="K14" s="107" t="b">
        <v>0</v>
      </c>
      <c r="L14" s="107" t="b">
        <v>0</v>
      </c>
      <c r="M14" s="107" t="b">
        <v>1</v>
      </c>
      <c r="N14" s="107" t="b">
        <v>1</v>
      </c>
      <c r="O14" s="107" t="b">
        <v>1</v>
      </c>
      <c r="P14" s="107" t="b">
        <v>1</v>
      </c>
      <c r="Q14" s="107" t="b">
        <v>0</v>
      </c>
      <c r="R14" s="107" t="b">
        <v>0</v>
      </c>
      <c r="S14" s="107" t="b">
        <v>0</v>
      </c>
      <c r="T14" s="107" t="b">
        <v>0</v>
      </c>
      <c r="U14" s="107" t="b">
        <v>0</v>
      </c>
      <c r="V14" s="107" t="b">
        <v>0</v>
      </c>
      <c r="W14" s="83" t="str" cm="1">
        <f t="array" ref="W14">_xlfn.TEXTJOIN(", ",TRUE,IF(E14:V14,{"PI11","PI12","PI21","PI22","PI23","PI24","PI31","PI32","PI41","PI42","PI51","PI52","PI61","PI62","PI63","PI64","PI71","PI72"},""))</f>
        <v>PI41, PI42, PI51, PI52</v>
      </c>
      <c r="X14" s="6"/>
      <c r="Y14" s="6"/>
    </row>
    <row r="15" spans="1:25" ht="30" customHeight="1" x14ac:dyDescent="0.25">
      <c r="A15" s="103" t="s">
        <v>133</v>
      </c>
      <c r="B15" s="103"/>
      <c r="C15" s="83" t="str">
        <f>C2</f>
        <v>Robotics and Automation</v>
      </c>
      <c r="D15" s="85" t="str">
        <f>A2</f>
        <v>EE 435</v>
      </c>
      <c r="E15" s="68" t="str">
        <f t="shared" ref="E15:V15" si="1">IF(COUNTIF(E$5:E$14,TRUE)&gt;0,$D$2,"")</f>
        <v>M</v>
      </c>
      <c r="F15" s="69" t="str">
        <f t="shared" si="1"/>
        <v>M</v>
      </c>
      <c r="G15" s="70" t="str">
        <f t="shared" si="1"/>
        <v/>
      </c>
      <c r="H15" s="71" t="str">
        <f t="shared" si="1"/>
        <v/>
      </c>
      <c r="I15" s="72" t="str">
        <f t="shared" si="1"/>
        <v/>
      </c>
      <c r="J15" s="73" t="str">
        <f t="shared" si="1"/>
        <v/>
      </c>
      <c r="K15" s="74" t="str">
        <f t="shared" si="1"/>
        <v>M</v>
      </c>
      <c r="L15" s="86" t="str">
        <f t="shared" si="1"/>
        <v>M</v>
      </c>
      <c r="M15" s="87" t="str">
        <f t="shared" si="1"/>
        <v>M</v>
      </c>
      <c r="N15" s="88" t="str">
        <f t="shared" si="1"/>
        <v>M</v>
      </c>
      <c r="O15" s="89" t="str">
        <f t="shared" si="1"/>
        <v>M</v>
      </c>
      <c r="P15" s="90" t="str">
        <f t="shared" si="1"/>
        <v>M</v>
      </c>
      <c r="Q15" s="91" t="str">
        <f t="shared" si="1"/>
        <v>M</v>
      </c>
      <c r="R15" s="92" t="str">
        <f t="shared" si="1"/>
        <v>M</v>
      </c>
      <c r="S15" s="93" t="str">
        <f t="shared" si="1"/>
        <v>M</v>
      </c>
      <c r="T15" s="94" t="str">
        <f t="shared" si="1"/>
        <v>M</v>
      </c>
      <c r="U15" s="95" t="str">
        <f t="shared" si="1"/>
        <v>M</v>
      </c>
      <c r="V15" s="96" t="str">
        <f t="shared" si="1"/>
        <v>M</v>
      </c>
      <c r="W15" s="6"/>
      <c r="X15" s="6"/>
      <c r="Y15" s="6"/>
    </row>
    <row r="16" spans="1:25" ht="30" customHeight="1" x14ac:dyDescent="0.25">
      <c r="A16" s="103" t="s">
        <v>136</v>
      </c>
      <c r="B16" s="103"/>
      <c r="C16" s="83" t="str">
        <f>C2</f>
        <v>Robotics and Automation</v>
      </c>
      <c r="D16" s="85" t="str">
        <f>A2</f>
        <v>EE 435</v>
      </c>
      <c r="E16" s="147" t="str">
        <f>IF(COUNTIF(E$5:F$14,TRUE)&gt;0,$D$2,"")</f>
        <v>M</v>
      </c>
      <c r="F16" s="125"/>
      <c r="G16" s="148" t="str">
        <f>IF(COUNTIF(G$5:J$14,TRUE)&gt;0,$D$2,"")</f>
        <v/>
      </c>
      <c r="H16" s="129"/>
      <c r="I16" s="129"/>
      <c r="J16" s="125"/>
      <c r="K16" s="149" t="str">
        <f>IF(COUNTIF(K$5:L$14,TRUE)&gt;0,$D$2,"")</f>
        <v>M</v>
      </c>
      <c r="L16" s="125"/>
      <c r="M16" s="137" t="str">
        <f>IF(COUNTIF(M$5:N$14,TRUE)&gt;0,$D$2,"")</f>
        <v>M</v>
      </c>
      <c r="N16" s="125"/>
      <c r="O16" s="138" t="str">
        <f>IF(COUNTIF(O$5:P$14,TRUE)&gt;0,$D$2,"")</f>
        <v>M</v>
      </c>
      <c r="P16" s="125"/>
      <c r="Q16" s="139" t="str">
        <f>IF(COUNTIF(Q$5:T$14,TRUE)&gt;0,$D$2,"")</f>
        <v>M</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07" priority="1" operator="equal">
      <formula>"TRUE"</formula>
    </cfRule>
  </conditionalFormatting>
  <conditionalFormatting sqref="F5:F14">
    <cfRule type="cellIs" dxfId="106" priority="2" operator="equal">
      <formula>"TRUE"</formula>
    </cfRule>
  </conditionalFormatting>
  <conditionalFormatting sqref="G5:G14">
    <cfRule type="cellIs" dxfId="105" priority="3" operator="equal">
      <formula>"TRUE"</formula>
    </cfRule>
  </conditionalFormatting>
  <conditionalFormatting sqref="H5:I14">
    <cfRule type="cellIs" dxfId="104" priority="4" operator="equal">
      <formula>"TRUE"</formula>
    </cfRule>
  </conditionalFormatting>
  <conditionalFormatting sqref="I5:I14">
    <cfRule type="cellIs" dxfId="103" priority="5" operator="equal">
      <formula>"TRUE"</formula>
    </cfRule>
  </conditionalFormatting>
  <conditionalFormatting sqref="J5:J14">
    <cfRule type="cellIs" dxfId="102" priority="6" operator="equal">
      <formula>"TRUE"</formula>
    </cfRule>
  </conditionalFormatting>
  <conditionalFormatting sqref="K5:K14">
    <cfRule type="cellIs" dxfId="101" priority="7" operator="equal">
      <formula>"TRUE"</formula>
    </cfRule>
  </conditionalFormatting>
  <conditionalFormatting sqref="L5:L14">
    <cfRule type="cellIs" dxfId="100" priority="8" operator="equal">
      <formula>"TRUE"</formula>
    </cfRule>
  </conditionalFormatting>
  <conditionalFormatting sqref="M5:M14">
    <cfRule type="cellIs" dxfId="99" priority="9" operator="equal">
      <formula>"TRUE"</formula>
    </cfRule>
  </conditionalFormatting>
  <conditionalFormatting sqref="N5:N14">
    <cfRule type="cellIs" dxfId="98" priority="10" operator="equal">
      <formula>"TRUE"</formula>
    </cfRule>
  </conditionalFormatting>
  <conditionalFormatting sqref="O5:O14">
    <cfRule type="cellIs" dxfId="97" priority="11" operator="equal">
      <formula>"TRUE"</formula>
    </cfRule>
  </conditionalFormatting>
  <conditionalFormatting sqref="P5:P14">
    <cfRule type="cellIs" dxfId="96" priority="12" operator="equal">
      <formula>"TRUE"</formula>
    </cfRule>
  </conditionalFormatting>
  <conditionalFormatting sqref="Q5:Q14">
    <cfRule type="cellIs" dxfId="95" priority="13" operator="equal">
      <formula>"TRUE"</formula>
    </cfRule>
  </conditionalFormatting>
  <conditionalFormatting sqref="R5:R14">
    <cfRule type="cellIs" dxfId="94" priority="14" operator="equal">
      <formula>"TRUE"</formula>
    </cfRule>
  </conditionalFormatting>
  <conditionalFormatting sqref="S5:S14">
    <cfRule type="cellIs" dxfId="93" priority="15" operator="equal">
      <formula>"TRUE"</formula>
    </cfRule>
  </conditionalFormatting>
  <conditionalFormatting sqref="T5:T14">
    <cfRule type="cellIs" dxfId="92" priority="16" operator="equal">
      <formula>"TRUE"</formula>
    </cfRule>
  </conditionalFormatting>
  <conditionalFormatting sqref="U5:U14">
    <cfRule type="cellIs" dxfId="91" priority="17" operator="equal">
      <formula>"TRUE"</formula>
    </cfRule>
  </conditionalFormatting>
  <conditionalFormatting sqref="V5:V14">
    <cfRule type="cellIs" dxfId="90" priority="18" operator="equal">
      <formula>"TRUE"</formula>
    </cfRule>
  </conditionalFormatting>
  <pageMargins left="0.7" right="0.7" top="0.75" bottom="0.75" header="0" footer="0"/>
  <pageSetup paperSize="9" fitToWidth="0"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228</v>
      </c>
      <c r="B2" s="83">
        <v>38</v>
      </c>
      <c r="C2" s="103" t="s">
        <v>113</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270</v>
      </c>
      <c r="D5" s="85" t="str">
        <f>_xlfn.TEXTJOIN(", ",TRUE,IF(OR(E5,F5),"1",""),IF(OR(G5,H5,I5,J5),"2",""),IF(OR(K5,L5),"3",""),IF(OR(M5,N5),"4",""),IF(OR(O5,P5),"5",""),IF(OR(Q5,R5,S5,T5),"6",""),IF(OR(U5,V5),"7",""))</f>
        <v>1, 7</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1</v>
      </c>
      <c r="V5" s="107" t="b">
        <v>1</v>
      </c>
      <c r="W5" s="83" t="str" cm="1">
        <f t="array" ref="W5">_xlfn.TEXTJOIN(", ",TRUE,IF(E5:V5,{"PI11","PI12","PI21","PI22","PI23","PI24","PI31","PI32","PI41","PI42","PI51","PI52","PI61","PI62","PI63","PI64","PI71","PI72"},""))</f>
        <v>PI11, PI12, PI71, PI72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271</v>
      </c>
      <c r="D8" s="85" t="str">
        <f t="shared" si="0"/>
        <v>6</v>
      </c>
      <c r="E8" s="107" t="b">
        <v>0</v>
      </c>
      <c r="F8" s="107" t="b">
        <v>0</v>
      </c>
      <c r="G8" s="107" t="b">
        <v>0</v>
      </c>
      <c r="H8" s="107" t="b">
        <v>0</v>
      </c>
      <c r="I8" s="107" t="b">
        <v>0</v>
      </c>
      <c r="J8" s="107" t="b">
        <v>0</v>
      </c>
      <c r="K8" s="107" t="b">
        <v>0</v>
      </c>
      <c r="L8" s="107" t="b">
        <v>0</v>
      </c>
      <c r="M8" s="107" t="b">
        <v>0</v>
      </c>
      <c r="N8" s="107" t="b">
        <v>0</v>
      </c>
      <c r="O8" s="107" t="b">
        <v>0</v>
      </c>
      <c r="P8" s="107" t="b">
        <v>0</v>
      </c>
      <c r="Q8" s="107" t="b">
        <v>1</v>
      </c>
      <c r="R8" s="107" t="b">
        <v>1</v>
      </c>
      <c r="S8" s="107" t="b">
        <v>1</v>
      </c>
      <c r="T8" s="107" t="b">
        <v>1</v>
      </c>
      <c r="U8" s="107" t="b">
        <v>0</v>
      </c>
      <c r="V8" s="107" t="b">
        <v>0</v>
      </c>
      <c r="W8" s="83" t="str" cm="1">
        <f t="array" ref="W8">_xlfn.TEXTJOIN(", ",TRUE,IF(E8:V8,{"PI11","PI12","PI21","PI22","PI23","PI24","PI31","PI32","PI41","PI42","PI51","PI52","PI61","PI62","PI63","PI64","PI71","PI72"},""))</f>
        <v>PI61, PI62, PI63, PI64</v>
      </c>
      <c r="X8" s="6"/>
      <c r="Y8" s="6"/>
    </row>
    <row r="9" spans="1:25" ht="45" customHeight="1" x14ac:dyDescent="0.25">
      <c r="A9" s="143"/>
      <c r="B9" s="99">
        <v>2.2000000000000002</v>
      </c>
      <c r="C9" s="100" t="s">
        <v>272</v>
      </c>
      <c r="D9" s="85" t="str">
        <f t="shared" si="0"/>
        <v>6</v>
      </c>
      <c r="E9" s="107" t="b">
        <v>0</v>
      </c>
      <c r="F9" s="107" t="b">
        <v>0</v>
      </c>
      <c r="G9" s="107" t="b">
        <v>0</v>
      </c>
      <c r="H9" s="107" t="b">
        <v>0</v>
      </c>
      <c r="I9" s="107" t="b">
        <v>0</v>
      </c>
      <c r="J9" s="107" t="b">
        <v>0</v>
      </c>
      <c r="K9" s="107" t="b">
        <v>0</v>
      </c>
      <c r="L9" s="107" t="b">
        <v>0</v>
      </c>
      <c r="M9" s="107" t="b">
        <v>0</v>
      </c>
      <c r="N9" s="107" t="b">
        <v>0</v>
      </c>
      <c r="O9" s="107" t="b">
        <v>0</v>
      </c>
      <c r="P9" s="107" t="b">
        <v>0</v>
      </c>
      <c r="Q9" s="107" t="b">
        <v>1</v>
      </c>
      <c r="R9" s="107" t="b">
        <v>1</v>
      </c>
      <c r="S9" s="107" t="b">
        <v>1</v>
      </c>
      <c r="T9" s="107" t="b">
        <v>1</v>
      </c>
      <c r="U9" s="107" t="b">
        <v>0</v>
      </c>
      <c r="V9" s="107" t="b">
        <v>0</v>
      </c>
      <c r="W9" s="83" t="str" cm="1">
        <f t="array" ref="W9">_xlfn.TEXTJOIN(", ",TRUE,IF(E9:V9,{"PI11","PI12","PI21","PI22","PI23","PI24","PI31","PI32","PI41","PI42","PI51","PI52","PI61","PI62","PI63","PI64","PI71","PI72"},""))</f>
        <v>PI61, PI62, PI63, PI64</v>
      </c>
      <c r="X9" s="6"/>
      <c r="Y9" s="6"/>
    </row>
    <row r="10" spans="1:25" ht="45" customHeight="1" x14ac:dyDescent="0.25">
      <c r="A10" s="143"/>
      <c r="B10" s="99">
        <v>2.2999999999999998</v>
      </c>
      <c r="C10" s="100" t="s">
        <v>273</v>
      </c>
      <c r="D10" s="85" t="str">
        <f t="shared" si="0"/>
        <v>3, 4</v>
      </c>
      <c r="E10" s="107" t="b">
        <v>0</v>
      </c>
      <c r="F10" s="107" t="b">
        <v>0</v>
      </c>
      <c r="G10" s="107" t="b">
        <v>0</v>
      </c>
      <c r="H10" s="107" t="b">
        <v>0</v>
      </c>
      <c r="I10" s="107" t="b">
        <v>0</v>
      </c>
      <c r="J10" s="107" t="b">
        <v>0</v>
      </c>
      <c r="K10" s="107" t="b">
        <v>1</v>
      </c>
      <c r="L10" s="107" t="b">
        <v>1</v>
      </c>
      <c r="M10" s="107" t="b">
        <v>1</v>
      </c>
      <c r="N10" s="107" t="b">
        <v>1</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PI31, PI32, PI41, PI42</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1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274</v>
      </c>
      <c r="D13" s="85" t="str">
        <f t="shared" si="0"/>
        <v>4, 7</v>
      </c>
      <c r="E13" s="107" t="b">
        <v>0</v>
      </c>
      <c r="F13" s="107" t="b">
        <v>0</v>
      </c>
      <c r="G13" s="107" t="b">
        <v>0</v>
      </c>
      <c r="H13" s="107" t="b">
        <v>0</v>
      </c>
      <c r="I13" s="107" t="b">
        <v>0</v>
      </c>
      <c r="J13" s="107" t="b">
        <v>0</v>
      </c>
      <c r="K13" s="107" t="b">
        <v>0</v>
      </c>
      <c r="L13" s="107" t="b">
        <v>0</v>
      </c>
      <c r="M13" s="107" t="b">
        <v>1</v>
      </c>
      <c r="N13" s="107" t="b">
        <v>1</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PI41, PI42, PI71, PI72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Artifitial Intellegince</v>
      </c>
      <c r="D15" s="85" t="str">
        <f>A2</f>
        <v>EE 436</v>
      </c>
      <c r="E15" s="68" t="str">
        <f t="shared" ref="E15:V15" si="1">IF(COUNTIF(E$5:E$14,TRUE)&gt;0,$D$2,"")</f>
        <v>M</v>
      </c>
      <c r="F15" s="69" t="str">
        <f t="shared" si="1"/>
        <v>M</v>
      </c>
      <c r="G15" s="70" t="str">
        <f t="shared" si="1"/>
        <v/>
      </c>
      <c r="H15" s="71" t="str">
        <f t="shared" si="1"/>
        <v/>
      </c>
      <c r="I15" s="72" t="str">
        <f t="shared" si="1"/>
        <v/>
      </c>
      <c r="J15" s="73" t="str">
        <f t="shared" si="1"/>
        <v/>
      </c>
      <c r="K15" s="74" t="str">
        <f t="shared" si="1"/>
        <v>M</v>
      </c>
      <c r="L15" s="86" t="str">
        <f t="shared" si="1"/>
        <v>M</v>
      </c>
      <c r="M15" s="87" t="str">
        <f t="shared" si="1"/>
        <v>M</v>
      </c>
      <c r="N15" s="88" t="str">
        <f t="shared" si="1"/>
        <v>M</v>
      </c>
      <c r="O15" s="89" t="str">
        <f t="shared" si="1"/>
        <v/>
      </c>
      <c r="P15" s="90" t="str">
        <f t="shared" si="1"/>
        <v/>
      </c>
      <c r="Q15" s="91" t="str">
        <f t="shared" si="1"/>
        <v>M</v>
      </c>
      <c r="R15" s="92" t="str">
        <f t="shared" si="1"/>
        <v>M</v>
      </c>
      <c r="S15" s="93" t="str">
        <f t="shared" si="1"/>
        <v>M</v>
      </c>
      <c r="T15" s="94" t="str">
        <f t="shared" si="1"/>
        <v>M</v>
      </c>
      <c r="U15" s="95" t="str">
        <f t="shared" si="1"/>
        <v>M</v>
      </c>
      <c r="V15" s="96" t="str">
        <f t="shared" si="1"/>
        <v>M</v>
      </c>
      <c r="W15" s="6"/>
      <c r="X15" s="6"/>
      <c r="Y15" s="6"/>
    </row>
    <row r="16" spans="1:25" ht="30" customHeight="1" x14ac:dyDescent="0.25">
      <c r="A16" s="103" t="s">
        <v>136</v>
      </c>
      <c r="B16" s="103"/>
      <c r="C16" s="83" t="str">
        <f>C2</f>
        <v>Artifitial Intellegince</v>
      </c>
      <c r="D16" s="85" t="str">
        <f>A2</f>
        <v>EE 436</v>
      </c>
      <c r="E16" s="147" t="str">
        <f>IF(COUNTIF(E$5:F$14,TRUE)&gt;0,$D$2,"")</f>
        <v>M</v>
      </c>
      <c r="F16" s="125"/>
      <c r="G16" s="148" t="str">
        <f>IF(COUNTIF(G$5:J$14,TRUE)&gt;0,$D$2,"")</f>
        <v/>
      </c>
      <c r="H16" s="129"/>
      <c r="I16" s="129"/>
      <c r="J16" s="125"/>
      <c r="K16" s="149" t="str">
        <f>IF(COUNTIF(K$5:L$14,TRUE)&gt;0,$D$2,"")</f>
        <v>M</v>
      </c>
      <c r="L16" s="125"/>
      <c r="M16" s="137" t="str">
        <f>IF(COUNTIF(M$5:N$14,TRUE)&gt;0,$D$2,"")</f>
        <v>M</v>
      </c>
      <c r="N16" s="125"/>
      <c r="O16" s="138" t="str">
        <f>IF(COUNTIF(O$5:P$14,TRUE)&gt;0,$D$2,"")</f>
        <v/>
      </c>
      <c r="P16" s="125"/>
      <c r="Q16" s="139" t="str">
        <f>IF(COUNTIF(Q$5:T$14,TRUE)&gt;0,$D$2,"")</f>
        <v>M</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89" priority="1" operator="equal">
      <formula>"TRUE"</formula>
    </cfRule>
  </conditionalFormatting>
  <conditionalFormatting sqref="F5:F14">
    <cfRule type="cellIs" dxfId="88" priority="2" operator="equal">
      <formula>"TRUE"</formula>
    </cfRule>
  </conditionalFormatting>
  <conditionalFormatting sqref="G5:G14">
    <cfRule type="cellIs" dxfId="87" priority="3" operator="equal">
      <formula>"TRUE"</formula>
    </cfRule>
  </conditionalFormatting>
  <conditionalFormatting sqref="H5:I14">
    <cfRule type="cellIs" dxfId="86" priority="4" operator="equal">
      <formula>"TRUE"</formula>
    </cfRule>
  </conditionalFormatting>
  <conditionalFormatting sqref="I5:I14">
    <cfRule type="cellIs" dxfId="85" priority="5" operator="equal">
      <formula>"TRUE"</formula>
    </cfRule>
  </conditionalFormatting>
  <conditionalFormatting sqref="J5:J14">
    <cfRule type="cellIs" dxfId="84" priority="6" operator="equal">
      <formula>"TRUE"</formula>
    </cfRule>
  </conditionalFormatting>
  <conditionalFormatting sqref="K5:K14">
    <cfRule type="cellIs" dxfId="83" priority="7" operator="equal">
      <formula>"TRUE"</formula>
    </cfRule>
  </conditionalFormatting>
  <conditionalFormatting sqref="L5:L14">
    <cfRule type="cellIs" dxfId="82" priority="8" operator="equal">
      <formula>"TRUE"</formula>
    </cfRule>
  </conditionalFormatting>
  <conditionalFormatting sqref="M5:M14">
    <cfRule type="cellIs" dxfId="81" priority="9" operator="equal">
      <formula>"TRUE"</formula>
    </cfRule>
  </conditionalFormatting>
  <conditionalFormatting sqref="N5:N14">
    <cfRule type="cellIs" dxfId="80" priority="10" operator="equal">
      <formula>"TRUE"</formula>
    </cfRule>
  </conditionalFormatting>
  <conditionalFormatting sqref="O5:O14">
    <cfRule type="cellIs" dxfId="79" priority="11" operator="equal">
      <formula>"TRUE"</formula>
    </cfRule>
  </conditionalFormatting>
  <conditionalFormatting sqref="P5:P14">
    <cfRule type="cellIs" dxfId="78" priority="12" operator="equal">
      <formula>"TRUE"</formula>
    </cfRule>
  </conditionalFormatting>
  <conditionalFormatting sqref="Q5:Q14">
    <cfRule type="cellIs" dxfId="77" priority="13" operator="equal">
      <formula>"TRUE"</formula>
    </cfRule>
  </conditionalFormatting>
  <conditionalFormatting sqref="R5:R14">
    <cfRule type="cellIs" dxfId="76" priority="14" operator="equal">
      <formula>"TRUE"</formula>
    </cfRule>
  </conditionalFormatting>
  <conditionalFormatting sqref="S5:S14">
    <cfRule type="cellIs" dxfId="75" priority="15" operator="equal">
      <formula>"TRUE"</formula>
    </cfRule>
  </conditionalFormatting>
  <conditionalFormatting sqref="T5:T14">
    <cfRule type="cellIs" dxfId="74" priority="16" operator="equal">
      <formula>"TRUE"</formula>
    </cfRule>
  </conditionalFormatting>
  <conditionalFormatting sqref="U5:U14">
    <cfRule type="cellIs" dxfId="73" priority="17" operator="equal">
      <formula>"TRUE"</formula>
    </cfRule>
  </conditionalFormatting>
  <conditionalFormatting sqref="V5:V14">
    <cfRule type="cellIs" dxfId="72" priority="18" operator="equal">
      <formula>"TRUE"</formula>
    </cfRule>
  </conditionalFormatting>
  <pageMargins left="0.7" right="0.7" top="0.75" bottom="0.75" header="0" footer="0"/>
  <pageSetup paperSize="9" fitToWidth="0"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229</v>
      </c>
      <c r="B2" s="83">
        <v>39</v>
      </c>
      <c r="C2" s="103" t="s">
        <v>114</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Digital Signal Processing</v>
      </c>
      <c r="D15" s="85" t="str">
        <f>A2</f>
        <v>EE 442</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Digital Signal Processing</v>
      </c>
      <c r="D16" s="85" t="str">
        <f>A2</f>
        <v>EE 442</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71" priority="1" operator="equal">
      <formula>"TRUE"</formula>
    </cfRule>
  </conditionalFormatting>
  <conditionalFormatting sqref="F5:F14">
    <cfRule type="cellIs" dxfId="70" priority="2" operator="equal">
      <formula>"TRUE"</formula>
    </cfRule>
  </conditionalFormatting>
  <conditionalFormatting sqref="G5:G14">
    <cfRule type="cellIs" dxfId="69" priority="3" operator="equal">
      <formula>"TRUE"</formula>
    </cfRule>
  </conditionalFormatting>
  <conditionalFormatting sqref="H5:I14">
    <cfRule type="cellIs" dxfId="68" priority="4" operator="equal">
      <formula>"TRUE"</formula>
    </cfRule>
  </conditionalFormatting>
  <conditionalFormatting sqref="I5:I14">
    <cfRule type="cellIs" dxfId="67" priority="5" operator="equal">
      <formula>"TRUE"</formula>
    </cfRule>
  </conditionalFormatting>
  <conditionalFormatting sqref="J5:J14">
    <cfRule type="cellIs" dxfId="66" priority="6" operator="equal">
      <formula>"TRUE"</formula>
    </cfRule>
  </conditionalFormatting>
  <conditionalFormatting sqref="K5:K14">
    <cfRule type="cellIs" dxfId="65" priority="7" operator="equal">
      <formula>"TRUE"</formula>
    </cfRule>
  </conditionalFormatting>
  <conditionalFormatting sqref="L5:L14">
    <cfRule type="cellIs" dxfId="64" priority="8" operator="equal">
      <formula>"TRUE"</formula>
    </cfRule>
  </conditionalFormatting>
  <conditionalFormatting sqref="M5:M14">
    <cfRule type="cellIs" dxfId="63" priority="9" operator="equal">
      <formula>"TRUE"</formula>
    </cfRule>
  </conditionalFormatting>
  <conditionalFormatting sqref="N5:N14">
    <cfRule type="cellIs" dxfId="62" priority="10" operator="equal">
      <formula>"TRUE"</formula>
    </cfRule>
  </conditionalFormatting>
  <conditionalFormatting sqref="O5:O14">
    <cfRule type="cellIs" dxfId="61" priority="11" operator="equal">
      <formula>"TRUE"</formula>
    </cfRule>
  </conditionalFormatting>
  <conditionalFormatting sqref="P5:P14">
    <cfRule type="cellIs" dxfId="60" priority="12" operator="equal">
      <formula>"TRUE"</formula>
    </cfRule>
  </conditionalFormatting>
  <conditionalFormatting sqref="Q5:Q14">
    <cfRule type="cellIs" dxfId="59" priority="13" operator="equal">
      <formula>"TRUE"</formula>
    </cfRule>
  </conditionalFormatting>
  <conditionalFormatting sqref="R5:R14">
    <cfRule type="cellIs" dxfId="58" priority="14" operator="equal">
      <formula>"TRUE"</formula>
    </cfRule>
  </conditionalFormatting>
  <conditionalFormatting sqref="S5:S14">
    <cfRule type="cellIs" dxfId="57" priority="15" operator="equal">
      <formula>"TRUE"</formula>
    </cfRule>
  </conditionalFormatting>
  <conditionalFormatting sqref="T5:T14">
    <cfRule type="cellIs" dxfId="56" priority="16" operator="equal">
      <formula>"TRUE"</formula>
    </cfRule>
  </conditionalFormatting>
  <conditionalFormatting sqref="U5:U14">
    <cfRule type="cellIs" dxfId="55" priority="17" operator="equal">
      <formula>"TRUE"</formula>
    </cfRule>
  </conditionalFormatting>
  <conditionalFormatting sqref="V5:V14">
    <cfRule type="cellIs" dxfId="54" priority="18" operator="equal">
      <formula>"TRUE"</formula>
    </cfRule>
  </conditionalFormatting>
  <pageMargins left="0.7" right="0.7" top="0.75" bottom="0.75" header="0" footer="0"/>
  <pageSetup paperSize="9" fitToWidth="0"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58FE3-F303-487E-AE7F-3647F1AAFE68}">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288</v>
      </c>
      <c r="B2" s="83">
        <v>40</v>
      </c>
      <c r="C2" s="103" t="s">
        <v>289</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c r="D5" s="85" t="str">
        <f>_xlfn.TEXTJOIN(", ",TRUE,IF(OR(E5,F5),"1",""),IF(OR(G5,H5,I5,J5),"2",""),IF(OR(K5,L5),"3",""),IF(OR(M5,N5),"4",""),IF(OR(O5,P5),"5",""),IF(OR(Q5,R5,S5,T5),"6",""),IF(OR(U5,V5),"7",""))</f>
        <v/>
      </c>
      <c r="E5" s="107" t="b">
        <v>0</v>
      </c>
      <c r="F5" s="107" t="b">
        <v>0</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c r="D8" s="85" t="str">
        <f t="shared" si="0"/>
        <v/>
      </c>
      <c r="E8" s="107" t="b">
        <v>0</v>
      </c>
      <c r="F8" s="107" t="b">
        <v>0</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
      </c>
      <c r="X8" s="6"/>
      <c r="Y8" s="6"/>
    </row>
    <row r="9" spans="1:25" ht="45" customHeight="1" x14ac:dyDescent="0.25">
      <c r="A9" s="143"/>
      <c r="B9" s="99">
        <v>2.2000000000000002</v>
      </c>
      <c r="C9" s="100"/>
      <c r="D9" s="85" t="str">
        <f t="shared" si="0"/>
        <v/>
      </c>
      <c r="E9" s="107" t="b">
        <v>0</v>
      </c>
      <c r="F9" s="107" t="b">
        <v>0</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
      </c>
      <c r="X9" s="6"/>
      <c r="Y9" s="6"/>
    </row>
    <row r="10" spans="1:25" ht="45" customHeight="1" x14ac:dyDescent="0.25">
      <c r="A10" s="143"/>
      <c r="B10" s="99">
        <v>2.2999999999999998</v>
      </c>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c r="D13" s="85" t="str">
        <f t="shared" si="0"/>
        <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0</v>
      </c>
      <c r="V13" s="107" t="b">
        <v>0</v>
      </c>
      <c r="W13" s="83" t="str" cm="1">
        <f t="array" ref="W13">_xlfn.TEXTJOIN(", ",TRUE,IF(E13:V13,{"PI11","PI12","PI21","PI22","PI23","PI24","PI31","PI32","PI41","PI42","PI51","PI52","PI61","PI62","PI63","PI64","PI71","PI72"},""))</f>
        <v/>
      </c>
      <c r="X13" s="6"/>
      <c r="Y13" s="6"/>
    </row>
    <row r="14" spans="1:25" ht="45" customHeight="1" x14ac:dyDescent="0.25">
      <c r="A14" s="144"/>
      <c r="B14" s="101">
        <v>3.2</v>
      </c>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Power System Planning</v>
      </c>
      <c r="D15" s="85" t="str">
        <f>A2</f>
        <v>EE 454</v>
      </c>
      <c r="E15" s="68" t="str">
        <f t="shared" ref="E15:V15" si="1">IF(COUNTIF(E$5:E$14,TRUE)&gt;0,$D$2,"")</f>
        <v/>
      </c>
      <c r="F15" s="69" t="str">
        <f t="shared" si="1"/>
        <v/>
      </c>
      <c r="G15" s="70" t="str">
        <f t="shared" si="1"/>
        <v/>
      </c>
      <c r="H15" s="71" t="str">
        <f t="shared" si="1"/>
        <v/>
      </c>
      <c r="I15" s="72" t="str">
        <f t="shared" si="1"/>
        <v/>
      </c>
      <c r="J15" s="73" t="str">
        <f t="shared" si="1"/>
        <v/>
      </c>
      <c r="K15" s="74" t="str">
        <f t="shared" si="1"/>
        <v/>
      </c>
      <c r="L15" s="86" t="str">
        <f t="shared" si="1"/>
        <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
      </c>
      <c r="V15" s="96" t="str">
        <f t="shared" si="1"/>
        <v/>
      </c>
      <c r="W15" s="6"/>
      <c r="X15" s="6"/>
      <c r="Y15" s="6"/>
    </row>
    <row r="16" spans="1:25" ht="30" customHeight="1" x14ac:dyDescent="0.25">
      <c r="A16" s="103" t="s">
        <v>136</v>
      </c>
      <c r="B16" s="103"/>
      <c r="C16" s="83" t="str">
        <f>C2</f>
        <v>Power System Planning</v>
      </c>
      <c r="D16" s="85" t="str">
        <f>A2</f>
        <v>EE 454</v>
      </c>
      <c r="E16" s="147" t="str">
        <f>IF(COUNTIF(E$5:F$14,TRUE)&gt;0,$D$2,"")</f>
        <v/>
      </c>
      <c r="F16" s="125"/>
      <c r="G16" s="148" t="str">
        <f>IF(COUNTIF(G$5:J$14,TRUE)&gt;0,$D$2,"")</f>
        <v/>
      </c>
      <c r="H16" s="129"/>
      <c r="I16" s="129"/>
      <c r="J16" s="125"/>
      <c r="K16" s="149" t="str">
        <f>IF(COUNTIF(K$5:L$14,TRUE)&gt;0,$D$2,"")</f>
        <v/>
      </c>
      <c r="L16" s="125"/>
      <c r="M16" s="137" t="str">
        <f>IF(COUNTIF(M$5:N$14,TRUE)&gt;0,$D$2,"")</f>
        <v/>
      </c>
      <c r="N16" s="125"/>
      <c r="O16" s="138" t="str">
        <f>IF(COUNTIF(O$5:P$14,TRUE)&gt;0,$D$2,"")</f>
        <v/>
      </c>
      <c r="P16" s="125"/>
      <c r="Q16" s="139" t="str">
        <f>IF(COUNTIF(Q$5:T$14,TRUE)&gt;0,$D$2,"")</f>
        <v/>
      </c>
      <c r="R16" s="129"/>
      <c r="S16" s="129"/>
      <c r="T16" s="125"/>
      <c r="U16" s="136" t="str">
        <f>IF(COUNTIF(U$5:V$14,TRUE)&gt;0,$D$2,"")</f>
        <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E1:V2"/>
    <mergeCell ref="A3:A4"/>
    <mergeCell ref="B3:B4"/>
    <mergeCell ref="C3:C4"/>
    <mergeCell ref="D3:D4"/>
    <mergeCell ref="E3:F3"/>
    <mergeCell ref="G3:J3"/>
    <mergeCell ref="K3:L3"/>
    <mergeCell ref="M3:N3"/>
    <mergeCell ref="O3:P3"/>
    <mergeCell ref="Q16:T16"/>
    <mergeCell ref="U16:V16"/>
    <mergeCell ref="Q3:T3"/>
    <mergeCell ref="U3:V3"/>
    <mergeCell ref="A5:A7"/>
    <mergeCell ref="A8:A12"/>
    <mergeCell ref="A13:A14"/>
    <mergeCell ref="E16:F16"/>
    <mergeCell ref="G16:J16"/>
    <mergeCell ref="K16:L16"/>
    <mergeCell ref="M16:N16"/>
    <mergeCell ref="O16:P16"/>
  </mergeCells>
  <conditionalFormatting sqref="E5:E14">
    <cfRule type="cellIs" dxfId="53" priority="1" operator="equal">
      <formula>"TRUE"</formula>
    </cfRule>
  </conditionalFormatting>
  <conditionalFormatting sqref="F5:F14">
    <cfRule type="cellIs" dxfId="52" priority="2" operator="equal">
      <formula>"TRUE"</formula>
    </cfRule>
  </conditionalFormatting>
  <conditionalFormatting sqref="G5:G14">
    <cfRule type="cellIs" dxfId="51" priority="3" operator="equal">
      <formula>"TRUE"</formula>
    </cfRule>
  </conditionalFormatting>
  <conditionalFormatting sqref="H5:I14">
    <cfRule type="cellIs" dxfId="50" priority="4" operator="equal">
      <formula>"TRUE"</formula>
    </cfRule>
  </conditionalFormatting>
  <conditionalFormatting sqref="I5:I14">
    <cfRule type="cellIs" dxfId="49" priority="5" operator="equal">
      <formula>"TRUE"</formula>
    </cfRule>
  </conditionalFormatting>
  <conditionalFormatting sqref="J5:J14">
    <cfRule type="cellIs" dxfId="48" priority="6" operator="equal">
      <formula>"TRUE"</formula>
    </cfRule>
  </conditionalFormatting>
  <conditionalFormatting sqref="K5:K14">
    <cfRule type="cellIs" dxfId="47" priority="7" operator="equal">
      <formula>"TRUE"</formula>
    </cfRule>
  </conditionalFormatting>
  <conditionalFormatting sqref="L5:L14">
    <cfRule type="cellIs" dxfId="46" priority="8" operator="equal">
      <formula>"TRUE"</formula>
    </cfRule>
  </conditionalFormatting>
  <conditionalFormatting sqref="M5:M14">
    <cfRule type="cellIs" dxfId="45" priority="9" operator="equal">
      <formula>"TRUE"</formula>
    </cfRule>
  </conditionalFormatting>
  <conditionalFormatting sqref="N5:N14">
    <cfRule type="cellIs" dxfId="44" priority="10" operator="equal">
      <formula>"TRUE"</formula>
    </cfRule>
  </conditionalFormatting>
  <conditionalFormatting sqref="O5:O14">
    <cfRule type="cellIs" dxfId="43" priority="11" operator="equal">
      <formula>"TRUE"</formula>
    </cfRule>
  </conditionalFormatting>
  <conditionalFormatting sqref="P5:P14">
    <cfRule type="cellIs" dxfId="42" priority="12" operator="equal">
      <formula>"TRUE"</formula>
    </cfRule>
  </conditionalFormatting>
  <conditionalFormatting sqref="Q5:Q14">
    <cfRule type="cellIs" dxfId="41" priority="13" operator="equal">
      <formula>"TRUE"</formula>
    </cfRule>
  </conditionalFormatting>
  <conditionalFormatting sqref="R5:R14">
    <cfRule type="cellIs" dxfId="40" priority="14" operator="equal">
      <formula>"TRUE"</formula>
    </cfRule>
  </conditionalFormatting>
  <conditionalFormatting sqref="S5:S14">
    <cfRule type="cellIs" dxfId="39" priority="15" operator="equal">
      <formula>"TRUE"</formula>
    </cfRule>
  </conditionalFormatting>
  <conditionalFormatting sqref="T5:T14">
    <cfRule type="cellIs" dxfId="38" priority="16" operator="equal">
      <formula>"TRUE"</formula>
    </cfRule>
  </conditionalFormatting>
  <conditionalFormatting sqref="U5:U14">
    <cfRule type="cellIs" dxfId="37" priority="17" operator="equal">
      <formula>"TRUE"</formula>
    </cfRule>
  </conditionalFormatting>
  <conditionalFormatting sqref="V5:V14">
    <cfRule type="cellIs" dxfId="36" priority="18" operator="equal">
      <formula>"TRUE"</formula>
    </cfRule>
  </conditionalFormatting>
  <pageMargins left="0.7" right="0.7" top="0.75" bottom="0.75" header="0" footer="0"/>
  <pageSetup paperSize="9" fitToWidth="0"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230</v>
      </c>
      <c r="B2" s="83">
        <v>41</v>
      </c>
      <c r="C2" s="103" t="s">
        <v>115</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231</v>
      </c>
      <c r="D5" s="85" t="str">
        <f>_xlfn.TEXTJOIN(", ",TRUE,IF(OR(E5,F5),"1",""),IF(OR(G5,H5,I5,J5),"2",""),IF(OR(K5,L5),"3",""),IF(OR(M5,N5),"4",""),IF(OR(O5,P5),"5",""),IF(OR(Q5,R5,S5,T5),"6",""),IF(OR(U5,V5),"7",""))</f>
        <v>1</v>
      </c>
      <c r="E5" s="107" t="b">
        <v>1</v>
      </c>
      <c r="F5" s="107" t="b">
        <v>1</v>
      </c>
      <c r="G5" s="107" t="b">
        <v>0</v>
      </c>
      <c r="H5" s="107" t="b">
        <v>0</v>
      </c>
      <c r="I5" s="107" t="b">
        <v>0</v>
      </c>
      <c r="J5" s="107" t="b">
        <v>0</v>
      </c>
      <c r="K5" s="107" t="b">
        <v>0</v>
      </c>
      <c r="L5" s="107" t="b">
        <v>0</v>
      </c>
      <c r="M5" s="107" t="b">
        <v>0</v>
      </c>
      <c r="N5" s="107" t="b">
        <v>0</v>
      </c>
      <c r="O5" s="107" t="b">
        <v>0</v>
      </c>
      <c r="P5" s="107" t="b">
        <v>0</v>
      </c>
      <c r="Q5" s="107" t="b">
        <v>0</v>
      </c>
      <c r="R5" s="107" t="b">
        <v>0</v>
      </c>
      <c r="S5" s="107" t="b">
        <v>0</v>
      </c>
      <c r="T5" s="107" t="b">
        <v>0</v>
      </c>
      <c r="U5" s="107" t="b">
        <v>0</v>
      </c>
      <c r="V5" s="107" t="b">
        <v>0</v>
      </c>
      <c r="W5" s="83" t="str" cm="1">
        <f t="array" ref="W5">_xlfn.TEXTJOIN(", ",TRUE,IF(E5:V5,{"PI11","PI12","PI21","PI22","PI23","PI24","PI31","PI32","PI41","PI42","PI51","PI52","PI61","PI62","PI63","PI64","PI71","PI72"},""))</f>
        <v>PI11, PI12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232</v>
      </c>
      <c r="D8" s="85" t="str">
        <f t="shared" si="0"/>
        <v>3</v>
      </c>
      <c r="E8" s="107" t="b">
        <v>0</v>
      </c>
      <c r="F8" s="107" t="b">
        <v>0</v>
      </c>
      <c r="G8" s="107" t="b">
        <v>0</v>
      </c>
      <c r="H8" s="107" t="b">
        <v>0</v>
      </c>
      <c r="I8" s="107" t="b">
        <v>0</v>
      </c>
      <c r="J8" s="107" t="b">
        <v>0</v>
      </c>
      <c r="K8" s="107" t="b">
        <v>1</v>
      </c>
      <c r="L8" s="107" t="b">
        <v>1</v>
      </c>
      <c r="M8" s="107" t="b">
        <v>0</v>
      </c>
      <c r="N8" s="107" t="b">
        <v>0</v>
      </c>
      <c r="O8" s="107" t="b">
        <v>0</v>
      </c>
      <c r="P8" s="107" t="b">
        <v>0</v>
      </c>
      <c r="Q8" s="107" t="b">
        <v>0</v>
      </c>
      <c r="R8" s="107" t="b">
        <v>0</v>
      </c>
      <c r="S8" s="107" t="b">
        <v>0</v>
      </c>
      <c r="T8" s="107" t="b">
        <v>0</v>
      </c>
      <c r="U8" s="107" t="b">
        <v>0</v>
      </c>
      <c r="V8" s="107" t="b">
        <v>0</v>
      </c>
      <c r="W8" s="83" t="str" cm="1">
        <f t="array" ref="W8">_xlfn.TEXTJOIN(", ",TRUE,IF(E8:V8,{"PI11","PI12","PI21","PI22","PI23","PI24","PI31","PI32","PI41","PI42","PI51","PI52","PI61","PI62","PI63","PI64","PI71","PI72"},""))</f>
        <v>PI31, PI32</v>
      </c>
      <c r="X8" s="6"/>
      <c r="Y8" s="6"/>
    </row>
    <row r="9" spans="1:25" ht="45" customHeight="1" x14ac:dyDescent="0.25">
      <c r="A9" s="143"/>
      <c r="B9" s="99">
        <v>2.2000000000000002</v>
      </c>
      <c r="C9" s="100" t="s">
        <v>233</v>
      </c>
      <c r="D9" s="85" t="str">
        <f t="shared" si="0"/>
        <v>1</v>
      </c>
      <c r="E9" s="107" t="b">
        <v>1</v>
      </c>
      <c r="F9" s="107" t="b">
        <v>1</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0</v>
      </c>
      <c r="V9" s="107" t="b">
        <v>0</v>
      </c>
      <c r="W9" s="83" t="str" cm="1">
        <f t="array" ref="W9">_xlfn.TEXTJOIN(", ",TRUE,IF(E9:V9,{"PI11","PI12","PI21","PI22","PI23","PI24","PI31","PI32","PI41","PI42","PI51","PI52","PI61","PI62","PI63","PI64","PI71","PI72"},""))</f>
        <v>PI11, PI12</v>
      </c>
      <c r="X9" s="6"/>
      <c r="Y9" s="6"/>
    </row>
    <row r="10" spans="1:25" ht="45" customHeight="1" x14ac:dyDescent="0.25">
      <c r="A10" s="143"/>
      <c r="B10" s="99"/>
      <c r="C10" s="100"/>
      <c r="D10" s="85" t="str">
        <f t="shared" si="0"/>
        <v/>
      </c>
      <c r="E10" s="107" t="b">
        <v>0</v>
      </c>
      <c r="F10" s="107" t="b">
        <v>0</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0</v>
      </c>
      <c r="V10" s="107" t="b">
        <v>0</v>
      </c>
      <c r="W10" s="83" t="str" cm="1">
        <f t="array" ref="W10">_xlfn.TEXTJOIN(", ",TRUE,IF(E10:V10,{"PI11","PI12","PI21","PI22","PI23","PI24","PI31","PI32","PI41","PI42","PI51","PI52","PI61","PI62","PI63","PI64","PI71","PI72"},""))</f>
        <v/>
      </c>
      <c r="X10" s="6"/>
      <c r="Y10" s="6"/>
    </row>
    <row r="11" spans="1:25" ht="45" customHeight="1" x14ac:dyDescent="0.25">
      <c r="A11" s="143"/>
      <c r="B11" s="99"/>
      <c r="C11" s="100"/>
      <c r="D11" s="85" t="str">
        <f t="shared" si="0"/>
        <v/>
      </c>
      <c r="E11" s="107" t="b">
        <v>0</v>
      </c>
      <c r="F11" s="107" t="b">
        <v>0</v>
      </c>
      <c r="G11" s="107" t="b">
        <v>0</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0</v>
      </c>
      <c r="V11" s="107" t="b">
        <v>0</v>
      </c>
      <c r="W11" s="83" t="str" cm="1">
        <f t="array" ref="W11">_xlfn.TEXTJOIN(", ",TRUE,IF(E11:V11,{"PI11","PI12","PI21","PI22","PI23","PI24","PI31","PI32","PI41","PI42","PI51","PI52","PI61","PI62","PI63","PI64","PI71","PI72"},""))</f>
        <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02" t="s">
        <v>234</v>
      </c>
      <c r="D13" s="85" t="str">
        <f t="shared" si="0"/>
        <v>7</v>
      </c>
      <c r="E13" s="107" t="b">
        <v>0</v>
      </c>
      <c r="F13" s="107" t="b">
        <v>0</v>
      </c>
      <c r="G13" s="107" t="b">
        <v>0</v>
      </c>
      <c r="H13" s="107" t="b">
        <v>0</v>
      </c>
      <c r="I13" s="107" t="b">
        <v>0</v>
      </c>
      <c r="J13" s="107" t="b">
        <v>0</v>
      </c>
      <c r="K13" s="107" t="b">
        <v>0</v>
      </c>
      <c r="L13" s="107" t="b">
        <v>0</v>
      </c>
      <c r="M13" s="107" t="b">
        <v>0</v>
      </c>
      <c r="N13" s="107" t="b">
        <v>0</v>
      </c>
      <c r="O13" s="107" t="b">
        <v>0</v>
      </c>
      <c r="P13" s="107" t="b">
        <v>0</v>
      </c>
      <c r="Q13" s="107" t="b">
        <v>0</v>
      </c>
      <c r="R13" s="107" t="b">
        <v>0</v>
      </c>
      <c r="S13" s="107" t="b">
        <v>0</v>
      </c>
      <c r="T13" s="107" t="b">
        <v>0</v>
      </c>
      <c r="U13" s="107" t="b">
        <v>1</v>
      </c>
      <c r="V13" s="107" t="b">
        <v>0</v>
      </c>
      <c r="W13" s="83" t="str" cm="1">
        <f t="array" ref="W13">_xlfn.TEXTJOIN(", ",TRUE,IF(E13:V13,{"PI11","PI12","PI21","PI22","PI23","PI24","PI31","PI32","PI41","PI42","PI51","PI52","PI61","PI62","PI63","PI64","PI71","PI72"},""))</f>
        <v>PI71</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Renewable Energy Engineering</v>
      </c>
      <c r="D15" s="85" t="str">
        <f>A2</f>
        <v>EE 456</v>
      </c>
      <c r="E15" s="68" t="str">
        <f t="shared" ref="E15:V15" si="1">IF(COUNTIF(E$5:E$14,TRUE)&gt;0,$D$2,"")</f>
        <v>M</v>
      </c>
      <c r="F15" s="69" t="str">
        <f t="shared" si="1"/>
        <v>M</v>
      </c>
      <c r="G15" s="70" t="str">
        <f t="shared" si="1"/>
        <v/>
      </c>
      <c r="H15" s="71" t="str">
        <f t="shared" si="1"/>
        <v/>
      </c>
      <c r="I15" s="72" t="str">
        <f t="shared" si="1"/>
        <v/>
      </c>
      <c r="J15" s="73" t="str">
        <f t="shared" si="1"/>
        <v/>
      </c>
      <c r="K15" s="74" t="str">
        <f t="shared" si="1"/>
        <v>M</v>
      </c>
      <c r="L15" s="86" t="str">
        <f t="shared" si="1"/>
        <v>M</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M</v>
      </c>
      <c r="V15" s="96" t="str">
        <f t="shared" si="1"/>
        <v/>
      </c>
      <c r="W15" s="6"/>
      <c r="X15" s="6"/>
      <c r="Y15" s="6"/>
    </row>
    <row r="16" spans="1:25" ht="30" customHeight="1" x14ac:dyDescent="0.25">
      <c r="A16" s="103" t="s">
        <v>136</v>
      </c>
      <c r="B16" s="103"/>
      <c r="C16" s="83" t="str">
        <f>C2</f>
        <v>Renewable Energy Engineering</v>
      </c>
      <c r="D16" s="85" t="str">
        <f>A2</f>
        <v>EE 456</v>
      </c>
      <c r="E16" s="147" t="str">
        <f>IF(COUNTIF(E$5:F$14,TRUE)&gt;0,$D$2,"")</f>
        <v>M</v>
      </c>
      <c r="F16" s="125"/>
      <c r="G16" s="148" t="str">
        <f>IF(COUNTIF(G$5:J$14,TRUE)&gt;0,$D$2,"")</f>
        <v/>
      </c>
      <c r="H16" s="129"/>
      <c r="I16" s="129"/>
      <c r="J16" s="125"/>
      <c r="K16" s="149" t="str">
        <f>IF(COUNTIF(K$5:L$14,TRUE)&gt;0,$D$2,"")</f>
        <v>M</v>
      </c>
      <c r="L16" s="125"/>
      <c r="M16" s="137" t="str">
        <f>IF(COUNTIF(M$5:N$14,TRUE)&gt;0,$D$2,"")</f>
        <v/>
      </c>
      <c r="N16" s="125"/>
      <c r="O16" s="138" t="str">
        <f>IF(COUNTIF(O$5:P$14,TRUE)&gt;0,$D$2,"")</f>
        <v/>
      </c>
      <c r="P16" s="125"/>
      <c r="Q16" s="139" t="str">
        <f>IF(COUNTIF(Q$5:T$14,TRUE)&gt;0,$D$2,"")</f>
        <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35" priority="1" operator="equal">
      <formula>"TRUE"</formula>
    </cfRule>
  </conditionalFormatting>
  <conditionalFormatting sqref="F5:F14">
    <cfRule type="cellIs" dxfId="34" priority="2" operator="equal">
      <formula>"TRUE"</formula>
    </cfRule>
  </conditionalFormatting>
  <conditionalFormatting sqref="G5:G14">
    <cfRule type="cellIs" dxfId="33" priority="3" operator="equal">
      <formula>"TRUE"</formula>
    </cfRule>
  </conditionalFormatting>
  <conditionalFormatting sqref="H5:I14">
    <cfRule type="cellIs" dxfId="32" priority="4" operator="equal">
      <formula>"TRUE"</formula>
    </cfRule>
  </conditionalFormatting>
  <conditionalFormatting sqref="I5:I14">
    <cfRule type="cellIs" dxfId="31" priority="5" operator="equal">
      <formula>"TRUE"</formula>
    </cfRule>
  </conditionalFormatting>
  <conditionalFormatting sqref="J5:J14">
    <cfRule type="cellIs" dxfId="30" priority="6" operator="equal">
      <formula>"TRUE"</formula>
    </cfRule>
  </conditionalFormatting>
  <conditionalFormatting sqref="K5:K14">
    <cfRule type="cellIs" dxfId="29" priority="7" operator="equal">
      <formula>"TRUE"</formula>
    </cfRule>
  </conditionalFormatting>
  <conditionalFormatting sqref="L5:L14">
    <cfRule type="cellIs" dxfId="28" priority="8" operator="equal">
      <formula>"TRUE"</formula>
    </cfRule>
  </conditionalFormatting>
  <conditionalFormatting sqref="M5:M14">
    <cfRule type="cellIs" dxfId="27" priority="9" operator="equal">
      <formula>"TRUE"</formula>
    </cfRule>
  </conditionalFormatting>
  <conditionalFormatting sqref="N5:N14">
    <cfRule type="cellIs" dxfId="26" priority="10" operator="equal">
      <formula>"TRUE"</formula>
    </cfRule>
  </conditionalFormatting>
  <conditionalFormatting sqref="O5:O14">
    <cfRule type="cellIs" dxfId="25" priority="11" operator="equal">
      <formula>"TRUE"</formula>
    </cfRule>
  </conditionalFormatting>
  <conditionalFormatting sqref="P5:P14">
    <cfRule type="cellIs" dxfId="24" priority="12" operator="equal">
      <formula>"TRUE"</formula>
    </cfRule>
  </conditionalFormatting>
  <conditionalFormatting sqref="Q5:Q14">
    <cfRule type="cellIs" dxfId="23" priority="13" operator="equal">
      <formula>"TRUE"</formula>
    </cfRule>
  </conditionalFormatting>
  <conditionalFormatting sqref="R5:R14">
    <cfRule type="cellIs" dxfId="22" priority="14" operator="equal">
      <formula>"TRUE"</formula>
    </cfRule>
  </conditionalFormatting>
  <conditionalFormatting sqref="S5:S14">
    <cfRule type="cellIs" dxfId="21" priority="15" operator="equal">
      <formula>"TRUE"</formula>
    </cfRule>
  </conditionalFormatting>
  <conditionalFormatting sqref="T5:T14">
    <cfRule type="cellIs" dxfId="20" priority="16" operator="equal">
      <formula>"TRUE"</formula>
    </cfRule>
  </conditionalFormatting>
  <conditionalFormatting sqref="U5:U14">
    <cfRule type="cellIs" dxfId="19" priority="17" operator="equal">
      <formula>"TRUE"</formula>
    </cfRule>
  </conditionalFormatting>
  <conditionalFormatting sqref="V5:V14">
    <cfRule type="cellIs" dxfId="18" priority="18" operator="equal">
      <formula>"TRUE"</formula>
    </cfRule>
  </conditionalFormatting>
  <pageMargins left="0.7" right="0.7" top="0.75" bottom="0.75" header="0" footer="0"/>
  <pageSetup paperSize="9" fitToWidth="0"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Y1000"/>
  <sheetViews>
    <sheetView zoomScale="55" zoomScaleNormal="55" workbookViewId="0">
      <selection activeCell="B3" sqref="B3:B4"/>
    </sheetView>
  </sheetViews>
  <sheetFormatPr defaultColWidth="14.42578125" defaultRowHeight="15" customHeight="1" x14ac:dyDescent="0.25"/>
  <cols>
    <col min="1" max="1" width="21.7109375" customWidth="1"/>
    <col min="2" max="2" width="5.28515625" customWidth="1"/>
    <col min="3" max="3" width="56.42578125" customWidth="1"/>
    <col min="4" max="4" width="18.85546875" customWidth="1"/>
    <col min="5" max="22" width="8.7109375" customWidth="1"/>
    <col min="23" max="23" width="36.42578125" customWidth="1"/>
    <col min="24" max="26" width="8.7109375" customWidth="1"/>
  </cols>
  <sheetData>
    <row r="1" spans="1:25" ht="30" customHeight="1" x14ac:dyDescent="0.25">
      <c r="A1" s="103" t="s">
        <v>117</v>
      </c>
      <c r="B1" s="83" t="s">
        <v>118</v>
      </c>
      <c r="C1" s="84" t="s">
        <v>74</v>
      </c>
      <c r="D1" s="85" t="s">
        <v>119</v>
      </c>
      <c r="E1" s="130" t="s">
        <v>120</v>
      </c>
      <c r="F1" s="131"/>
      <c r="G1" s="131"/>
      <c r="H1" s="131"/>
      <c r="I1" s="131"/>
      <c r="J1" s="131"/>
      <c r="K1" s="131"/>
      <c r="L1" s="131"/>
      <c r="M1" s="131"/>
      <c r="N1" s="131"/>
      <c r="O1" s="131"/>
      <c r="P1" s="131"/>
      <c r="Q1" s="131"/>
      <c r="R1" s="131"/>
      <c r="S1" s="131"/>
      <c r="T1" s="131"/>
      <c r="U1" s="131"/>
      <c r="V1" s="132"/>
      <c r="W1" s="6"/>
      <c r="X1" s="6"/>
      <c r="Y1" s="6"/>
    </row>
    <row r="2" spans="1:25" ht="30" customHeight="1" x14ac:dyDescent="0.25">
      <c r="A2" s="103" t="s">
        <v>235</v>
      </c>
      <c r="B2" s="83">
        <v>42</v>
      </c>
      <c r="C2" s="103" t="s">
        <v>116</v>
      </c>
      <c r="D2" s="83" t="s">
        <v>193</v>
      </c>
      <c r="E2" s="133"/>
      <c r="F2" s="134"/>
      <c r="G2" s="134"/>
      <c r="H2" s="134"/>
      <c r="I2" s="134"/>
      <c r="J2" s="134"/>
      <c r="K2" s="134"/>
      <c r="L2" s="134"/>
      <c r="M2" s="134"/>
      <c r="N2" s="134"/>
      <c r="O2" s="134"/>
      <c r="P2" s="134"/>
      <c r="Q2" s="134"/>
      <c r="R2" s="134"/>
      <c r="S2" s="134"/>
      <c r="T2" s="134"/>
      <c r="U2" s="134"/>
      <c r="V2" s="135"/>
      <c r="W2" s="6"/>
      <c r="X2" s="6"/>
      <c r="Y2" s="6"/>
    </row>
    <row r="3" spans="1:25" ht="30" customHeight="1" x14ac:dyDescent="0.25">
      <c r="A3" s="140" t="s">
        <v>122</v>
      </c>
      <c r="B3" s="140"/>
      <c r="C3" s="140" t="s">
        <v>123</v>
      </c>
      <c r="D3" s="151" t="s">
        <v>124</v>
      </c>
      <c r="E3" s="152" t="s">
        <v>7</v>
      </c>
      <c r="F3" s="125"/>
      <c r="G3" s="153" t="s">
        <v>16</v>
      </c>
      <c r="H3" s="129"/>
      <c r="I3" s="129"/>
      <c r="J3" s="125"/>
      <c r="K3" s="124" t="s">
        <v>28</v>
      </c>
      <c r="L3" s="125"/>
      <c r="M3" s="126" t="s">
        <v>35</v>
      </c>
      <c r="N3" s="125"/>
      <c r="O3" s="127" t="s">
        <v>43</v>
      </c>
      <c r="P3" s="125"/>
      <c r="Q3" s="128" t="s">
        <v>53</v>
      </c>
      <c r="R3" s="129"/>
      <c r="S3" s="129"/>
      <c r="T3" s="125"/>
      <c r="U3" s="136" t="s">
        <v>67</v>
      </c>
      <c r="V3" s="125"/>
      <c r="W3" s="6"/>
      <c r="X3" s="6"/>
      <c r="Y3" s="6"/>
    </row>
    <row r="4" spans="1:25" ht="30" customHeight="1" x14ac:dyDescent="0.25">
      <c r="A4" s="141"/>
      <c r="B4" s="150"/>
      <c r="C4" s="150"/>
      <c r="D4" s="141"/>
      <c r="E4" s="68" t="s">
        <v>9</v>
      </c>
      <c r="F4" s="69" t="s">
        <v>13</v>
      </c>
      <c r="G4" s="70" t="s">
        <v>18</v>
      </c>
      <c r="H4" s="71" t="s">
        <v>22</v>
      </c>
      <c r="I4" s="72" t="s">
        <v>24</v>
      </c>
      <c r="J4" s="73" t="s">
        <v>26</v>
      </c>
      <c r="K4" s="74" t="s">
        <v>30</v>
      </c>
      <c r="L4" s="86" t="s">
        <v>33</v>
      </c>
      <c r="M4" s="87" t="s">
        <v>37</v>
      </c>
      <c r="N4" s="88" t="s">
        <v>41</v>
      </c>
      <c r="O4" s="89" t="s">
        <v>45</v>
      </c>
      <c r="P4" s="90" t="s">
        <v>50</v>
      </c>
      <c r="Q4" s="91" t="s">
        <v>55</v>
      </c>
      <c r="R4" s="92" t="s">
        <v>60</v>
      </c>
      <c r="S4" s="93" t="s">
        <v>62</v>
      </c>
      <c r="T4" s="94" t="s">
        <v>64</v>
      </c>
      <c r="U4" s="95" t="s">
        <v>69</v>
      </c>
      <c r="V4" s="96" t="s">
        <v>71</v>
      </c>
      <c r="W4" s="83" t="s">
        <v>125</v>
      </c>
      <c r="X4" s="6"/>
      <c r="Y4" s="6"/>
    </row>
    <row r="5" spans="1:25" ht="45" customHeight="1" x14ac:dyDescent="0.25">
      <c r="A5" s="142" t="s">
        <v>126</v>
      </c>
      <c r="B5" s="97">
        <v>1.1000000000000001</v>
      </c>
      <c r="C5" s="98" t="s">
        <v>275</v>
      </c>
      <c r="D5" s="85" t="str">
        <f>_xlfn.TEXTJOIN(", ",TRUE,IF(OR(E5,F5),"1",""),IF(OR(G5,H5,I5,J5),"2",""),IF(OR(K5,L5),"3",""),IF(OR(M5,N5),"4",""),IF(OR(O5,P5),"5",""),IF(OR(Q5,R5,S5,T5),"6",""),IF(OR(U5,V5),"7",""))</f>
        <v>1, 3, 7</v>
      </c>
      <c r="E5" s="107" t="b">
        <v>1</v>
      </c>
      <c r="F5" s="107" t="b">
        <v>1</v>
      </c>
      <c r="G5" s="107" t="b">
        <v>0</v>
      </c>
      <c r="H5" s="107" t="b">
        <v>0</v>
      </c>
      <c r="I5" s="107" t="b">
        <v>0</v>
      </c>
      <c r="J5" s="107" t="b">
        <v>0</v>
      </c>
      <c r="K5" s="107" t="b">
        <v>1</v>
      </c>
      <c r="L5" s="107" t="b">
        <v>1</v>
      </c>
      <c r="M5" s="107" t="b">
        <v>0</v>
      </c>
      <c r="N5" s="107" t="b">
        <v>0</v>
      </c>
      <c r="O5" s="107" t="b">
        <v>0</v>
      </c>
      <c r="P5" s="107" t="b">
        <v>0</v>
      </c>
      <c r="Q5" s="107" t="b">
        <v>0</v>
      </c>
      <c r="R5" s="107" t="b">
        <v>0</v>
      </c>
      <c r="S5" s="107" t="b">
        <v>0</v>
      </c>
      <c r="T5" s="107" t="b">
        <v>0</v>
      </c>
      <c r="U5" s="107" t="b">
        <v>1</v>
      </c>
      <c r="V5" s="107" t="b">
        <v>1</v>
      </c>
      <c r="W5" s="83" t="str" cm="1">
        <f t="array" ref="W5">_xlfn.TEXTJOIN(", ",TRUE,IF(E5:V5,{"PI11","PI12","PI21","PI22","PI23","PI24","PI31","PI32","PI41","PI42","PI51","PI52","PI61","PI62","PI63","PI64","PI71","PI72"},""))</f>
        <v>PI11, PI12, PI31, PI32, PI71, PI72</v>
      </c>
      <c r="X5" s="6"/>
      <c r="Y5" s="6"/>
    </row>
    <row r="6" spans="1:25" ht="45" customHeight="1" x14ac:dyDescent="0.25">
      <c r="A6" s="143"/>
      <c r="B6" s="97"/>
      <c r="C6" s="98"/>
      <c r="D6" s="85" t="str">
        <f t="shared" ref="D6:D14" si="0">_xlfn.TEXTJOIN(", ",TRUE,IF(OR(E6,F6),"1",""),IF(OR(G6,H6,I6,J6),"2",""),IF(OR(K6,L6),"3",""),IF(OR(M6,N6),"4",""),IF(OR(O6,P6),"5",""),IF(OR(Q6,R6,S6,T6),"6",""),IF(OR(U6,V6),"7",""))</f>
        <v/>
      </c>
      <c r="E6" s="107" t="b">
        <v>0</v>
      </c>
      <c r="F6" s="107" t="b">
        <v>0</v>
      </c>
      <c r="G6" s="107" t="b">
        <v>0</v>
      </c>
      <c r="H6" s="107" t="b">
        <v>0</v>
      </c>
      <c r="I6" s="107" t="b">
        <v>0</v>
      </c>
      <c r="J6" s="107" t="b">
        <v>0</v>
      </c>
      <c r="K6" s="107" t="b">
        <v>0</v>
      </c>
      <c r="L6" s="107" t="b">
        <v>0</v>
      </c>
      <c r="M6" s="107" t="b">
        <v>0</v>
      </c>
      <c r="N6" s="107" t="b">
        <v>0</v>
      </c>
      <c r="O6" s="107" t="b">
        <v>0</v>
      </c>
      <c r="P6" s="107" t="b">
        <v>0</v>
      </c>
      <c r="Q6" s="107" t="b">
        <v>0</v>
      </c>
      <c r="R6" s="107" t="b">
        <v>0</v>
      </c>
      <c r="S6" s="107" t="b">
        <v>0</v>
      </c>
      <c r="T6" s="107" t="b">
        <v>0</v>
      </c>
      <c r="U6" s="107" t="b">
        <v>0</v>
      </c>
      <c r="V6" s="107" t="b">
        <v>0</v>
      </c>
      <c r="W6" s="83" t="str" cm="1">
        <f t="array" ref="W6">_xlfn.TEXTJOIN(", ",TRUE,IF(E6:V6,{"PI11","PI12","PI21","PI22","PI23","PI24","PI31","PI32","PI41","PI42","PI51","PI52","PI61","PI62","PI63","PI64","PI71","PI72"},""))</f>
        <v/>
      </c>
      <c r="X6" s="6"/>
      <c r="Y6" s="6"/>
    </row>
    <row r="7" spans="1:25" ht="45" customHeight="1" x14ac:dyDescent="0.25">
      <c r="A7" s="144"/>
      <c r="B7" s="97"/>
      <c r="C7" s="98"/>
      <c r="D7" s="85" t="str">
        <f t="shared" si="0"/>
        <v/>
      </c>
      <c r="E7" s="107" t="b">
        <v>0</v>
      </c>
      <c r="F7" s="107" t="b">
        <v>0</v>
      </c>
      <c r="G7" s="107" t="b">
        <v>0</v>
      </c>
      <c r="H7" s="107" t="b">
        <v>0</v>
      </c>
      <c r="I7" s="107" t="b">
        <v>0</v>
      </c>
      <c r="J7" s="107" t="b">
        <v>0</v>
      </c>
      <c r="K7" s="107" t="b">
        <v>0</v>
      </c>
      <c r="L7" s="107" t="b">
        <v>0</v>
      </c>
      <c r="M7" s="107" t="b">
        <v>0</v>
      </c>
      <c r="N7" s="107" t="b">
        <v>0</v>
      </c>
      <c r="O7" s="107" t="b">
        <v>0</v>
      </c>
      <c r="P7" s="107" t="b">
        <v>0</v>
      </c>
      <c r="Q7" s="107" t="b">
        <v>0</v>
      </c>
      <c r="R7" s="107" t="b">
        <v>0</v>
      </c>
      <c r="S7" s="107" t="b">
        <v>0</v>
      </c>
      <c r="T7" s="107" t="b">
        <v>0</v>
      </c>
      <c r="U7" s="107" t="b">
        <v>0</v>
      </c>
      <c r="V7" s="107" t="b">
        <v>0</v>
      </c>
      <c r="W7" s="83" t="str" cm="1">
        <f t="array" ref="W7">_xlfn.TEXTJOIN(", ",TRUE,IF(E7:V7,{"PI11","PI12","PI21","PI22","PI23","PI24","PI31","PI32","PI41","PI42","PI51","PI52","PI61","PI62","PI63","PI64","PI71","PI72"},""))</f>
        <v/>
      </c>
      <c r="X7" s="6"/>
      <c r="Y7" s="6"/>
    </row>
    <row r="8" spans="1:25" ht="45" customHeight="1" x14ac:dyDescent="0.25">
      <c r="A8" s="145" t="s">
        <v>128</v>
      </c>
      <c r="B8" s="99">
        <v>2.1</v>
      </c>
      <c r="C8" s="100" t="s">
        <v>276</v>
      </c>
      <c r="D8" s="85" t="str">
        <f t="shared" si="0"/>
        <v>1, 7</v>
      </c>
      <c r="E8" s="107" t="b">
        <v>1</v>
      </c>
      <c r="F8" s="107" t="b">
        <v>1</v>
      </c>
      <c r="G8" s="107" t="b">
        <v>0</v>
      </c>
      <c r="H8" s="107" t="b">
        <v>0</v>
      </c>
      <c r="I8" s="107" t="b">
        <v>0</v>
      </c>
      <c r="J8" s="107" t="b">
        <v>0</v>
      </c>
      <c r="K8" s="107" t="b">
        <v>0</v>
      </c>
      <c r="L8" s="107" t="b">
        <v>0</v>
      </c>
      <c r="M8" s="107" t="b">
        <v>0</v>
      </c>
      <c r="N8" s="107" t="b">
        <v>0</v>
      </c>
      <c r="O8" s="107" t="b">
        <v>0</v>
      </c>
      <c r="P8" s="107" t="b">
        <v>0</v>
      </c>
      <c r="Q8" s="107" t="b">
        <v>0</v>
      </c>
      <c r="R8" s="107" t="b">
        <v>0</v>
      </c>
      <c r="S8" s="107" t="b">
        <v>0</v>
      </c>
      <c r="T8" s="107" t="b">
        <v>0</v>
      </c>
      <c r="U8" s="107" t="b">
        <v>1</v>
      </c>
      <c r="V8" s="107" t="b">
        <v>1</v>
      </c>
      <c r="W8" s="83" t="str" cm="1">
        <f t="array" ref="W8">_xlfn.TEXTJOIN(", ",TRUE,IF(E8:V8,{"PI11","PI12","PI21","PI22","PI23","PI24","PI31","PI32","PI41","PI42","PI51","PI52","PI61","PI62","PI63","PI64","PI71","PI72"},""))</f>
        <v>PI11, PI12, PI71, PI72</v>
      </c>
      <c r="X8" s="6"/>
      <c r="Y8" s="6"/>
    </row>
    <row r="9" spans="1:25" ht="45" customHeight="1" x14ac:dyDescent="0.25">
      <c r="A9" s="143"/>
      <c r="B9" s="99">
        <v>2.2000000000000002</v>
      </c>
      <c r="C9" s="100" t="s">
        <v>277</v>
      </c>
      <c r="D9" s="85" t="str">
        <f t="shared" si="0"/>
        <v>1, 7</v>
      </c>
      <c r="E9" s="107" t="b">
        <v>1</v>
      </c>
      <c r="F9" s="107" t="b">
        <v>1</v>
      </c>
      <c r="G9" s="107" t="b">
        <v>0</v>
      </c>
      <c r="H9" s="107" t="b">
        <v>0</v>
      </c>
      <c r="I9" s="107" t="b">
        <v>0</v>
      </c>
      <c r="J9" s="107" t="b">
        <v>0</v>
      </c>
      <c r="K9" s="107" t="b">
        <v>0</v>
      </c>
      <c r="L9" s="107" t="b">
        <v>0</v>
      </c>
      <c r="M9" s="107" t="b">
        <v>0</v>
      </c>
      <c r="N9" s="107" t="b">
        <v>0</v>
      </c>
      <c r="O9" s="107" t="b">
        <v>0</v>
      </c>
      <c r="P9" s="107" t="b">
        <v>0</v>
      </c>
      <c r="Q9" s="107" t="b">
        <v>0</v>
      </c>
      <c r="R9" s="107" t="b">
        <v>0</v>
      </c>
      <c r="S9" s="107" t="b">
        <v>0</v>
      </c>
      <c r="T9" s="107" t="b">
        <v>0</v>
      </c>
      <c r="U9" s="107" t="b">
        <v>1</v>
      </c>
      <c r="V9" s="107" t="b">
        <v>1</v>
      </c>
      <c r="W9" s="83" t="str" cm="1">
        <f t="array" ref="W9">_xlfn.TEXTJOIN(", ",TRUE,IF(E9:V9,{"PI11","PI12","PI21","PI22","PI23","PI24","PI31","PI32","PI41","PI42","PI51","PI52","PI61","PI62","PI63","PI64","PI71","PI72"},""))</f>
        <v>PI11, PI12, PI71, PI72</v>
      </c>
      <c r="X9" s="6"/>
      <c r="Y9" s="6"/>
    </row>
    <row r="10" spans="1:25" ht="45" customHeight="1" x14ac:dyDescent="0.25">
      <c r="A10" s="143"/>
      <c r="B10" s="99">
        <v>2.2999999999999998</v>
      </c>
      <c r="C10" s="100" t="s">
        <v>278</v>
      </c>
      <c r="D10" s="85" t="str">
        <f t="shared" si="0"/>
        <v>1, 7</v>
      </c>
      <c r="E10" s="107" t="b">
        <v>1</v>
      </c>
      <c r="F10" s="107" t="b">
        <v>1</v>
      </c>
      <c r="G10" s="107" t="b">
        <v>0</v>
      </c>
      <c r="H10" s="107" t="b">
        <v>0</v>
      </c>
      <c r="I10" s="107" t="b">
        <v>0</v>
      </c>
      <c r="J10" s="107" t="b">
        <v>0</v>
      </c>
      <c r="K10" s="107" t="b">
        <v>0</v>
      </c>
      <c r="L10" s="107" t="b">
        <v>0</v>
      </c>
      <c r="M10" s="107" t="b">
        <v>0</v>
      </c>
      <c r="N10" s="107" t="b">
        <v>0</v>
      </c>
      <c r="O10" s="107" t="b">
        <v>0</v>
      </c>
      <c r="P10" s="107" t="b">
        <v>0</v>
      </c>
      <c r="Q10" s="107" t="b">
        <v>0</v>
      </c>
      <c r="R10" s="107" t="b">
        <v>0</v>
      </c>
      <c r="S10" s="107" t="b">
        <v>0</v>
      </c>
      <c r="T10" s="107" t="b">
        <v>0</v>
      </c>
      <c r="U10" s="107" t="b">
        <v>1</v>
      </c>
      <c r="V10" s="107" t="b">
        <v>1</v>
      </c>
      <c r="W10" s="83" t="str" cm="1">
        <f t="array" ref="W10">_xlfn.TEXTJOIN(", ",TRUE,IF(E10:V10,{"PI11","PI12","PI21","PI22","PI23","PI24","PI31","PI32","PI41","PI42","PI51","PI52","PI61","PI62","PI63","PI64","PI71","PI72"},""))</f>
        <v>PI11, PI12, PI71, PI72</v>
      </c>
      <c r="X10" s="6"/>
      <c r="Y10" s="6"/>
    </row>
    <row r="11" spans="1:25" ht="45" customHeight="1" x14ac:dyDescent="0.25">
      <c r="A11" s="143"/>
      <c r="B11" s="99">
        <v>2.4</v>
      </c>
      <c r="C11" s="110" t="s">
        <v>279</v>
      </c>
      <c r="D11" s="85" t="str">
        <f t="shared" si="0"/>
        <v>2, 7</v>
      </c>
      <c r="E11" s="107" t="b">
        <v>0</v>
      </c>
      <c r="F11" s="107" t="b">
        <v>0</v>
      </c>
      <c r="G11" s="107" t="b">
        <v>1</v>
      </c>
      <c r="H11" s="107" t="b">
        <v>0</v>
      </c>
      <c r="I11" s="107" t="b">
        <v>0</v>
      </c>
      <c r="J11" s="107" t="b">
        <v>0</v>
      </c>
      <c r="K11" s="107" t="b">
        <v>0</v>
      </c>
      <c r="L11" s="107" t="b">
        <v>0</v>
      </c>
      <c r="M11" s="107" t="b">
        <v>0</v>
      </c>
      <c r="N11" s="107" t="b">
        <v>0</v>
      </c>
      <c r="O11" s="107" t="b">
        <v>0</v>
      </c>
      <c r="P11" s="107" t="b">
        <v>0</v>
      </c>
      <c r="Q11" s="107" t="b">
        <v>0</v>
      </c>
      <c r="R11" s="107" t="b">
        <v>0</v>
      </c>
      <c r="S11" s="107" t="b">
        <v>0</v>
      </c>
      <c r="T11" s="107" t="b">
        <v>0</v>
      </c>
      <c r="U11" s="107" t="b">
        <v>1</v>
      </c>
      <c r="V11" s="107" t="b">
        <v>1</v>
      </c>
      <c r="W11" s="83" t="str" cm="1">
        <f t="array" ref="W11">_xlfn.TEXTJOIN(", ",TRUE,IF(E11:V11,{"PI11","PI12","PI21","PI22","PI23","PI24","PI31","PI32","PI41","PI42","PI51","PI52","PI61","PI62","PI63","PI64","PI71","PI72"},""))</f>
        <v>PI21, PI71, PI72</v>
      </c>
      <c r="X11" s="6"/>
      <c r="Y11" s="6"/>
    </row>
    <row r="12" spans="1:25" ht="45" customHeight="1" x14ac:dyDescent="0.25">
      <c r="A12" s="144"/>
      <c r="B12" s="99"/>
      <c r="C12" s="100"/>
      <c r="D12" s="85" t="str">
        <f t="shared" si="0"/>
        <v/>
      </c>
      <c r="E12" s="107" t="b">
        <v>0</v>
      </c>
      <c r="F12" s="107" t="b">
        <v>0</v>
      </c>
      <c r="G12" s="107" t="b">
        <v>0</v>
      </c>
      <c r="H12" s="107" t="b">
        <v>0</v>
      </c>
      <c r="I12" s="107" t="b">
        <v>0</v>
      </c>
      <c r="J12" s="107" t="b">
        <v>0</v>
      </c>
      <c r="K12" s="107" t="b">
        <v>0</v>
      </c>
      <c r="L12" s="107" t="b">
        <v>0</v>
      </c>
      <c r="M12" s="107" t="b">
        <v>0</v>
      </c>
      <c r="N12" s="107" t="b">
        <v>0</v>
      </c>
      <c r="O12" s="107" t="b">
        <v>0</v>
      </c>
      <c r="P12" s="107" t="b">
        <v>0</v>
      </c>
      <c r="Q12" s="107" t="b">
        <v>0</v>
      </c>
      <c r="R12" s="107" t="b">
        <v>0</v>
      </c>
      <c r="S12" s="107" t="b">
        <v>0</v>
      </c>
      <c r="T12" s="107" t="b">
        <v>0</v>
      </c>
      <c r="U12" s="107" t="b">
        <v>0</v>
      </c>
      <c r="V12" s="107" t="b">
        <v>0</v>
      </c>
      <c r="W12" s="83" t="str" cm="1">
        <f t="array" ref="W12">_xlfn.TEXTJOIN(", ",TRUE,IF(E12:V12,{"PI11","PI12","PI21","PI22","PI23","PI24","PI31","PI32","PI41","PI42","PI51","PI52","PI61","PI62","PI63","PI64","PI71","PI72"},""))</f>
        <v/>
      </c>
      <c r="X12" s="6"/>
      <c r="Y12" s="6"/>
    </row>
    <row r="13" spans="1:25" ht="45" customHeight="1" x14ac:dyDescent="0.25">
      <c r="A13" s="146" t="s">
        <v>132</v>
      </c>
      <c r="B13" s="101">
        <v>3.1</v>
      </c>
      <c r="C13" s="113" t="s">
        <v>280</v>
      </c>
      <c r="D13" s="85" t="str">
        <f t="shared" si="0"/>
        <v>3, 7</v>
      </c>
      <c r="E13" s="107" t="b">
        <v>0</v>
      </c>
      <c r="F13" s="107" t="b">
        <v>0</v>
      </c>
      <c r="G13" s="107" t="b">
        <v>0</v>
      </c>
      <c r="H13" s="107" t="b">
        <v>0</v>
      </c>
      <c r="I13" s="107" t="b">
        <v>0</v>
      </c>
      <c r="J13" s="107" t="b">
        <v>0</v>
      </c>
      <c r="K13" s="107" t="b">
        <v>1</v>
      </c>
      <c r="L13" s="107" t="b">
        <v>1</v>
      </c>
      <c r="M13" s="107" t="b">
        <v>0</v>
      </c>
      <c r="N13" s="107" t="b">
        <v>0</v>
      </c>
      <c r="O13" s="107" t="b">
        <v>0</v>
      </c>
      <c r="P13" s="107" t="b">
        <v>0</v>
      </c>
      <c r="Q13" s="107" t="b">
        <v>0</v>
      </c>
      <c r="R13" s="107" t="b">
        <v>0</v>
      </c>
      <c r="S13" s="107" t="b">
        <v>0</v>
      </c>
      <c r="T13" s="107" t="b">
        <v>0</v>
      </c>
      <c r="U13" s="107" t="b">
        <v>1</v>
      </c>
      <c r="V13" s="107" t="b">
        <v>1</v>
      </c>
      <c r="W13" s="83" t="str" cm="1">
        <f t="array" ref="W13">_xlfn.TEXTJOIN(", ",TRUE,IF(E13:V13,{"PI11","PI12","PI21","PI22","PI23","PI24","PI31","PI32","PI41","PI42","PI51","PI52","PI61","PI62","PI63","PI64","PI71","PI72"},""))</f>
        <v>PI31, PI32, PI71, PI72</v>
      </c>
      <c r="X13" s="6"/>
      <c r="Y13" s="6"/>
    </row>
    <row r="14" spans="1:25" ht="45" customHeight="1" x14ac:dyDescent="0.25">
      <c r="A14" s="144"/>
      <c r="B14" s="101"/>
      <c r="C14" s="102"/>
      <c r="D14" s="85" t="str">
        <f t="shared" si="0"/>
        <v/>
      </c>
      <c r="E14" s="107" t="b">
        <v>0</v>
      </c>
      <c r="F14" s="107" t="b">
        <v>0</v>
      </c>
      <c r="G14" s="107" t="b">
        <v>0</v>
      </c>
      <c r="H14" s="107" t="b">
        <v>0</v>
      </c>
      <c r="I14" s="107" t="b">
        <v>0</v>
      </c>
      <c r="J14" s="107" t="b">
        <v>0</v>
      </c>
      <c r="K14" s="107" t="b">
        <v>0</v>
      </c>
      <c r="L14" s="107" t="b">
        <v>0</v>
      </c>
      <c r="M14" s="107" t="b">
        <v>0</v>
      </c>
      <c r="N14" s="107" t="b">
        <v>0</v>
      </c>
      <c r="O14" s="107" t="b">
        <v>0</v>
      </c>
      <c r="P14" s="107" t="b">
        <v>0</v>
      </c>
      <c r="Q14" s="107" t="b">
        <v>0</v>
      </c>
      <c r="R14" s="107" t="b">
        <v>0</v>
      </c>
      <c r="S14" s="107" t="b">
        <v>0</v>
      </c>
      <c r="T14" s="107" t="b">
        <v>0</v>
      </c>
      <c r="U14" s="107" t="b">
        <v>0</v>
      </c>
      <c r="V14" s="107" t="b">
        <v>0</v>
      </c>
      <c r="W14" s="83" t="str" cm="1">
        <f t="array" ref="W14">_xlfn.TEXTJOIN(", ",TRUE,IF(E14:V14,{"PI11","PI12","PI21","PI22","PI23","PI24","PI31","PI32","PI41","PI42","PI51","PI52","PI61","PI62","PI63","PI64","PI71","PI72"},""))</f>
        <v/>
      </c>
      <c r="X14" s="6"/>
      <c r="Y14" s="6"/>
    </row>
    <row r="15" spans="1:25" ht="30" customHeight="1" x14ac:dyDescent="0.25">
      <c r="A15" s="103" t="s">
        <v>133</v>
      </c>
      <c r="B15" s="103"/>
      <c r="C15" s="83" t="str">
        <f>C2</f>
        <v>Special Topics In Electrical and Electronics Engineering</v>
      </c>
      <c r="D15" s="85" t="str">
        <f>A2</f>
        <v>EE 499</v>
      </c>
      <c r="E15" s="68" t="str">
        <f t="shared" ref="E15:V15" si="1">IF(COUNTIF(E$5:E$14,TRUE)&gt;0,$D$2,"")</f>
        <v>M</v>
      </c>
      <c r="F15" s="69" t="str">
        <f t="shared" si="1"/>
        <v>M</v>
      </c>
      <c r="G15" s="70" t="str">
        <f t="shared" si="1"/>
        <v>M</v>
      </c>
      <c r="H15" s="71" t="str">
        <f t="shared" si="1"/>
        <v/>
      </c>
      <c r="I15" s="72" t="str">
        <f t="shared" si="1"/>
        <v/>
      </c>
      <c r="J15" s="73" t="str">
        <f t="shared" si="1"/>
        <v/>
      </c>
      <c r="K15" s="74" t="str">
        <f t="shared" si="1"/>
        <v>M</v>
      </c>
      <c r="L15" s="86" t="str">
        <f t="shared" si="1"/>
        <v>M</v>
      </c>
      <c r="M15" s="87" t="str">
        <f t="shared" si="1"/>
        <v/>
      </c>
      <c r="N15" s="88" t="str">
        <f t="shared" si="1"/>
        <v/>
      </c>
      <c r="O15" s="89" t="str">
        <f t="shared" si="1"/>
        <v/>
      </c>
      <c r="P15" s="90" t="str">
        <f t="shared" si="1"/>
        <v/>
      </c>
      <c r="Q15" s="91" t="str">
        <f t="shared" si="1"/>
        <v/>
      </c>
      <c r="R15" s="92" t="str">
        <f t="shared" si="1"/>
        <v/>
      </c>
      <c r="S15" s="93" t="str">
        <f t="shared" si="1"/>
        <v/>
      </c>
      <c r="T15" s="94" t="str">
        <f t="shared" si="1"/>
        <v/>
      </c>
      <c r="U15" s="95" t="str">
        <f t="shared" si="1"/>
        <v>M</v>
      </c>
      <c r="V15" s="96" t="str">
        <f t="shared" si="1"/>
        <v>M</v>
      </c>
      <c r="W15" s="6"/>
      <c r="X15" s="6"/>
      <c r="Y15" s="6"/>
    </row>
    <row r="16" spans="1:25" ht="30" customHeight="1" x14ac:dyDescent="0.25">
      <c r="A16" s="103" t="s">
        <v>136</v>
      </c>
      <c r="B16" s="103"/>
      <c r="C16" s="83" t="str">
        <f>C2</f>
        <v>Special Topics In Electrical and Electronics Engineering</v>
      </c>
      <c r="D16" s="85" t="str">
        <f>A2</f>
        <v>EE 499</v>
      </c>
      <c r="E16" s="147" t="str">
        <f>IF(COUNTIF(E$5:F$14,TRUE)&gt;0,$D$2,"")</f>
        <v>M</v>
      </c>
      <c r="F16" s="125"/>
      <c r="G16" s="148" t="str">
        <f>IF(COUNTIF(G$5:J$14,TRUE)&gt;0,$D$2,"")</f>
        <v>M</v>
      </c>
      <c r="H16" s="129"/>
      <c r="I16" s="129"/>
      <c r="J16" s="125"/>
      <c r="K16" s="149" t="str">
        <f>IF(COUNTIF(K$5:L$14,TRUE)&gt;0,$D$2,"")</f>
        <v>M</v>
      </c>
      <c r="L16" s="125"/>
      <c r="M16" s="137" t="str">
        <f>IF(COUNTIF(M$5:N$14,TRUE)&gt;0,$D$2,"")</f>
        <v/>
      </c>
      <c r="N16" s="125"/>
      <c r="O16" s="138" t="str">
        <f>IF(COUNTIF(O$5:P$14,TRUE)&gt;0,$D$2,"")</f>
        <v/>
      </c>
      <c r="P16" s="125"/>
      <c r="Q16" s="139" t="str">
        <f>IF(COUNTIF(Q$5:T$14,TRUE)&gt;0,$D$2,"")</f>
        <v/>
      </c>
      <c r="R16" s="129"/>
      <c r="S16" s="129"/>
      <c r="T16" s="125"/>
      <c r="U16" s="136" t="str">
        <f>IF(COUNTIF(U$5:V$14,TRUE)&gt;0,$D$2,"")</f>
        <v>M</v>
      </c>
      <c r="V16" s="125"/>
      <c r="W16" s="6"/>
      <c r="X16" s="6"/>
      <c r="Y16" s="6"/>
    </row>
    <row r="17" spans="1:25" ht="18.75" customHeight="1" x14ac:dyDescent="0.25">
      <c r="A17" s="6"/>
      <c r="B17" s="6"/>
      <c r="C17" s="6"/>
      <c r="D17" s="104"/>
      <c r="E17" s="6"/>
      <c r="F17" s="6"/>
      <c r="G17" s="6"/>
      <c r="H17" s="6"/>
      <c r="I17" s="6"/>
      <c r="J17" s="6"/>
      <c r="K17" s="6"/>
      <c r="L17" s="6"/>
      <c r="M17" s="6"/>
      <c r="N17" s="6"/>
      <c r="O17" s="6"/>
      <c r="P17" s="6"/>
      <c r="Q17" s="6"/>
      <c r="R17" s="6"/>
      <c r="S17" s="6"/>
      <c r="T17" s="6"/>
      <c r="U17" s="6"/>
      <c r="V17" s="6"/>
      <c r="W17" s="6"/>
      <c r="X17" s="6"/>
      <c r="Y17" s="6"/>
    </row>
    <row r="18" spans="1:25" ht="18.75" customHeight="1" x14ac:dyDescent="0.25">
      <c r="D18" s="104"/>
    </row>
    <row r="19" spans="1:25" ht="18.75" customHeight="1" x14ac:dyDescent="0.25">
      <c r="D19" s="104"/>
    </row>
    <row r="20" spans="1:25" ht="18.75" customHeight="1" x14ac:dyDescent="0.25">
      <c r="D20" s="104"/>
    </row>
    <row r="21" spans="1:25" ht="18.75" customHeight="1" x14ac:dyDescent="0.25">
      <c r="D21" s="104"/>
    </row>
    <row r="22" spans="1:25" ht="18.75" customHeight="1" x14ac:dyDescent="0.25">
      <c r="D22" s="104"/>
    </row>
    <row r="23" spans="1:25" ht="18.75" customHeight="1" x14ac:dyDescent="0.25">
      <c r="D23" s="104"/>
    </row>
    <row r="24" spans="1:25" ht="18.75" customHeight="1" x14ac:dyDescent="0.25">
      <c r="D24" s="104"/>
    </row>
    <row r="25" spans="1:25" ht="18.75" customHeight="1" x14ac:dyDescent="0.25">
      <c r="D25" s="104"/>
    </row>
    <row r="26" spans="1:25" ht="18.75" customHeight="1" x14ac:dyDescent="0.25">
      <c r="D26" s="104"/>
    </row>
    <row r="27" spans="1:25" ht="18.75" customHeight="1" x14ac:dyDescent="0.25">
      <c r="D27" s="104"/>
    </row>
    <row r="28" spans="1:25" ht="18.75" customHeight="1" x14ac:dyDescent="0.25">
      <c r="D28" s="104"/>
    </row>
    <row r="29" spans="1:25" ht="18.75" customHeight="1" x14ac:dyDescent="0.25">
      <c r="D29" s="104"/>
    </row>
    <row r="30" spans="1:25" ht="18.75" customHeight="1" x14ac:dyDescent="0.25">
      <c r="D30" s="104"/>
    </row>
    <row r="31" spans="1:25" ht="18.75" customHeight="1" x14ac:dyDescent="0.25">
      <c r="D31" s="104"/>
    </row>
    <row r="32" spans="1:25" ht="18.75" customHeight="1" x14ac:dyDescent="0.25">
      <c r="D32" s="104"/>
    </row>
    <row r="33" spans="4:4" ht="18.75" customHeight="1" x14ac:dyDescent="0.25">
      <c r="D33" s="104"/>
    </row>
    <row r="34" spans="4:4" ht="18.75" customHeight="1" x14ac:dyDescent="0.25">
      <c r="D34" s="104"/>
    </row>
    <row r="35" spans="4:4" ht="18.75" customHeight="1" x14ac:dyDescent="0.25">
      <c r="D35" s="104"/>
    </row>
    <row r="36" spans="4:4" ht="18.75" customHeight="1" x14ac:dyDescent="0.25">
      <c r="D36" s="104"/>
    </row>
    <row r="37" spans="4:4" ht="18.75" customHeight="1" x14ac:dyDescent="0.25">
      <c r="D37" s="104"/>
    </row>
    <row r="38" spans="4:4" ht="18.75" customHeight="1" x14ac:dyDescent="0.25">
      <c r="D38" s="104"/>
    </row>
    <row r="39" spans="4:4" ht="18.75" customHeight="1" x14ac:dyDescent="0.25">
      <c r="D39" s="104"/>
    </row>
    <row r="40" spans="4:4" ht="18.75" customHeight="1" x14ac:dyDescent="0.25">
      <c r="D40" s="104"/>
    </row>
    <row r="41" spans="4:4" ht="18.75" customHeight="1" x14ac:dyDescent="0.25">
      <c r="D41" s="104"/>
    </row>
    <row r="42" spans="4:4" ht="18.75" customHeight="1" x14ac:dyDescent="0.25">
      <c r="D42" s="104"/>
    </row>
    <row r="43" spans="4:4" ht="18.75" customHeight="1" x14ac:dyDescent="0.25">
      <c r="D43" s="104"/>
    </row>
    <row r="44" spans="4:4" ht="18.75" customHeight="1" x14ac:dyDescent="0.25">
      <c r="D44" s="104"/>
    </row>
    <row r="45" spans="4:4" ht="18.75" customHeight="1" x14ac:dyDescent="0.25">
      <c r="D45" s="104"/>
    </row>
    <row r="46" spans="4:4" ht="18.75" customHeight="1" x14ac:dyDescent="0.25">
      <c r="D46" s="104"/>
    </row>
    <row r="47" spans="4:4" ht="18.75" customHeight="1" x14ac:dyDescent="0.25">
      <c r="D47" s="104"/>
    </row>
    <row r="48" spans="4:4" ht="18.75" customHeight="1" x14ac:dyDescent="0.25">
      <c r="D48" s="104"/>
    </row>
    <row r="49" spans="4:4" ht="18.75" customHeight="1" x14ac:dyDescent="0.25">
      <c r="D49" s="104"/>
    </row>
    <row r="50" spans="4:4" ht="18.75" customHeight="1" x14ac:dyDescent="0.25">
      <c r="D50" s="104"/>
    </row>
    <row r="51" spans="4:4" ht="18.75" customHeight="1" x14ac:dyDescent="0.25">
      <c r="D51" s="104"/>
    </row>
    <row r="52" spans="4:4" ht="18.75" customHeight="1" x14ac:dyDescent="0.25">
      <c r="D52" s="104"/>
    </row>
    <row r="53" spans="4:4" ht="18.75" customHeight="1" x14ac:dyDescent="0.25">
      <c r="D53" s="104"/>
    </row>
    <row r="54" spans="4:4" ht="18.75" customHeight="1" x14ac:dyDescent="0.25">
      <c r="D54" s="104"/>
    </row>
    <row r="55" spans="4:4" ht="18.75" customHeight="1" x14ac:dyDescent="0.25">
      <c r="D55" s="104"/>
    </row>
    <row r="56" spans="4:4" ht="18.75" customHeight="1" x14ac:dyDescent="0.25">
      <c r="D56" s="104"/>
    </row>
    <row r="57" spans="4:4" ht="18.75" customHeight="1" x14ac:dyDescent="0.25">
      <c r="D57" s="104"/>
    </row>
    <row r="58" spans="4:4" ht="18.75" customHeight="1" x14ac:dyDescent="0.25">
      <c r="D58" s="104"/>
    </row>
    <row r="59" spans="4:4" ht="18.75" customHeight="1" x14ac:dyDescent="0.25">
      <c r="D59" s="104"/>
    </row>
    <row r="60" spans="4:4" ht="18.75" customHeight="1" x14ac:dyDescent="0.25">
      <c r="D60" s="104"/>
    </row>
    <row r="61" spans="4:4" ht="18.75" customHeight="1" x14ac:dyDescent="0.25">
      <c r="D61" s="104"/>
    </row>
    <row r="62" spans="4:4" ht="18.75" customHeight="1" x14ac:dyDescent="0.25">
      <c r="D62" s="104"/>
    </row>
    <row r="63" spans="4:4" ht="18.75" customHeight="1" x14ac:dyDescent="0.25">
      <c r="D63" s="104"/>
    </row>
    <row r="64" spans="4:4" ht="18.75" customHeight="1" x14ac:dyDescent="0.25">
      <c r="D64" s="104"/>
    </row>
    <row r="65" spans="4:4" ht="18.75" customHeight="1" x14ac:dyDescent="0.25">
      <c r="D65" s="104"/>
    </row>
    <row r="66" spans="4:4" ht="18.75" customHeight="1" x14ac:dyDescent="0.25">
      <c r="D66" s="104"/>
    </row>
    <row r="67" spans="4:4" ht="18.75" customHeight="1" x14ac:dyDescent="0.25">
      <c r="D67" s="104"/>
    </row>
    <row r="68" spans="4:4" ht="18.75" customHeight="1" x14ac:dyDescent="0.25">
      <c r="D68" s="104"/>
    </row>
    <row r="69" spans="4:4" ht="18.75" customHeight="1" x14ac:dyDescent="0.25">
      <c r="D69" s="104"/>
    </row>
    <row r="70" spans="4:4" ht="18.75" customHeight="1" x14ac:dyDescent="0.25">
      <c r="D70" s="104"/>
    </row>
    <row r="71" spans="4:4" ht="18.75" customHeight="1" x14ac:dyDescent="0.25">
      <c r="D71" s="104"/>
    </row>
    <row r="72" spans="4:4" ht="18.75" customHeight="1" x14ac:dyDescent="0.25">
      <c r="D72" s="104"/>
    </row>
    <row r="73" spans="4:4" ht="18.75" customHeight="1" x14ac:dyDescent="0.25">
      <c r="D73" s="104"/>
    </row>
    <row r="74" spans="4:4" ht="18.75" customHeight="1" x14ac:dyDescent="0.25">
      <c r="D74" s="104"/>
    </row>
    <row r="75" spans="4:4" ht="18.75" customHeight="1" x14ac:dyDescent="0.25">
      <c r="D75" s="104"/>
    </row>
    <row r="76" spans="4:4" ht="18.75" customHeight="1" x14ac:dyDescent="0.25">
      <c r="D76" s="104"/>
    </row>
    <row r="77" spans="4:4" ht="18.75" customHeight="1" x14ac:dyDescent="0.25">
      <c r="D77" s="104"/>
    </row>
    <row r="78" spans="4:4" ht="18.75" customHeight="1" x14ac:dyDescent="0.25">
      <c r="D78" s="104"/>
    </row>
    <row r="79" spans="4:4" ht="18.75" customHeight="1" x14ac:dyDescent="0.25">
      <c r="D79" s="104"/>
    </row>
    <row r="80" spans="4:4" ht="18.75" customHeight="1" x14ac:dyDescent="0.25">
      <c r="D80" s="104"/>
    </row>
    <row r="81" spans="4:4" ht="18.75" customHeight="1" x14ac:dyDescent="0.25">
      <c r="D81" s="104"/>
    </row>
    <row r="82" spans="4:4" ht="18.75" customHeight="1" x14ac:dyDescent="0.25">
      <c r="D82" s="104"/>
    </row>
    <row r="83" spans="4:4" ht="18.75" customHeight="1" x14ac:dyDescent="0.25">
      <c r="D83" s="104"/>
    </row>
    <row r="84" spans="4:4" ht="18.75" customHeight="1" x14ac:dyDescent="0.25">
      <c r="D84" s="104"/>
    </row>
    <row r="85" spans="4:4" ht="18.75" customHeight="1" x14ac:dyDescent="0.25">
      <c r="D85" s="104"/>
    </row>
    <row r="86" spans="4:4" ht="18.75" customHeight="1" x14ac:dyDescent="0.25">
      <c r="D86" s="104"/>
    </row>
    <row r="87" spans="4:4" ht="18.75" customHeight="1" x14ac:dyDescent="0.25">
      <c r="D87" s="104"/>
    </row>
    <row r="88" spans="4:4" ht="18.75" customHeight="1" x14ac:dyDescent="0.25">
      <c r="D88" s="104"/>
    </row>
    <row r="89" spans="4:4" ht="18.75" customHeight="1" x14ac:dyDescent="0.25">
      <c r="D89" s="104"/>
    </row>
    <row r="90" spans="4:4" ht="18.75" customHeight="1" x14ac:dyDescent="0.25">
      <c r="D90" s="104"/>
    </row>
    <row r="91" spans="4:4" ht="18.75" customHeight="1" x14ac:dyDescent="0.25">
      <c r="D91" s="104"/>
    </row>
    <row r="92" spans="4:4" ht="18.75" customHeight="1" x14ac:dyDescent="0.25">
      <c r="D92" s="104"/>
    </row>
    <row r="93" spans="4:4" ht="18.75" customHeight="1" x14ac:dyDescent="0.25">
      <c r="D93" s="104"/>
    </row>
    <row r="94" spans="4:4" ht="18.75" customHeight="1" x14ac:dyDescent="0.25">
      <c r="D94" s="104"/>
    </row>
    <row r="95" spans="4:4" ht="18.75" customHeight="1" x14ac:dyDescent="0.25">
      <c r="D95" s="104"/>
    </row>
    <row r="96" spans="4:4" ht="18.75" customHeight="1" x14ac:dyDescent="0.25">
      <c r="D96" s="104"/>
    </row>
    <row r="97" spans="4:4" ht="18.75" customHeight="1" x14ac:dyDescent="0.25">
      <c r="D97" s="104"/>
    </row>
    <row r="98" spans="4:4" ht="18.75" customHeight="1" x14ac:dyDescent="0.25">
      <c r="D98" s="104"/>
    </row>
    <row r="99" spans="4:4" ht="18.75" customHeight="1" x14ac:dyDescent="0.25">
      <c r="D99" s="104"/>
    </row>
    <row r="100" spans="4:4" ht="18.75" customHeight="1" x14ac:dyDescent="0.25">
      <c r="D100" s="104"/>
    </row>
    <row r="101" spans="4:4" ht="18.75" customHeight="1" x14ac:dyDescent="0.25">
      <c r="D101" s="104"/>
    </row>
    <row r="102" spans="4:4" ht="18.75" customHeight="1" x14ac:dyDescent="0.25">
      <c r="D102" s="104"/>
    </row>
    <row r="103" spans="4:4" ht="18.75" customHeight="1" x14ac:dyDescent="0.25">
      <c r="D103" s="104"/>
    </row>
    <row r="104" spans="4:4" ht="18.75" customHeight="1" x14ac:dyDescent="0.25">
      <c r="D104" s="104"/>
    </row>
    <row r="105" spans="4:4" ht="18.75" customHeight="1" x14ac:dyDescent="0.25">
      <c r="D105" s="104"/>
    </row>
    <row r="106" spans="4:4" ht="18.75" customHeight="1" x14ac:dyDescent="0.25">
      <c r="D106" s="104"/>
    </row>
    <row r="107" spans="4:4" ht="18.75" customHeight="1" x14ac:dyDescent="0.25">
      <c r="D107" s="104"/>
    </row>
    <row r="108" spans="4:4" ht="18.75" customHeight="1" x14ac:dyDescent="0.25">
      <c r="D108" s="104"/>
    </row>
    <row r="109" spans="4:4" ht="18.75" customHeight="1" x14ac:dyDescent="0.25">
      <c r="D109" s="104"/>
    </row>
    <row r="110" spans="4:4" ht="18.75" customHeight="1" x14ac:dyDescent="0.25">
      <c r="D110" s="104"/>
    </row>
    <row r="111" spans="4:4" ht="18.75" customHeight="1" x14ac:dyDescent="0.25">
      <c r="D111" s="104"/>
    </row>
    <row r="112" spans="4:4" ht="18.75" customHeight="1" x14ac:dyDescent="0.25">
      <c r="D112" s="104"/>
    </row>
    <row r="113" spans="4:4" ht="18.75" customHeight="1" x14ac:dyDescent="0.25">
      <c r="D113" s="104"/>
    </row>
    <row r="114" spans="4:4" ht="18.75" customHeight="1" x14ac:dyDescent="0.25">
      <c r="D114" s="104"/>
    </row>
    <row r="115" spans="4:4" ht="18.75" customHeight="1" x14ac:dyDescent="0.25">
      <c r="D115" s="104"/>
    </row>
    <row r="116" spans="4:4" ht="18.75" customHeight="1" x14ac:dyDescent="0.25">
      <c r="D116" s="104"/>
    </row>
    <row r="117" spans="4:4" ht="18.75" customHeight="1" x14ac:dyDescent="0.25">
      <c r="D117" s="104"/>
    </row>
    <row r="118" spans="4:4" ht="18.75" customHeight="1" x14ac:dyDescent="0.25">
      <c r="D118" s="104"/>
    </row>
    <row r="119" spans="4:4" ht="18.75" customHeight="1" x14ac:dyDescent="0.25">
      <c r="D119" s="104"/>
    </row>
    <row r="120" spans="4:4" ht="18.75" customHeight="1" x14ac:dyDescent="0.25">
      <c r="D120" s="104"/>
    </row>
    <row r="121" spans="4:4" ht="18.75" customHeight="1" x14ac:dyDescent="0.25">
      <c r="D121" s="104"/>
    </row>
    <row r="122" spans="4:4" ht="18.75" customHeight="1" x14ac:dyDescent="0.25">
      <c r="D122" s="104"/>
    </row>
    <row r="123" spans="4:4" ht="18.75" customHeight="1" x14ac:dyDescent="0.25">
      <c r="D123" s="104"/>
    </row>
    <row r="124" spans="4:4" ht="18.75" customHeight="1" x14ac:dyDescent="0.25">
      <c r="D124" s="104"/>
    </row>
    <row r="125" spans="4:4" ht="18.75" customHeight="1" x14ac:dyDescent="0.25">
      <c r="D125" s="104"/>
    </row>
    <row r="126" spans="4:4" ht="18.75" customHeight="1" x14ac:dyDescent="0.25">
      <c r="D126" s="104"/>
    </row>
    <row r="127" spans="4:4" ht="18.75" customHeight="1" x14ac:dyDescent="0.25">
      <c r="D127" s="104"/>
    </row>
    <row r="128" spans="4:4" ht="18.75" customHeight="1" x14ac:dyDescent="0.25">
      <c r="D128" s="104"/>
    </row>
    <row r="129" spans="4:4" ht="18.75" customHeight="1" x14ac:dyDescent="0.25">
      <c r="D129" s="104"/>
    </row>
    <row r="130" spans="4:4" ht="18.75" customHeight="1" x14ac:dyDescent="0.25">
      <c r="D130" s="104"/>
    </row>
    <row r="131" spans="4:4" ht="18.75" customHeight="1" x14ac:dyDescent="0.25">
      <c r="D131" s="104"/>
    </row>
    <row r="132" spans="4:4" ht="18.75" customHeight="1" x14ac:dyDescent="0.25">
      <c r="D132" s="104"/>
    </row>
    <row r="133" spans="4:4" ht="18.75" customHeight="1" x14ac:dyDescent="0.25">
      <c r="D133" s="104"/>
    </row>
    <row r="134" spans="4:4" ht="18.75" customHeight="1" x14ac:dyDescent="0.25">
      <c r="D134" s="104"/>
    </row>
    <row r="135" spans="4:4" ht="18.75" customHeight="1" x14ac:dyDescent="0.25">
      <c r="D135" s="104"/>
    </row>
    <row r="136" spans="4:4" ht="18.75" customHeight="1" x14ac:dyDescent="0.25">
      <c r="D136" s="104"/>
    </row>
    <row r="137" spans="4:4" ht="18.75" customHeight="1" x14ac:dyDescent="0.25">
      <c r="D137" s="104"/>
    </row>
    <row r="138" spans="4:4" ht="18.75" customHeight="1" x14ac:dyDescent="0.25">
      <c r="D138" s="104"/>
    </row>
    <row r="139" spans="4:4" ht="18.75" customHeight="1" x14ac:dyDescent="0.25">
      <c r="D139" s="104"/>
    </row>
    <row r="140" spans="4:4" ht="18.75" customHeight="1" x14ac:dyDescent="0.25">
      <c r="D140" s="104"/>
    </row>
    <row r="141" spans="4:4" ht="18.75" customHeight="1" x14ac:dyDescent="0.25">
      <c r="D141" s="104"/>
    </row>
    <row r="142" spans="4:4" ht="18.75" customHeight="1" x14ac:dyDescent="0.25">
      <c r="D142" s="104"/>
    </row>
    <row r="143" spans="4:4" ht="18.75" customHeight="1" x14ac:dyDescent="0.25">
      <c r="D143" s="104"/>
    </row>
    <row r="144" spans="4:4" ht="18.75" customHeight="1" x14ac:dyDescent="0.25">
      <c r="D144" s="104"/>
    </row>
    <row r="145" spans="4:4" ht="18.75" customHeight="1" x14ac:dyDescent="0.25">
      <c r="D145" s="104"/>
    </row>
    <row r="146" spans="4:4" ht="18.75" customHeight="1" x14ac:dyDescent="0.25">
      <c r="D146" s="104"/>
    </row>
    <row r="147" spans="4:4" ht="18.75" customHeight="1" x14ac:dyDescent="0.25">
      <c r="D147" s="104"/>
    </row>
    <row r="148" spans="4:4" ht="18.75" customHeight="1" x14ac:dyDescent="0.25">
      <c r="D148" s="104"/>
    </row>
    <row r="149" spans="4:4" ht="18.75" customHeight="1" x14ac:dyDescent="0.25">
      <c r="D149" s="104"/>
    </row>
    <row r="150" spans="4:4" ht="18.75" customHeight="1" x14ac:dyDescent="0.25">
      <c r="D150" s="104"/>
    </row>
    <row r="151" spans="4:4" ht="18.75" customHeight="1" x14ac:dyDescent="0.25">
      <c r="D151" s="104"/>
    </row>
    <row r="152" spans="4:4" ht="18.75" customHeight="1" x14ac:dyDescent="0.25">
      <c r="D152" s="104"/>
    </row>
    <row r="153" spans="4:4" ht="18.75" customHeight="1" x14ac:dyDescent="0.25">
      <c r="D153" s="104"/>
    </row>
    <row r="154" spans="4:4" ht="18.75" customHeight="1" x14ac:dyDescent="0.25">
      <c r="D154" s="104"/>
    </row>
    <row r="155" spans="4:4" ht="18.75" customHeight="1" x14ac:dyDescent="0.25">
      <c r="D155" s="104"/>
    </row>
    <row r="156" spans="4:4" ht="18.75" customHeight="1" x14ac:dyDescent="0.25">
      <c r="D156" s="104"/>
    </row>
    <row r="157" spans="4:4" ht="18.75" customHeight="1" x14ac:dyDescent="0.25">
      <c r="D157" s="104"/>
    </row>
    <row r="158" spans="4:4" ht="18.75" customHeight="1" x14ac:dyDescent="0.25">
      <c r="D158" s="104"/>
    </row>
    <row r="159" spans="4:4" ht="18.75" customHeight="1" x14ac:dyDescent="0.25">
      <c r="D159" s="104"/>
    </row>
    <row r="160" spans="4:4" ht="18.75" customHeight="1" x14ac:dyDescent="0.25">
      <c r="D160" s="104"/>
    </row>
    <row r="161" spans="4:4" ht="18.75" customHeight="1" x14ac:dyDescent="0.25">
      <c r="D161" s="104"/>
    </row>
    <row r="162" spans="4:4" ht="18.75" customHeight="1" x14ac:dyDescent="0.25">
      <c r="D162" s="104"/>
    </row>
    <row r="163" spans="4:4" ht="18.75" customHeight="1" x14ac:dyDescent="0.25">
      <c r="D163" s="104"/>
    </row>
    <row r="164" spans="4:4" ht="18.75" customHeight="1" x14ac:dyDescent="0.25">
      <c r="D164" s="104"/>
    </row>
    <row r="165" spans="4:4" ht="18.75" customHeight="1" x14ac:dyDescent="0.25">
      <c r="D165" s="104"/>
    </row>
    <row r="166" spans="4:4" ht="18.75" customHeight="1" x14ac:dyDescent="0.25">
      <c r="D166" s="104"/>
    </row>
    <row r="167" spans="4:4" ht="18.75" customHeight="1" x14ac:dyDescent="0.25">
      <c r="D167" s="104"/>
    </row>
    <row r="168" spans="4:4" ht="18.75" customHeight="1" x14ac:dyDescent="0.25">
      <c r="D168" s="104"/>
    </row>
    <row r="169" spans="4:4" ht="18.75" customHeight="1" x14ac:dyDescent="0.25">
      <c r="D169" s="104"/>
    </row>
    <row r="170" spans="4:4" ht="18.75" customHeight="1" x14ac:dyDescent="0.25">
      <c r="D170" s="104"/>
    </row>
    <row r="171" spans="4:4" ht="18.75" customHeight="1" x14ac:dyDescent="0.25">
      <c r="D171" s="104"/>
    </row>
    <row r="172" spans="4:4" ht="18.75" customHeight="1" x14ac:dyDescent="0.25">
      <c r="D172" s="104"/>
    </row>
    <row r="173" spans="4:4" ht="18.75" customHeight="1" x14ac:dyDescent="0.25">
      <c r="D173" s="104"/>
    </row>
    <row r="174" spans="4:4" ht="18.75" customHeight="1" x14ac:dyDescent="0.25">
      <c r="D174" s="104"/>
    </row>
    <row r="175" spans="4:4" ht="18.75" customHeight="1" x14ac:dyDescent="0.25">
      <c r="D175" s="104"/>
    </row>
    <row r="176" spans="4:4" ht="18.75" customHeight="1" x14ac:dyDescent="0.25">
      <c r="D176" s="104"/>
    </row>
    <row r="177" spans="4:4" ht="18.75" customHeight="1" x14ac:dyDescent="0.25">
      <c r="D177" s="104"/>
    </row>
    <row r="178" spans="4:4" ht="18.75" customHeight="1" x14ac:dyDescent="0.25">
      <c r="D178" s="104"/>
    </row>
    <row r="179" spans="4:4" ht="18.75" customHeight="1" x14ac:dyDescent="0.25">
      <c r="D179" s="104"/>
    </row>
    <row r="180" spans="4:4" ht="18.75" customHeight="1" x14ac:dyDescent="0.25">
      <c r="D180" s="104"/>
    </row>
    <row r="181" spans="4:4" ht="18.75" customHeight="1" x14ac:dyDescent="0.25">
      <c r="D181" s="104"/>
    </row>
    <row r="182" spans="4:4" ht="18.75" customHeight="1" x14ac:dyDescent="0.25">
      <c r="D182" s="104"/>
    </row>
    <row r="183" spans="4:4" ht="18.75" customHeight="1" x14ac:dyDescent="0.25">
      <c r="D183" s="104"/>
    </row>
    <row r="184" spans="4:4" ht="18.75" customHeight="1" x14ac:dyDescent="0.25">
      <c r="D184" s="104"/>
    </row>
    <row r="185" spans="4:4" ht="18.75" customHeight="1" x14ac:dyDescent="0.25">
      <c r="D185" s="104"/>
    </row>
    <row r="186" spans="4:4" ht="18.75" customHeight="1" x14ac:dyDescent="0.25">
      <c r="D186" s="104"/>
    </row>
    <row r="187" spans="4:4" ht="18.75" customHeight="1" x14ac:dyDescent="0.25">
      <c r="D187" s="104"/>
    </row>
    <row r="188" spans="4:4" ht="18.75" customHeight="1" x14ac:dyDescent="0.25">
      <c r="D188" s="104"/>
    </row>
    <row r="189" spans="4:4" ht="18.75" customHeight="1" x14ac:dyDescent="0.25">
      <c r="D189" s="104"/>
    </row>
    <row r="190" spans="4:4" ht="18.75" customHeight="1" x14ac:dyDescent="0.25">
      <c r="D190" s="104"/>
    </row>
    <row r="191" spans="4:4" ht="18.75" customHeight="1" x14ac:dyDescent="0.25">
      <c r="D191" s="104"/>
    </row>
    <row r="192" spans="4:4" ht="18.75" customHeight="1" x14ac:dyDescent="0.25">
      <c r="D192" s="104"/>
    </row>
    <row r="193" spans="4:4" ht="18.75" customHeight="1" x14ac:dyDescent="0.25">
      <c r="D193" s="104"/>
    </row>
    <row r="194" spans="4:4" ht="18.75" customHeight="1" x14ac:dyDescent="0.25">
      <c r="D194" s="104"/>
    </row>
    <row r="195" spans="4:4" ht="18.75" customHeight="1" x14ac:dyDescent="0.25">
      <c r="D195" s="104"/>
    </row>
    <row r="196" spans="4:4" ht="18.75" customHeight="1" x14ac:dyDescent="0.25">
      <c r="D196" s="104"/>
    </row>
    <row r="197" spans="4:4" ht="18.75" customHeight="1" x14ac:dyDescent="0.25">
      <c r="D197" s="104"/>
    </row>
    <row r="198" spans="4:4" ht="18.75" customHeight="1" x14ac:dyDescent="0.25">
      <c r="D198" s="104"/>
    </row>
    <row r="199" spans="4:4" ht="18.75" customHeight="1" x14ac:dyDescent="0.25">
      <c r="D199" s="104"/>
    </row>
    <row r="200" spans="4:4" ht="18.75" customHeight="1" x14ac:dyDescent="0.25">
      <c r="D200" s="104"/>
    </row>
    <row r="201" spans="4:4" ht="18.75" customHeight="1" x14ac:dyDescent="0.25">
      <c r="D201" s="104"/>
    </row>
    <row r="202" spans="4:4" ht="18.75" customHeight="1" x14ac:dyDescent="0.25">
      <c r="D202" s="104"/>
    </row>
    <row r="203" spans="4:4" ht="18.75" customHeight="1" x14ac:dyDescent="0.25">
      <c r="D203" s="104"/>
    </row>
    <row r="204" spans="4:4" ht="18.75" customHeight="1" x14ac:dyDescent="0.25">
      <c r="D204" s="104"/>
    </row>
    <row r="205" spans="4:4" ht="18.75" customHeight="1" x14ac:dyDescent="0.25">
      <c r="D205" s="104"/>
    </row>
    <row r="206" spans="4:4" ht="18.75" customHeight="1" x14ac:dyDescent="0.25">
      <c r="D206" s="104"/>
    </row>
    <row r="207" spans="4:4" ht="18.75" customHeight="1" x14ac:dyDescent="0.25">
      <c r="D207" s="104"/>
    </row>
    <row r="208" spans="4:4" ht="18.75" customHeight="1" x14ac:dyDescent="0.25">
      <c r="D208" s="104"/>
    </row>
    <row r="209" spans="4:4" ht="18.75" customHeight="1" x14ac:dyDescent="0.25">
      <c r="D209" s="104"/>
    </row>
    <row r="210" spans="4:4" ht="18.75" customHeight="1" x14ac:dyDescent="0.25">
      <c r="D210" s="104"/>
    </row>
    <row r="211" spans="4:4" ht="18.75" customHeight="1" x14ac:dyDescent="0.25">
      <c r="D211" s="104"/>
    </row>
    <row r="212" spans="4:4" ht="18.75" customHeight="1" x14ac:dyDescent="0.25">
      <c r="D212" s="104"/>
    </row>
    <row r="213" spans="4:4" ht="18.75" customHeight="1" x14ac:dyDescent="0.25">
      <c r="D213" s="104"/>
    </row>
    <row r="214" spans="4:4" ht="18.75" customHeight="1" x14ac:dyDescent="0.25">
      <c r="D214" s="104"/>
    </row>
    <row r="215" spans="4:4" ht="18.75" customHeight="1" x14ac:dyDescent="0.25">
      <c r="D215" s="104"/>
    </row>
    <row r="216" spans="4:4" ht="18.75" customHeight="1" x14ac:dyDescent="0.25">
      <c r="D216" s="104"/>
    </row>
    <row r="217" spans="4:4" ht="18.75" customHeight="1" x14ac:dyDescent="0.25">
      <c r="D217" s="104"/>
    </row>
    <row r="218" spans="4:4" ht="18.75" customHeight="1" x14ac:dyDescent="0.25">
      <c r="D218" s="104"/>
    </row>
    <row r="219" spans="4:4" ht="18.75" customHeight="1" x14ac:dyDescent="0.25">
      <c r="D219" s="104"/>
    </row>
    <row r="220" spans="4:4" ht="18.75" customHeight="1" x14ac:dyDescent="0.25">
      <c r="D220" s="104"/>
    </row>
    <row r="221" spans="4:4" ht="18.75" customHeight="1" x14ac:dyDescent="0.25">
      <c r="D221" s="104"/>
    </row>
    <row r="222" spans="4:4" ht="18.75" customHeight="1" x14ac:dyDescent="0.25">
      <c r="D222" s="104"/>
    </row>
    <row r="223" spans="4:4" ht="18.75" customHeight="1" x14ac:dyDescent="0.25">
      <c r="D223" s="104"/>
    </row>
    <row r="224" spans="4:4" ht="18.75" customHeight="1" x14ac:dyDescent="0.25">
      <c r="D224" s="104"/>
    </row>
    <row r="225" spans="4:4" ht="18.75" customHeight="1" x14ac:dyDescent="0.25">
      <c r="D225" s="104"/>
    </row>
    <row r="226" spans="4:4" ht="18.75" customHeight="1" x14ac:dyDescent="0.25">
      <c r="D226" s="104"/>
    </row>
    <row r="227" spans="4:4" ht="18.75" customHeight="1" x14ac:dyDescent="0.25">
      <c r="D227" s="104"/>
    </row>
    <row r="228" spans="4:4" ht="18.75" customHeight="1" x14ac:dyDescent="0.25">
      <c r="D228" s="104"/>
    </row>
    <row r="229" spans="4:4" ht="18.75" customHeight="1" x14ac:dyDescent="0.25">
      <c r="D229" s="104"/>
    </row>
    <row r="230" spans="4:4" ht="18.75" customHeight="1" x14ac:dyDescent="0.25">
      <c r="D230" s="104"/>
    </row>
    <row r="231" spans="4:4" ht="18.75" customHeight="1" x14ac:dyDescent="0.25">
      <c r="D231" s="104"/>
    </row>
    <row r="232" spans="4:4" ht="18.75" customHeight="1" x14ac:dyDescent="0.25">
      <c r="D232" s="104"/>
    </row>
    <row r="233" spans="4:4" ht="18.75" customHeight="1" x14ac:dyDescent="0.25">
      <c r="D233" s="104"/>
    </row>
    <row r="234" spans="4:4" ht="18.75" customHeight="1" x14ac:dyDescent="0.25">
      <c r="D234" s="104"/>
    </row>
    <row r="235" spans="4:4" ht="18.75" customHeight="1" x14ac:dyDescent="0.25">
      <c r="D235" s="104"/>
    </row>
    <row r="236" spans="4:4" ht="18.75" customHeight="1" x14ac:dyDescent="0.25">
      <c r="D236" s="104"/>
    </row>
    <row r="237" spans="4:4" ht="18.75" customHeight="1" x14ac:dyDescent="0.25">
      <c r="D237" s="104"/>
    </row>
    <row r="238" spans="4:4" ht="18.75" customHeight="1" x14ac:dyDescent="0.25">
      <c r="D238" s="104"/>
    </row>
    <row r="239" spans="4:4" ht="18.75" customHeight="1" x14ac:dyDescent="0.25">
      <c r="D239" s="104"/>
    </row>
    <row r="240" spans="4:4" ht="18.75" customHeight="1" x14ac:dyDescent="0.25">
      <c r="D240" s="104"/>
    </row>
    <row r="241" spans="4:4" ht="18.75" customHeight="1" x14ac:dyDescent="0.25">
      <c r="D241" s="104"/>
    </row>
    <row r="242" spans="4:4" ht="18.75" customHeight="1" x14ac:dyDescent="0.25">
      <c r="D242" s="104"/>
    </row>
    <row r="243" spans="4:4" ht="18.75" customHeight="1" x14ac:dyDescent="0.25">
      <c r="D243" s="104"/>
    </row>
    <row r="244" spans="4:4" ht="18.75" customHeight="1" x14ac:dyDescent="0.25">
      <c r="D244" s="104"/>
    </row>
    <row r="245" spans="4:4" ht="18.75" customHeight="1" x14ac:dyDescent="0.25">
      <c r="D245" s="104"/>
    </row>
    <row r="246" spans="4:4" ht="18.75" customHeight="1" x14ac:dyDescent="0.25">
      <c r="D246" s="104"/>
    </row>
    <row r="247" spans="4:4" ht="18.75" customHeight="1" x14ac:dyDescent="0.25">
      <c r="D247" s="104"/>
    </row>
    <row r="248" spans="4:4" ht="18.75" customHeight="1" x14ac:dyDescent="0.25">
      <c r="D248" s="104"/>
    </row>
    <row r="249" spans="4:4" ht="18.75" customHeight="1" x14ac:dyDescent="0.25">
      <c r="D249" s="104"/>
    </row>
    <row r="250" spans="4:4" ht="18.75" customHeight="1" x14ac:dyDescent="0.25">
      <c r="D250" s="104"/>
    </row>
    <row r="251" spans="4:4" ht="18.75" customHeight="1" x14ac:dyDescent="0.25">
      <c r="D251" s="104"/>
    </row>
    <row r="252" spans="4:4" ht="18.75" customHeight="1" x14ac:dyDescent="0.25">
      <c r="D252" s="104"/>
    </row>
    <row r="253" spans="4:4" ht="18.75" customHeight="1" x14ac:dyDescent="0.25">
      <c r="D253" s="104"/>
    </row>
    <row r="254" spans="4:4" ht="18.75" customHeight="1" x14ac:dyDescent="0.25">
      <c r="D254" s="104"/>
    </row>
    <row r="255" spans="4:4" ht="18.75" customHeight="1" x14ac:dyDescent="0.25">
      <c r="D255" s="104"/>
    </row>
    <row r="256" spans="4:4" ht="18.75" customHeight="1" x14ac:dyDescent="0.25">
      <c r="D256" s="104"/>
    </row>
    <row r="257" spans="4:4" ht="18.75" customHeight="1" x14ac:dyDescent="0.25">
      <c r="D257" s="104"/>
    </row>
    <row r="258" spans="4:4" ht="18.75" customHeight="1" x14ac:dyDescent="0.25">
      <c r="D258" s="104"/>
    </row>
    <row r="259" spans="4:4" ht="18.75" customHeight="1" x14ac:dyDescent="0.25">
      <c r="D259" s="104"/>
    </row>
    <row r="260" spans="4:4" ht="18.75" customHeight="1" x14ac:dyDescent="0.25">
      <c r="D260" s="104"/>
    </row>
    <row r="261" spans="4:4" ht="18.75" customHeight="1" x14ac:dyDescent="0.25">
      <c r="D261" s="104"/>
    </row>
    <row r="262" spans="4:4" ht="18.75" customHeight="1" x14ac:dyDescent="0.25">
      <c r="D262" s="104"/>
    </row>
    <row r="263" spans="4:4" ht="18.75" customHeight="1" x14ac:dyDescent="0.25">
      <c r="D263" s="104"/>
    </row>
    <row r="264" spans="4:4" ht="18.75" customHeight="1" x14ac:dyDescent="0.25">
      <c r="D264" s="104"/>
    </row>
    <row r="265" spans="4:4" ht="18.75" customHeight="1" x14ac:dyDescent="0.25">
      <c r="D265" s="104"/>
    </row>
    <row r="266" spans="4:4" ht="18.75" customHeight="1" x14ac:dyDescent="0.25">
      <c r="D266" s="104"/>
    </row>
    <row r="267" spans="4:4" ht="18.75" customHeight="1" x14ac:dyDescent="0.25">
      <c r="D267" s="104"/>
    </row>
    <row r="268" spans="4:4" ht="18.75" customHeight="1" x14ac:dyDescent="0.25">
      <c r="D268" s="104"/>
    </row>
    <row r="269" spans="4:4" ht="18.75" customHeight="1" x14ac:dyDescent="0.25">
      <c r="D269" s="104"/>
    </row>
    <row r="270" spans="4:4" ht="18.75" customHeight="1" x14ac:dyDescent="0.25">
      <c r="D270" s="104"/>
    </row>
    <row r="271" spans="4:4" ht="18.75" customHeight="1" x14ac:dyDescent="0.25">
      <c r="D271" s="104"/>
    </row>
    <row r="272" spans="4:4" ht="18.75" customHeight="1" x14ac:dyDescent="0.25">
      <c r="D272" s="104"/>
    </row>
    <row r="273" spans="4:4" ht="18.75" customHeight="1" x14ac:dyDescent="0.25">
      <c r="D273" s="104"/>
    </row>
    <row r="274" spans="4:4" ht="18.75" customHeight="1" x14ac:dyDescent="0.25">
      <c r="D274" s="104"/>
    </row>
    <row r="275" spans="4:4" ht="18.75" customHeight="1" x14ac:dyDescent="0.25">
      <c r="D275" s="104"/>
    </row>
    <row r="276" spans="4:4" ht="18.75" customHeight="1" x14ac:dyDescent="0.25">
      <c r="D276" s="104"/>
    </row>
    <row r="277" spans="4:4" ht="18.75" customHeight="1" x14ac:dyDescent="0.25">
      <c r="D277" s="104"/>
    </row>
    <row r="278" spans="4:4" ht="18.75" customHeight="1" x14ac:dyDescent="0.25">
      <c r="D278" s="104"/>
    </row>
    <row r="279" spans="4:4" ht="18.75" customHeight="1" x14ac:dyDescent="0.25">
      <c r="D279" s="104"/>
    </row>
    <row r="280" spans="4:4" ht="18.75" customHeight="1" x14ac:dyDescent="0.25">
      <c r="D280" s="104"/>
    </row>
    <row r="281" spans="4:4" ht="18.75" customHeight="1" x14ac:dyDescent="0.25">
      <c r="D281" s="104"/>
    </row>
    <row r="282" spans="4:4" ht="18.75" customHeight="1" x14ac:dyDescent="0.25">
      <c r="D282" s="104"/>
    </row>
    <row r="283" spans="4:4" ht="18.75" customHeight="1" x14ac:dyDescent="0.25">
      <c r="D283" s="104"/>
    </row>
    <row r="284" spans="4:4" ht="18.75" customHeight="1" x14ac:dyDescent="0.25">
      <c r="D284" s="104"/>
    </row>
    <row r="285" spans="4:4" ht="18.75" customHeight="1" x14ac:dyDescent="0.25">
      <c r="D285" s="104"/>
    </row>
    <row r="286" spans="4:4" ht="18.75" customHeight="1" x14ac:dyDescent="0.25">
      <c r="D286" s="104"/>
    </row>
    <row r="287" spans="4:4" ht="18.75" customHeight="1" x14ac:dyDescent="0.25">
      <c r="D287" s="104"/>
    </row>
    <row r="288" spans="4:4" ht="18.75" customHeight="1" x14ac:dyDescent="0.25">
      <c r="D288" s="104"/>
    </row>
    <row r="289" spans="4:4" ht="18.75" customHeight="1" x14ac:dyDescent="0.25">
      <c r="D289" s="104"/>
    </row>
    <row r="290" spans="4:4" ht="18.75" customHeight="1" x14ac:dyDescent="0.25">
      <c r="D290" s="104"/>
    </row>
    <row r="291" spans="4:4" ht="18.75" customHeight="1" x14ac:dyDescent="0.25">
      <c r="D291" s="104"/>
    </row>
    <row r="292" spans="4:4" ht="18.75" customHeight="1" x14ac:dyDescent="0.25">
      <c r="D292" s="104"/>
    </row>
    <row r="293" spans="4:4" ht="18.75" customHeight="1" x14ac:dyDescent="0.25">
      <c r="D293" s="104"/>
    </row>
    <row r="294" spans="4:4" ht="18.75" customHeight="1" x14ac:dyDescent="0.25">
      <c r="D294" s="104"/>
    </row>
    <row r="295" spans="4:4" ht="18.75" customHeight="1" x14ac:dyDescent="0.25">
      <c r="D295" s="104"/>
    </row>
    <row r="296" spans="4:4" ht="18.75" customHeight="1" x14ac:dyDescent="0.25">
      <c r="D296" s="104"/>
    </row>
    <row r="297" spans="4:4" ht="18.75" customHeight="1" x14ac:dyDescent="0.25">
      <c r="D297" s="104"/>
    </row>
    <row r="298" spans="4:4" ht="18.75" customHeight="1" x14ac:dyDescent="0.25">
      <c r="D298" s="104"/>
    </row>
    <row r="299" spans="4:4" ht="18.75" customHeight="1" x14ac:dyDescent="0.25">
      <c r="D299" s="104"/>
    </row>
    <row r="300" spans="4:4" ht="18.75" customHeight="1" x14ac:dyDescent="0.25">
      <c r="D300" s="104"/>
    </row>
    <row r="301" spans="4:4" ht="18.75" customHeight="1" x14ac:dyDescent="0.25">
      <c r="D301" s="104"/>
    </row>
    <row r="302" spans="4:4" ht="18.75" customHeight="1" x14ac:dyDescent="0.25">
      <c r="D302" s="104"/>
    </row>
    <row r="303" spans="4:4" ht="18.75" customHeight="1" x14ac:dyDescent="0.25">
      <c r="D303" s="104"/>
    </row>
    <row r="304" spans="4:4" ht="18.75" customHeight="1" x14ac:dyDescent="0.25">
      <c r="D304" s="104"/>
    </row>
    <row r="305" spans="4:4" ht="18.75" customHeight="1" x14ac:dyDescent="0.25">
      <c r="D305" s="104"/>
    </row>
    <row r="306" spans="4:4" ht="18.75" customHeight="1" x14ac:dyDescent="0.25">
      <c r="D306" s="104"/>
    </row>
    <row r="307" spans="4:4" ht="18.75" customHeight="1" x14ac:dyDescent="0.25">
      <c r="D307" s="104"/>
    </row>
    <row r="308" spans="4:4" ht="18.75" customHeight="1" x14ac:dyDescent="0.25">
      <c r="D308" s="104"/>
    </row>
    <row r="309" spans="4:4" ht="18.75" customHeight="1" x14ac:dyDescent="0.25">
      <c r="D309" s="104"/>
    </row>
    <row r="310" spans="4:4" ht="18.75" customHeight="1" x14ac:dyDescent="0.25">
      <c r="D310" s="104"/>
    </row>
    <row r="311" spans="4:4" ht="18.75" customHeight="1" x14ac:dyDescent="0.25">
      <c r="D311" s="104"/>
    </row>
    <row r="312" spans="4:4" ht="18.75" customHeight="1" x14ac:dyDescent="0.25">
      <c r="D312" s="104"/>
    </row>
    <row r="313" spans="4:4" ht="18.75" customHeight="1" x14ac:dyDescent="0.25">
      <c r="D313" s="104"/>
    </row>
    <row r="314" spans="4:4" ht="18.75" customHeight="1" x14ac:dyDescent="0.25">
      <c r="D314" s="104"/>
    </row>
    <row r="315" spans="4:4" ht="18.75" customHeight="1" x14ac:dyDescent="0.25">
      <c r="D315" s="104"/>
    </row>
    <row r="316" spans="4:4" ht="18.75" customHeight="1" x14ac:dyDescent="0.25">
      <c r="D316" s="104"/>
    </row>
    <row r="317" spans="4:4" ht="18.75" customHeight="1" x14ac:dyDescent="0.25">
      <c r="D317" s="104"/>
    </row>
    <row r="318" spans="4:4" ht="18.75" customHeight="1" x14ac:dyDescent="0.25">
      <c r="D318" s="104"/>
    </row>
    <row r="319" spans="4:4" ht="18.75" customHeight="1" x14ac:dyDescent="0.25">
      <c r="D319" s="104"/>
    </row>
    <row r="320" spans="4:4" ht="18.75" customHeight="1" x14ac:dyDescent="0.25">
      <c r="D320" s="104"/>
    </row>
    <row r="321" spans="4:4" ht="18.75" customHeight="1" x14ac:dyDescent="0.25">
      <c r="D321" s="104"/>
    </row>
    <row r="322" spans="4:4" ht="18.75" customHeight="1" x14ac:dyDescent="0.25">
      <c r="D322" s="104"/>
    </row>
    <row r="323" spans="4:4" ht="18.75" customHeight="1" x14ac:dyDescent="0.25">
      <c r="D323" s="104"/>
    </row>
    <row r="324" spans="4:4" ht="18.75" customHeight="1" x14ac:dyDescent="0.25">
      <c r="D324" s="104"/>
    </row>
    <row r="325" spans="4:4" ht="18.75" customHeight="1" x14ac:dyDescent="0.25">
      <c r="D325" s="104"/>
    </row>
    <row r="326" spans="4:4" ht="18.75" customHeight="1" x14ac:dyDescent="0.25">
      <c r="D326" s="104"/>
    </row>
    <row r="327" spans="4:4" ht="18.75" customHeight="1" x14ac:dyDescent="0.25">
      <c r="D327" s="104"/>
    </row>
    <row r="328" spans="4:4" ht="18.75" customHeight="1" x14ac:dyDescent="0.25">
      <c r="D328" s="104"/>
    </row>
    <row r="329" spans="4:4" ht="18.75" customHeight="1" x14ac:dyDescent="0.25">
      <c r="D329" s="104"/>
    </row>
    <row r="330" spans="4:4" ht="18.75" customHeight="1" x14ac:dyDescent="0.25">
      <c r="D330" s="104"/>
    </row>
    <row r="331" spans="4:4" ht="18.75" customHeight="1" x14ac:dyDescent="0.25">
      <c r="D331" s="104"/>
    </row>
    <row r="332" spans="4:4" ht="18.75" customHeight="1" x14ac:dyDescent="0.25">
      <c r="D332" s="104"/>
    </row>
    <row r="333" spans="4:4" ht="18.75" customHeight="1" x14ac:dyDescent="0.25">
      <c r="D333" s="104"/>
    </row>
    <row r="334" spans="4:4" ht="18.75" customHeight="1" x14ac:dyDescent="0.25">
      <c r="D334" s="104"/>
    </row>
    <row r="335" spans="4:4" ht="18.75" customHeight="1" x14ac:dyDescent="0.25">
      <c r="D335" s="104"/>
    </row>
    <row r="336" spans="4:4" ht="18.75" customHeight="1" x14ac:dyDescent="0.25">
      <c r="D336" s="104"/>
    </row>
    <row r="337" spans="4:4" ht="18.75" customHeight="1" x14ac:dyDescent="0.25">
      <c r="D337" s="104"/>
    </row>
    <row r="338" spans="4:4" ht="18.75" customHeight="1" x14ac:dyDescent="0.25">
      <c r="D338" s="104"/>
    </row>
    <row r="339" spans="4:4" ht="18.75" customHeight="1" x14ac:dyDescent="0.25">
      <c r="D339" s="104"/>
    </row>
    <row r="340" spans="4:4" ht="18.75" customHeight="1" x14ac:dyDescent="0.25">
      <c r="D340" s="104"/>
    </row>
    <row r="341" spans="4:4" ht="18.75" customHeight="1" x14ac:dyDescent="0.25">
      <c r="D341" s="104"/>
    </row>
    <row r="342" spans="4:4" ht="18.75" customHeight="1" x14ac:dyDescent="0.25">
      <c r="D342" s="104"/>
    </row>
    <row r="343" spans="4:4" ht="18.75" customHeight="1" x14ac:dyDescent="0.25">
      <c r="D343" s="104"/>
    </row>
    <row r="344" spans="4:4" ht="18.75" customHeight="1" x14ac:dyDescent="0.25">
      <c r="D344" s="104"/>
    </row>
    <row r="345" spans="4:4" ht="18.75" customHeight="1" x14ac:dyDescent="0.25">
      <c r="D345" s="104"/>
    </row>
    <row r="346" spans="4:4" ht="18.75" customHeight="1" x14ac:dyDescent="0.25">
      <c r="D346" s="104"/>
    </row>
    <row r="347" spans="4:4" ht="18.75" customHeight="1" x14ac:dyDescent="0.25">
      <c r="D347" s="104"/>
    </row>
    <row r="348" spans="4:4" ht="18.75" customHeight="1" x14ac:dyDescent="0.25">
      <c r="D348" s="104"/>
    </row>
    <row r="349" spans="4:4" ht="18.75" customHeight="1" x14ac:dyDescent="0.25">
      <c r="D349" s="104"/>
    </row>
    <row r="350" spans="4:4" ht="18.75" customHeight="1" x14ac:dyDescent="0.25">
      <c r="D350" s="104"/>
    </row>
    <row r="351" spans="4:4" ht="18.75" customHeight="1" x14ac:dyDescent="0.25">
      <c r="D351" s="104"/>
    </row>
    <row r="352" spans="4:4" ht="18.75" customHeight="1" x14ac:dyDescent="0.25">
      <c r="D352" s="104"/>
    </row>
    <row r="353" spans="4:4" ht="18.75" customHeight="1" x14ac:dyDescent="0.25">
      <c r="D353" s="104"/>
    </row>
    <row r="354" spans="4:4" ht="18.75" customHeight="1" x14ac:dyDescent="0.25">
      <c r="D354" s="104"/>
    </row>
    <row r="355" spans="4:4" ht="18.75" customHeight="1" x14ac:dyDescent="0.25">
      <c r="D355" s="104"/>
    </row>
    <row r="356" spans="4:4" ht="18.75" customHeight="1" x14ac:dyDescent="0.25">
      <c r="D356" s="104"/>
    </row>
    <row r="357" spans="4:4" ht="18.75" customHeight="1" x14ac:dyDescent="0.25">
      <c r="D357" s="104"/>
    </row>
    <row r="358" spans="4:4" ht="18.75" customHeight="1" x14ac:dyDescent="0.25">
      <c r="D358" s="104"/>
    </row>
    <row r="359" spans="4:4" ht="18.75" customHeight="1" x14ac:dyDescent="0.25">
      <c r="D359" s="104"/>
    </row>
    <row r="360" spans="4:4" ht="18.75" customHeight="1" x14ac:dyDescent="0.25">
      <c r="D360" s="104"/>
    </row>
    <row r="361" spans="4:4" ht="18.75" customHeight="1" x14ac:dyDescent="0.25">
      <c r="D361" s="104"/>
    </row>
    <row r="362" spans="4:4" ht="18.75" customHeight="1" x14ac:dyDescent="0.25">
      <c r="D362" s="104"/>
    </row>
    <row r="363" spans="4:4" ht="18.75" customHeight="1" x14ac:dyDescent="0.25">
      <c r="D363" s="104"/>
    </row>
    <row r="364" spans="4:4" ht="18.75" customHeight="1" x14ac:dyDescent="0.25">
      <c r="D364" s="104"/>
    </row>
    <row r="365" spans="4:4" ht="18.75" customHeight="1" x14ac:dyDescent="0.25">
      <c r="D365" s="104"/>
    </row>
    <row r="366" spans="4:4" ht="18.75" customHeight="1" x14ac:dyDescent="0.25">
      <c r="D366" s="104"/>
    </row>
    <row r="367" spans="4:4" ht="18.75" customHeight="1" x14ac:dyDescent="0.25">
      <c r="D367" s="104"/>
    </row>
    <row r="368" spans="4:4" ht="18.75" customHeight="1" x14ac:dyDescent="0.25">
      <c r="D368" s="104"/>
    </row>
    <row r="369" spans="4:4" ht="18.75" customHeight="1" x14ac:dyDescent="0.25">
      <c r="D369" s="104"/>
    </row>
    <row r="370" spans="4:4" ht="18.75" customHeight="1" x14ac:dyDescent="0.25">
      <c r="D370" s="104"/>
    </row>
    <row r="371" spans="4:4" ht="18.75" customHeight="1" x14ac:dyDescent="0.25">
      <c r="D371" s="104"/>
    </row>
    <row r="372" spans="4:4" ht="18.75" customHeight="1" x14ac:dyDescent="0.25">
      <c r="D372" s="104"/>
    </row>
    <row r="373" spans="4:4" ht="18.75" customHeight="1" x14ac:dyDescent="0.25">
      <c r="D373" s="104"/>
    </row>
    <row r="374" spans="4:4" ht="18.75" customHeight="1" x14ac:dyDescent="0.25">
      <c r="D374" s="104"/>
    </row>
    <row r="375" spans="4:4" ht="18.75" customHeight="1" x14ac:dyDescent="0.25">
      <c r="D375" s="104"/>
    </row>
    <row r="376" spans="4:4" ht="18.75" customHeight="1" x14ac:dyDescent="0.25">
      <c r="D376" s="104"/>
    </row>
    <row r="377" spans="4:4" ht="18.75" customHeight="1" x14ac:dyDescent="0.25">
      <c r="D377" s="104"/>
    </row>
    <row r="378" spans="4:4" ht="18.75" customHeight="1" x14ac:dyDescent="0.25">
      <c r="D378" s="104"/>
    </row>
    <row r="379" spans="4:4" ht="18.75" customHeight="1" x14ac:dyDescent="0.25">
      <c r="D379" s="104"/>
    </row>
    <row r="380" spans="4:4" ht="18.75" customHeight="1" x14ac:dyDescent="0.25">
      <c r="D380" s="104"/>
    </row>
    <row r="381" spans="4:4" ht="18.75" customHeight="1" x14ac:dyDescent="0.25">
      <c r="D381" s="104"/>
    </row>
    <row r="382" spans="4:4" ht="18.75" customHeight="1" x14ac:dyDescent="0.25">
      <c r="D382" s="104"/>
    </row>
    <row r="383" spans="4:4" ht="18.75" customHeight="1" x14ac:dyDescent="0.25">
      <c r="D383" s="104"/>
    </row>
    <row r="384" spans="4:4" ht="18.75" customHeight="1" x14ac:dyDescent="0.25">
      <c r="D384" s="104"/>
    </row>
    <row r="385" spans="4:4" ht="18.75" customHeight="1" x14ac:dyDescent="0.25">
      <c r="D385" s="104"/>
    </row>
    <row r="386" spans="4:4" ht="18.75" customHeight="1" x14ac:dyDescent="0.25">
      <c r="D386" s="104"/>
    </row>
    <row r="387" spans="4:4" ht="18.75" customHeight="1" x14ac:dyDescent="0.25">
      <c r="D387" s="104"/>
    </row>
    <row r="388" spans="4:4" ht="18.75" customHeight="1" x14ac:dyDescent="0.25">
      <c r="D388" s="104"/>
    </row>
    <row r="389" spans="4:4" ht="18.75" customHeight="1" x14ac:dyDescent="0.25">
      <c r="D389" s="104"/>
    </row>
    <row r="390" spans="4:4" ht="18.75" customHeight="1" x14ac:dyDescent="0.25">
      <c r="D390" s="104"/>
    </row>
    <row r="391" spans="4:4" ht="18.75" customHeight="1" x14ac:dyDescent="0.25">
      <c r="D391" s="104"/>
    </row>
    <row r="392" spans="4:4" ht="18.75" customHeight="1" x14ac:dyDescent="0.25">
      <c r="D392" s="104"/>
    </row>
    <row r="393" spans="4:4" ht="18.75" customHeight="1" x14ac:dyDescent="0.25">
      <c r="D393" s="104"/>
    </row>
    <row r="394" spans="4:4" ht="18.75" customHeight="1" x14ac:dyDescent="0.25">
      <c r="D394" s="104"/>
    </row>
    <row r="395" spans="4:4" ht="18.75" customHeight="1" x14ac:dyDescent="0.25">
      <c r="D395" s="104"/>
    </row>
    <row r="396" spans="4:4" ht="18.75" customHeight="1" x14ac:dyDescent="0.25">
      <c r="D396" s="104"/>
    </row>
    <row r="397" spans="4:4" ht="18.75" customHeight="1" x14ac:dyDescent="0.25">
      <c r="D397" s="104"/>
    </row>
    <row r="398" spans="4:4" ht="18.75" customHeight="1" x14ac:dyDescent="0.25">
      <c r="D398" s="104"/>
    </row>
    <row r="399" spans="4:4" ht="18.75" customHeight="1" x14ac:dyDescent="0.25">
      <c r="D399" s="104"/>
    </row>
    <row r="400" spans="4:4" ht="18.75" customHeight="1" x14ac:dyDescent="0.25">
      <c r="D400" s="104"/>
    </row>
    <row r="401" spans="4:4" ht="18.75" customHeight="1" x14ac:dyDescent="0.25">
      <c r="D401" s="104"/>
    </row>
    <row r="402" spans="4:4" ht="18.75" customHeight="1" x14ac:dyDescent="0.25">
      <c r="D402" s="104"/>
    </row>
    <row r="403" spans="4:4" ht="18.75" customHeight="1" x14ac:dyDescent="0.25">
      <c r="D403" s="104"/>
    </row>
    <row r="404" spans="4:4" ht="18.75" customHeight="1" x14ac:dyDescent="0.25">
      <c r="D404" s="104"/>
    </row>
    <row r="405" spans="4:4" ht="18.75" customHeight="1" x14ac:dyDescent="0.25">
      <c r="D405" s="104"/>
    </row>
    <row r="406" spans="4:4" ht="18.75" customHeight="1" x14ac:dyDescent="0.25">
      <c r="D406" s="104"/>
    </row>
    <row r="407" spans="4:4" ht="18.75" customHeight="1" x14ac:dyDescent="0.25">
      <c r="D407" s="104"/>
    </row>
    <row r="408" spans="4:4" ht="18.75" customHeight="1" x14ac:dyDescent="0.25">
      <c r="D408" s="104"/>
    </row>
    <row r="409" spans="4:4" ht="18.75" customHeight="1" x14ac:dyDescent="0.25">
      <c r="D409" s="104"/>
    </row>
    <row r="410" spans="4:4" ht="18.75" customHeight="1" x14ac:dyDescent="0.25">
      <c r="D410" s="104"/>
    </row>
    <row r="411" spans="4:4" ht="18.75" customHeight="1" x14ac:dyDescent="0.25">
      <c r="D411" s="104"/>
    </row>
    <row r="412" spans="4:4" ht="18.75" customHeight="1" x14ac:dyDescent="0.25">
      <c r="D412" s="104"/>
    </row>
    <row r="413" spans="4:4" ht="18.75" customHeight="1" x14ac:dyDescent="0.25">
      <c r="D413" s="104"/>
    </row>
    <row r="414" spans="4:4" ht="18.75" customHeight="1" x14ac:dyDescent="0.25">
      <c r="D414" s="104"/>
    </row>
    <row r="415" spans="4:4" ht="18.75" customHeight="1" x14ac:dyDescent="0.25">
      <c r="D415" s="104"/>
    </row>
    <row r="416" spans="4:4" ht="18.75" customHeight="1" x14ac:dyDescent="0.25">
      <c r="D416" s="104"/>
    </row>
    <row r="417" spans="4:4" ht="18.75" customHeight="1" x14ac:dyDescent="0.25">
      <c r="D417" s="104"/>
    </row>
    <row r="418" spans="4:4" ht="18.75" customHeight="1" x14ac:dyDescent="0.25">
      <c r="D418" s="104"/>
    </row>
    <row r="419" spans="4:4" ht="18.75" customHeight="1" x14ac:dyDescent="0.25">
      <c r="D419" s="104"/>
    </row>
    <row r="420" spans="4:4" ht="18.75" customHeight="1" x14ac:dyDescent="0.25">
      <c r="D420" s="104"/>
    </row>
    <row r="421" spans="4:4" ht="18.75" customHeight="1" x14ac:dyDescent="0.25">
      <c r="D421" s="104"/>
    </row>
    <row r="422" spans="4:4" ht="18.75" customHeight="1" x14ac:dyDescent="0.25">
      <c r="D422" s="104"/>
    </row>
    <row r="423" spans="4:4" ht="18.75" customHeight="1" x14ac:dyDescent="0.25">
      <c r="D423" s="104"/>
    </row>
    <row r="424" spans="4:4" ht="18.75" customHeight="1" x14ac:dyDescent="0.25">
      <c r="D424" s="104"/>
    </row>
    <row r="425" spans="4:4" ht="18.75" customHeight="1" x14ac:dyDescent="0.25">
      <c r="D425" s="104"/>
    </row>
    <row r="426" spans="4:4" ht="18.75" customHeight="1" x14ac:dyDescent="0.25">
      <c r="D426" s="104"/>
    </row>
    <row r="427" spans="4:4" ht="18.75" customHeight="1" x14ac:dyDescent="0.25">
      <c r="D427" s="104"/>
    </row>
    <row r="428" spans="4:4" ht="18.75" customHeight="1" x14ac:dyDescent="0.25">
      <c r="D428" s="104"/>
    </row>
    <row r="429" spans="4:4" ht="18.75" customHeight="1" x14ac:dyDescent="0.25">
      <c r="D429" s="104"/>
    </row>
    <row r="430" spans="4:4" ht="18.75" customHeight="1" x14ac:dyDescent="0.25">
      <c r="D430" s="104"/>
    </row>
    <row r="431" spans="4:4" ht="18.75" customHeight="1" x14ac:dyDescent="0.25">
      <c r="D431" s="104"/>
    </row>
    <row r="432" spans="4:4" ht="18.75" customHeight="1" x14ac:dyDescent="0.25">
      <c r="D432" s="104"/>
    </row>
    <row r="433" spans="4:4" ht="18.75" customHeight="1" x14ac:dyDescent="0.25">
      <c r="D433" s="104"/>
    </row>
    <row r="434" spans="4:4" ht="18.75" customHeight="1" x14ac:dyDescent="0.25">
      <c r="D434" s="104"/>
    </row>
    <row r="435" spans="4:4" ht="18.75" customHeight="1" x14ac:dyDescent="0.25">
      <c r="D435" s="104"/>
    </row>
    <row r="436" spans="4:4" ht="18.75" customHeight="1" x14ac:dyDescent="0.25">
      <c r="D436" s="104"/>
    </row>
    <row r="437" spans="4:4" ht="18.75" customHeight="1" x14ac:dyDescent="0.25">
      <c r="D437" s="104"/>
    </row>
    <row r="438" spans="4:4" ht="18.75" customHeight="1" x14ac:dyDescent="0.25">
      <c r="D438" s="104"/>
    </row>
    <row r="439" spans="4:4" ht="18.75" customHeight="1" x14ac:dyDescent="0.25">
      <c r="D439" s="104"/>
    </row>
    <row r="440" spans="4:4" ht="18.75" customHeight="1" x14ac:dyDescent="0.25">
      <c r="D440" s="104"/>
    </row>
    <row r="441" spans="4:4" ht="18.75" customHeight="1" x14ac:dyDescent="0.25">
      <c r="D441" s="104"/>
    </row>
    <row r="442" spans="4:4" ht="18.75" customHeight="1" x14ac:dyDescent="0.25">
      <c r="D442" s="104"/>
    </row>
    <row r="443" spans="4:4" ht="18.75" customHeight="1" x14ac:dyDescent="0.25">
      <c r="D443" s="104"/>
    </row>
    <row r="444" spans="4:4" ht="18.75" customHeight="1" x14ac:dyDescent="0.25">
      <c r="D444" s="104"/>
    </row>
    <row r="445" spans="4:4" ht="18.75" customHeight="1" x14ac:dyDescent="0.25">
      <c r="D445" s="104"/>
    </row>
    <row r="446" spans="4:4" ht="18.75" customHeight="1" x14ac:dyDescent="0.25">
      <c r="D446" s="104"/>
    </row>
    <row r="447" spans="4:4" ht="18.75" customHeight="1" x14ac:dyDescent="0.25">
      <c r="D447" s="104"/>
    </row>
    <row r="448" spans="4:4" ht="18.75" customHeight="1" x14ac:dyDescent="0.25">
      <c r="D448" s="104"/>
    </row>
    <row r="449" spans="4:4" ht="18.75" customHeight="1" x14ac:dyDescent="0.25">
      <c r="D449" s="104"/>
    </row>
    <row r="450" spans="4:4" ht="18.75" customHeight="1" x14ac:dyDescent="0.25">
      <c r="D450" s="104"/>
    </row>
    <row r="451" spans="4:4" ht="18.75" customHeight="1" x14ac:dyDescent="0.25">
      <c r="D451" s="104"/>
    </row>
    <row r="452" spans="4:4" ht="18.75" customHeight="1" x14ac:dyDescent="0.25">
      <c r="D452" s="104"/>
    </row>
    <row r="453" spans="4:4" ht="18.75" customHeight="1" x14ac:dyDescent="0.25">
      <c r="D453" s="104"/>
    </row>
    <row r="454" spans="4:4" ht="18.75" customHeight="1" x14ac:dyDescent="0.25">
      <c r="D454" s="104"/>
    </row>
    <row r="455" spans="4:4" ht="18.75" customHeight="1" x14ac:dyDescent="0.25">
      <c r="D455" s="104"/>
    </row>
    <row r="456" spans="4:4" ht="18.75" customHeight="1" x14ac:dyDescent="0.25">
      <c r="D456" s="104"/>
    </row>
    <row r="457" spans="4:4" ht="18.75" customHeight="1" x14ac:dyDescent="0.25">
      <c r="D457" s="104"/>
    </row>
    <row r="458" spans="4:4" ht="18.75" customHeight="1" x14ac:dyDescent="0.25">
      <c r="D458" s="104"/>
    </row>
    <row r="459" spans="4:4" ht="18.75" customHeight="1" x14ac:dyDescent="0.25">
      <c r="D459" s="104"/>
    </row>
    <row r="460" spans="4:4" ht="18.75" customHeight="1" x14ac:dyDescent="0.25">
      <c r="D460" s="104"/>
    </row>
    <row r="461" spans="4:4" ht="18.75" customHeight="1" x14ac:dyDescent="0.25">
      <c r="D461" s="104"/>
    </row>
    <row r="462" spans="4:4" ht="18.75" customHeight="1" x14ac:dyDescent="0.25">
      <c r="D462" s="104"/>
    </row>
    <row r="463" spans="4:4" ht="18.75" customHeight="1" x14ac:dyDescent="0.25">
      <c r="D463" s="104"/>
    </row>
    <row r="464" spans="4:4" ht="18.75" customHeight="1" x14ac:dyDescent="0.25">
      <c r="D464" s="104"/>
    </row>
    <row r="465" spans="4:4" ht="18.75" customHeight="1" x14ac:dyDescent="0.25">
      <c r="D465" s="104"/>
    </row>
    <row r="466" spans="4:4" ht="18.75" customHeight="1" x14ac:dyDescent="0.25">
      <c r="D466" s="104"/>
    </row>
    <row r="467" spans="4:4" ht="18.75" customHeight="1" x14ac:dyDescent="0.25">
      <c r="D467" s="104"/>
    </row>
    <row r="468" spans="4:4" ht="18.75" customHeight="1" x14ac:dyDescent="0.25">
      <c r="D468" s="104"/>
    </row>
    <row r="469" spans="4:4" ht="18.75" customHeight="1" x14ac:dyDescent="0.25">
      <c r="D469" s="104"/>
    </row>
    <row r="470" spans="4:4" ht="18.75" customHeight="1" x14ac:dyDescent="0.25">
      <c r="D470" s="104"/>
    </row>
    <row r="471" spans="4:4" ht="18.75" customHeight="1" x14ac:dyDescent="0.25">
      <c r="D471" s="104"/>
    </row>
    <row r="472" spans="4:4" ht="18.75" customHeight="1" x14ac:dyDescent="0.25">
      <c r="D472" s="104"/>
    </row>
    <row r="473" spans="4:4" ht="18.75" customHeight="1" x14ac:dyDescent="0.25">
      <c r="D473" s="104"/>
    </row>
    <row r="474" spans="4:4" ht="18.75" customHeight="1" x14ac:dyDescent="0.25">
      <c r="D474" s="104"/>
    </row>
    <row r="475" spans="4:4" ht="18.75" customHeight="1" x14ac:dyDescent="0.25">
      <c r="D475" s="104"/>
    </row>
    <row r="476" spans="4:4" ht="18.75" customHeight="1" x14ac:dyDescent="0.25">
      <c r="D476" s="104"/>
    </row>
    <row r="477" spans="4:4" ht="18.75" customHeight="1" x14ac:dyDescent="0.25">
      <c r="D477" s="104"/>
    </row>
    <row r="478" spans="4:4" ht="18.75" customHeight="1" x14ac:dyDescent="0.25">
      <c r="D478" s="104"/>
    </row>
    <row r="479" spans="4:4" ht="18.75" customHeight="1" x14ac:dyDescent="0.25">
      <c r="D479" s="104"/>
    </row>
    <row r="480" spans="4:4" ht="18.75" customHeight="1" x14ac:dyDescent="0.25">
      <c r="D480" s="104"/>
    </row>
    <row r="481" spans="4:4" ht="18.75" customHeight="1" x14ac:dyDescent="0.25">
      <c r="D481" s="104"/>
    </row>
    <row r="482" spans="4:4" ht="18.75" customHeight="1" x14ac:dyDescent="0.25">
      <c r="D482" s="104"/>
    </row>
    <row r="483" spans="4:4" ht="18.75" customHeight="1" x14ac:dyDescent="0.25">
      <c r="D483" s="104"/>
    </row>
    <row r="484" spans="4:4" ht="18.75" customHeight="1" x14ac:dyDescent="0.25">
      <c r="D484" s="104"/>
    </row>
    <row r="485" spans="4:4" ht="18.75" customHeight="1" x14ac:dyDescent="0.25">
      <c r="D485" s="104"/>
    </row>
    <row r="486" spans="4:4" ht="18.75" customHeight="1" x14ac:dyDescent="0.25">
      <c r="D486" s="104"/>
    </row>
    <row r="487" spans="4:4" ht="18.75" customHeight="1" x14ac:dyDescent="0.25">
      <c r="D487" s="104"/>
    </row>
    <row r="488" spans="4:4" ht="18.75" customHeight="1" x14ac:dyDescent="0.25">
      <c r="D488" s="104"/>
    </row>
    <row r="489" spans="4:4" ht="18.75" customHeight="1" x14ac:dyDescent="0.25">
      <c r="D489" s="104"/>
    </row>
    <row r="490" spans="4:4" ht="18.75" customHeight="1" x14ac:dyDescent="0.25">
      <c r="D490" s="104"/>
    </row>
    <row r="491" spans="4:4" ht="18.75" customHeight="1" x14ac:dyDescent="0.25">
      <c r="D491" s="104"/>
    </row>
    <row r="492" spans="4:4" ht="18.75" customHeight="1" x14ac:dyDescent="0.25">
      <c r="D492" s="104"/>
    </row>
    <row r="493" spans="4:4" ht="18.75" customHeight="1" x14ac:dyDescent="0.25">
      <c r="D493" s="104"/>
    </row>
    <row r="494" spans="4:4" ht="18.75" customHeight="1" x14ac:dyDescent="0.25">
      <c r="D494" s="104"/>
    </row>
    <row r="495" spans="4:4" ht="18.75" customHeight="1" x14ac:dyDescent="0.25">
      <c r="D495" s="104"/>
    </row>
    <row r="496" spans="4:4" ht="18.75" customHeight="1" x14ac:dyDescent="0.25">
      <c r="D496" s="104"/>
    </row>
    <row r="497" spans="4:4" ht="18.75" customHeight="1" x14ac:dyDescent="0.25">
      <c r="D497" s="104"/>
    </row>
    <row r="498" spans="4:4" ht="18.75" customHeight="1" x14ac:dyDescent="0.25">
      <c r="D498" s="104"/>
    </row>
    <row r="499" spans="4:4" ht="18.75" customHeight="1" x14ac:dyDescent="0.25">
      <c r="D499" s="104"/>
    </row>
    <row r="500" spans="4:4" ht="18.75" customHeight="1" x14ac:dyDescent="0.25">
      <c r="D500" s="104"/>
    </row>
    <row r="501" spans="4:4" ht="18.75" customHeight="1" x14ac:dyDescent="0.25">
      <c r="D501" s="104"/>
    </row>
    <row r="502" spans="4:4" ht="18.75" customHeight="1" x14ac:dyDescent="0.25">
      <c r="D502" s="104"/>
    </row>
    <row r="503" spans="4:4" ht="18.75" customHeight="1" x14ac:dyDescent="0.25">
      <c r="D503" s="104"/>
    </row>
    <row r="504" spans="4:4" ht="18.75" customHeight="1" x14ac:dyDescent="0.25">
      <c r="D504" s="104"/>
    </row>
    <row r="505" spans="4:4" ht="18.75" customHeight="1" x14ac:dyDescent="0.25">
      <c r="D505" s="104"/>
    </row>
    <row r="506" spans="4:4" ht="18.75" customHeight="1" x14ac:dyDescent="0.25">
      <c r="D506" s="104"/>
    </row>
    <row r="507" spans="4:4" ht="18.75" customHeight="1" x14ac:dyDescent="0.25">
      <c r="D507" s="104"/>
    </row>
    <row r="508" spans="4:4" ht="18.75" customHeight="1" x14ac:dyDescent="0.25">
      <c r="D508" s="104"/>
    </row>
    <row r="509" spans="4:4" ht="18.75" customHeight="1" x14ac:dyDescent="0.25">
      <c r="D509" s="104"/>
    </row>
    <row r="510" spans="4:4" ht="18.75" customHeight="1" x14ac:dyDescent="0.25">
      <c r="D510" s="104"/>
    </row>
    <row r="511" spans="4:4" ht="18.75" customHeight="1" x14ac:dyDescent="0.25">
      <c r="D511" s="104"/>
    </row>
    <row r="512" spans="4:4" ht="18.75" customHeight="1" x14ac:dyDescent="0.25">
      <c r="D512" s="104"/>
    </row>
    <row r="513" spans="4:4" ht="18.75" customHeight="1" x14ac:dyDescent="0.25">
      <c r="D513" s="104"/>
    </row>
    <row r="514" spans="4:4" ht="18.75" customHeight="1" x14ac:dyDescent="0.25">
      <c r="D514" s="104"/>
    </row>
    <row r="515" spans="4:4" ht="18.75" customHeight="1" x14ac:dyDescent="0.25">
      <c r="D515" s="104"/>
    </row>
    <row r="516" spans="4:4" ht="18.75" customHeight="1" x14ac:dyDescent="0.25">
      <c r="D516" s="104"/>
    </row>
    <row r="517" spans="4:4" ht="18.75" customHeight="1" x14ac:dyDescent="0.25">
      <c r="D517" s="104"/>
    </row>
    <row r="518" spans="4:4" ht="18.75" customHeight="1" x14ac:dyDescent="0.25">
      <c r="D518" s="104"/>
    </row>
    <row r="519" spans="4:4" ht="18.75" customHeight="1" x14ac:dyDescent="0.25">
      <c r="D519" s="104"/>
    </row>
    <row r="520" spans="4:4" ht="18.75" customHeight="1" x14ac:dyDescent="0.25">
      <c r="D520" s="104"/>
    </row>
    <row r="521" spans="4:4" ht="18.75" customHeight="1" x14ac:dyDescent="0.25">
      <c r="D521" s="104"/>
    </row>
    <row r="522" spans="4:4" ht="18.75" customHeight="1" x14ac:dyDescent="0.25">
      <c r="D522" s="104"/>
    </row>
    <row r="523" spans="4:4" ht="18.75" customHeight="1" x14ac:dyDescent="0.25">
      <c r="D523" s="104"/>
    </row>
    <row r="524" spans="4:4" ht="18.75" customHeight="1" x14ac:dyDescent="0.25">
      <c r="D524" s="104"/>
    </row>
    <row r="525" spans="4:4" ht="18.75" customHeight="1" x14ac:dyDescent="0.25">
      <c r="D525" s="104"/>
    </row>
    <row r="526" spans="4:4" ht="18.75" customHeight="1" x14ac:dyDescent="0.25">
      <c r="D526" s="104"/>
    </row>
    <row r="527" spans="4:4" ht="18.75" customHeight="1" x14ac:dyDescent="0.25">
      <c r="D527" s="104"/>
    </row>
    <row r="528" spans="4:4" ht="18.75" customHeight="1" x14ac:dyDescent="0.25">
      <c r="D528" s="104"/>
    </row>
    <row r="529" spans="4:4" ht="18.75" customHeight="1" x14ac:dyDescent="0.25">
      <c r="D529" s="104"/>
    </row>
    <row r="530" spans="4:4" ht="18.75" customHeight="1" x14ac:dyDescent="0.25">
      <c r="D530" s="104"/>
    </row>
    <row r="531" spans="4:4" ht="18.75" customHeight="1" x14ac:dyDescent="0.25">
      <c r="D531" s="104"/>
    </row>
    <row r="532" spans="4:4" ht="18.75" customHeight="1" x14ac:dyDescent="0.25">
      <c r="D532" s="104"/>
    </row>
    <row r="533" spans="4:4" ht="18.75" customHeight="1" x14ac:dyDescent="0.25">
      <c r="D533" s="104"/>
    </row>
    <row r="534" spans="4:4" ht="18.75" customHeight="1" x14ac:dyDescent="0.25">
      <c r="D534" s="104"/>
    </row>
    <row r="535" spans="4:4" ht="18.75" customHeight="1" x14ac:dyDescent="0.25">
      <c r="D535" s="104"/>
    </row>
    <row r="536" spans="4:4" ht="18.75" customHeight="1" x14ac:dyDescent="0.25">
      <c r="D536" s="104"/>
    </row>
    <row r="537" spans="4:4" ht="18.75" customHeight="1" x14ac:dyDescent="0.25">
      <c r="D537" s="104"/>
    </row>
    <row r="538" spans="4:4" ht="18.75" customHeight="1" x14ac:dyDescent="0.25">
      <c r="D538" s="104"/>
    </row>
    <row r="539" spans="4:4" ht="18.75" customHeight="1" x14ac:dyDescent="0.25">
      <c r="D539" s="104"/>
    </row>
    <row r="540" spans="4:4" ht="18.75" customHeight="1" x14ac:dyDescent="0.25">
      <c r="D540" s="104"/>
    </row>
    <row r="541" spans="4:4" ht="18.75" customHeight="1" x14ac:dyDescent="0.25">
      <c r="D541" s="104"/>
    </row>
    <row r="542" spans="4:4" ht="18.75" customHeight="1" x14ac:dyDescent="0.25">
      <c r="D542" s="104"/>
    </row>
    <row r="543" spans="4:4" ht="18.75" customHeight="1" x14ac:dyDescent="0.25">
      <c r="D543" s="104"/>
    </row>
    <row r="544" spans="4:4" ht="18.75" customHeight="1" x14ac:dyDescent="0.25">
      <c r="D544" s="104"/>
    </row>
    <row r="545" spans="4:4" ht="18.75" customHeight="1" x14ac:dyDescent="0.25">
      <c r="D545" s="104"/>
    </row>
    <row r="546" spans="4:4" ht="18.75" customHeight="1" x14ac:dyDescent="0.25">
      <c r="D546" s="104"/>
    </row>
    <row r="547" spans="4:4" ht="18.75" customHeight="1" x14ac:dyDescent="0.25">
      <c r="D547" s="104"/>
    </row>
    <row r="548" spans="4:4" ht="18.75" customHeight="1" x14ac:dyDescent="0.25">
      <c r="D548" s="104"/>
    </row>
    <row r="549" spans="4:4" ht="18.75" customHeight="1" x14ac:dyDescent="0.25">
      <c r="D549" s="104"/>
    </row>
    <row r="550" spans="4:4" ht="18.75" customHeight="1" x14ac:dyDescent="0.25">
      <c r="D550" s="104"/>
    </row>
    <row r="551" spans="4:4" ht="18.75" customHeight="1" x14ac:dyDescent="0.25">
      <c r="D551" s="104"/>
    </row>
    <row r="552" spans="4:4" ht="18.75" customHeight="1" x14ac:dyDescent="0.25">
      <c r="D552" s="104"/>
    </row>
    <row r="553" spans="4:4" ht="18.75" customHeight="1" x14ac:dyDescent="0.25">
      <c r="D553" s="104"/>
    </row>
    <row r="554" spans="4:4" ht="18.75" customHeight="1" x14ac:dyDescent="0.25">
      <c r="D554" s="104"/>
    </row>
    <row r="555" spans="4:4" ht="18.75" customHeight="1" x14ac:dyDescent="0.25">
      <c r="D555" s="104"/>
    </row>
    <row r="556" spans="4:4" ht="18.75" customHeight="1" x14ac:dyDescent="0.25">
      <c r="D556" s="104"/>
    </row>
    <row r="557" spans="4:4" ht="18.75" customHeight="1" x14ac:dyDescent="0.25">
      <c r="D557" s="104"/>
    </row>
    <row r="558" spans="4:4" ht="18.75" customHeight="1" x14ac:dyDescent="0.25">
      <c r="D558" s="104"/>
    </row>
    <row r="559" spans="4:4" ht="18.75" customHeight="1" x14ac:dyDescent="0.25">
      <c r="D559" s="104"/>
    </row>
    <row r="560" spans="4:4" ht="18.75" customHeight="1" x14ac:dyDescent="0.25">
      <c r="D560" s="104"/>
    </row>
    <row r="561" spans="4:4" ht="18.75" customHeight="1" x14ac:dyDescent="0.25">
      <c r="D561" s="104"/>
    </row>
    <row r="562" spans="4:4" ht="18.75" customHeight="1" x14ac:dyDescent="0.25">
      <c r="D562" s="104"/>
    </row>
    <row r="563" spans="4:4" ht="18.75" customHeight="1" x14ac:dyDescent="0.25">
      <c r="D563" s="104"/>
    </row>
    <row r="564" spans="4:4" ht="18.75" customHeight="1" x14ac:dyDescent="0.25">
      <c r="D564" s="104"/>
    </row>
    <row r="565" spans="4:4" ht="18.75" customHeight="1" x14ac:dyDescent="0.25">
      <c r="D565" s="104"/>
    </row>
    <row r="566" spans="4:4" ht="18.75" customHeight="1" x14ac:dyDescent="0.25">
      <c r="D566" s="104"/>
    </row>
    <row r="567" spans="4:4" ht="18.75" customHeight="1" x14ac:dyDescent="0.25">
      <c r="D567" s="104"/>
    </row>
    <row r="568" spans="4:4" ht="18.75" customHeight="1" x14ac:dyDescent="0.25">
      <c r="D568" s="104"/>
    </row>
    <row r="569" spans="4:4" ht="18.75" customHeight="1" x14ac:dyDescent="0.25">
      <c r="D569" s="104"/>
    </row>
    <row r="570" spans="4:4" ht="18.75" customHeight="1" x14ac:dyDescent="0.25">
      <c r="D570" s="104"/>
    </row>
    <row r="571" spans="4:4" ht="18.75" customHeight="1" x14ac:dyDescent="0.25">
      <c r="D571" s="104"/>
    </row>
    <row r="572" spans="4:4" ht="18.75" customHeight="1" x14ac:dyDescent="0.25">
      <c r="D572" s="104"/>
    </row>
    <row r="573" spans="4:4" ht="18.75" customHeight="1" x14ac:dyDescent="0.25">
      <c r="D573" s="104"/>
    </row>
    <row r="574" spans="4:4" ht="18.75" customHeight="1" x14ac:dyDescent="0.25">
      <c r="D574" s="104"/>
    </row>
    <row r="575" spans="4:4" ht="18.75" customHeight="1" x14ac:dyDescent="0.25">
      <c r="D575" s="104"/>
    </row>
    <row r="576" spans="4:4" ht="18.75" customHeight="1" x14ac:dyDescent="0.25">
      <c r="D576" s="104"/>
    </row>
    <row r="577" spans="4:4" ht="18.75" customHeight="1" x14ac:dyDescent="0.25">
      <c r="D577" s="104"/>
    </row>
    <row r="578" spans="4:4" ht="18.75" customHeight="1" x14ac:dyDescent="0.25">
      <c r="D578" s="104"/>
    </row>
    <row r="579" spans="4:4" ht="18.75" customHeight="1" x14ac:dyDescent="0.25">
      <c r="D579" s="104"/>
    </row>
    <row r="580" spans="4:4" ht="18.75" customHeight="1" x14ac:dyDescent="0.25">
      <c r="D580" s="104"/>
    </row>
    <row r="581" spans="4:4" ht="18.75" customHeight="1" x14ac:dyDescent="0.25">
      <c r="D581" s="104"/>
    </row>
    <row r="582" spans="4:4" ht="18.75" customHeight="1" x14ac:dyDescent="0.25">
      <c r="D582" s="104"/>
    </row>
    <row r="583" spans="4:4" ht="18.75" customHeight="1" x14ac:dyDescent="0.25">
      <c r="D583" s="104"/>
    </row>
    <row r="584" spans="4:4" ht="18.75" customHeight="1" x14ac:dyDescent="0.25">
      <c r="D584" s="104"/>
    </row>
    <row r="585" spans="4:4" ht="18.75" customHeight="1" x14ac:dyDescent="0.25">
      <c r="D585" s="104"/>
    </row>
    <row r="586" spans="4:4" ht="18.75" customHeight="1" x14ac:dyDescent="0.25">
      <c r="D586" s="104"/>
    </row>
    <row r="587" spans="4:4" ht="18.75" customHeight="1" x14ac:dyDescent="0.25">
      <c r="D587" s="104"/>
    </row>
    <row r="588" spans="4:4" ht="18.75" customHeight="1" x14ac:dyDescent="0.25">
      <c r="D588" s="104"/>
    </row>
    <row r="589" spans="4:4" ht="18.75" customHeight="1" x14ac:dyDescent="0.25">
      <c r="D589" s="104"/>
    </row>
    <row r="590" spans="4:4" ht="18.75" customHeight="1" x14ac:dyDescent="0.25">
      <c r="D590" s="104"/>
    </row>
    <row r="591" spans="4:4" ht="18.75" customHeight="1" x14ac:dyDescent="0.25">
      <c r="D591" s="104"/>
    </row>
    <row r="592" spans="4:4" ht="18.75" customHeight="1" x14ac:dyDescent="0.25">
      <c r="D592" s="104"/>
    </row>
    <row r="593" spans="4:4" ht="18.75" customHeight="1" x14ac:dyDescent="0.25">
      <c r="D593" s="104"/>
    </row>
    <row r="594" spans="4:4" ht="18.75" customHeight="1" x14ac:dyDescent="0.25">
      <c r="D594" s="104"/>
    </row>
    <row r="595" spans="4:4" ht="18.75" customHeight="1" x14ac:dyDescent="0.25">
      <c r="D595" s="104"/>
    </row>
    <row r="596" spans="4:4" ht="18.75" customHeight="1" x14ac:dyDescent="0.25">
      <c r="D596" s="104"/>
    </row>
    <row r="597" spans="4:4" ht="18.75" customHeight="1" x14ac:dyDescent="0.25">
      <c r="D597" s="104"/>
    </row>
    <row r="598" spans="4:4" ht="18.75" customHeight="1" x14ac:dyDescent="0.25">
      <c r="D598" s="104"/>
    </row>
    <row r="599" spans="4:4" ht="18.75" customHeight="1" x14ac:dyDescent="0.25">
      <c r="D599" s="104"/>
    </row>
    <row r="600" spans="4:4" ht="18.75" customHeight="1" x14ac:dyDescent="0.25">
      <c r="D600" s="104"/>
    </row>
    <row r="601" spans="4:4" ht="18.75" customHeight="1" x14ac:dyDescent="0.25">
      <c r="D601" s="104"/>
    </row>
    <row r="602" spans="4:4" ht="18.75" customHeight="1" x14ac:dyDescent="0.25">
      <c r="D602" s="104"/>
    </row>
    <row r="603" spans="4:4" ht="18.75" customHeight="1" x14ac:dyDescent="0.25">
      <c r="D603" s="104"/>
    </row>
    <row r="604" spans="4:4" ht="18.75" customHeight="1" x14ac:dyDescent="0.25">
      <c r="D604" s="104"/>
    </row>
    <row r="605" spans="4:4" ht="18.75" customHeight="1" x14ac:dyDescent="0.25">
      <c r="D605" s="104"/>
    </row>
    <row r="606" spans="4:4" ht="18.75" customHeight="1" x14ac:dyDescent="0.25">
      <c r="D606" s="104"/>
    </row>
    <row r="607" spans="4:4" ht="18.75" customHeight="1" x14ac:dyDescent="0.25">
      <c r="D607" s="104"/>
    </row>
    <row r="608" spans="4:4" ht="18.75" customHeight="1" x14ac:dyDescent="0.25">
      <c r="D608" s="104"/>
    </row>
    <row r="609" spans="4:4" ht="18.75" customHeight="1" x14ac:dyDescent="0.25">
      <c r="D609" s="104"/>
    </row>
    <row r="610" spans="4:4" ht="18.75" customHeight="1" x14ac:dyDescent="0.25">
      <c r="D610" s="104"/>
    </row>
    <row r="611" spans="4:4" ht="18.75" customHeight="1" x14ac:dyDescent="0.25">
      <c r="D611" s="104"/>
    </row>
    <row r="612" spans="4:4" ht="18.75" customHeight="1" x14ac:dyDescent="0.25">
      <c r="D612" s="104"/>
    </row>
    <row r="613" spans="4:4" ht="18.75" customHeight="1" x14ac:dyDescent="0.25">
      <c r="D613" s="104"/>
    </row>
    <row r="614" spans="4:4" ht="18.75" customHeight="1" x14ac:dyDescent="0.25">
      <c r="D614" s="104"/>
    </row>
    <row r="615" spans="4:4" ht="18.75" customHeight="1" x14ac:dyDescent="0.25">
      <c r="D615" s="104"/>
    </row>
    <row r="616" spans="4:4" ht="18.75" customHeight="1" x14ac:dyDescent="0.25">
      <c r="D616" s="104"/>
    </row>
    <row r="617" spans="4:4" ht="18.75" customHeight="1" x14ac:dyDescent="0.25">
      <c r="D617" s="104"/>
    </row>
    <row r="618" spans="4:4" ht="18.75" customHeight="1" x14ac:dyDescent="0.25">
      <c r="D618" s="104"/>
    </row>
    <row r="619" spans="4:4" ht="18.75" customHeight="1" x14ac:dyDescent="0.25">
      <c r="D619" s="104"/>
    </row>
    <row r="620" spans="4:4" ht="18.75" customHeight="1" x14ac:dyDescent="0.25">
      <c r="D620" s="104"/>
    </row>
    <row r="621" spans="4:4" ht="18.75" customHeight="1" x14ac:dyDescent="0.25">
      <c r="D621" s="104"/>
    </row>
    <row r="622" spans="4:4" ht="18.75" customHeight="1" x14ac:dyDescent="0.25">
      <c r="D622" s="104"/>
    </row>
    <row r="623" spans="4:4" ht="18.75" customHeight="1" x14ac:dyDescent="0.25">
      <c r="D623" s="104"/>
    </row>
    <row r="624" spans="4:4" ht="18.75" customHeight="1" x14ac:dyDescent="0.25">
      <c r="D624" s="104"/>
    </row>
    <row r="625" spans="4:4" ht="18.75" customHeight="1" x14ac:dyDescent="0.25">
      <c r="D625" s="104"/>
    </row>
    <row r="626" spans="4:4" ht="18.75" customHeight="1" x14ac:dyDescent="0.25">
      <c r="D626" s="104"/>
    </row>
    <row r="627" spans="4:4" ht="18.75" customHeight="1" x14ac:dyDescent="0.25">
      <c r="D627" s="104"/>
    </row>
    <row r="628" spans="4:4" ht="18.75" customHeight="1" x14ac:dyDescent="0.25">
      <c r="D628" s="104"/>
    </row>
    <row r="629" spans="4:4" ht="18.75" customHeight="1" x14ac:dyDescent="0.25">
      <c r="D629" s="104"/>
    </row>
    <row r="630" spans="4:4" ht="18.75" customHeight="1" x14ac:dyDescent="0.25">
      <c r="D630" s="104"/>
    </row>
    <row r="631" spans="4:4" ht="18.75" customHeight="1" x14ac:dyDescent="0.25">
      <c r="D631" s="104"/>
    </row>
    <row r="632" spans="4:4" ht="18.75" customHeight="1" x14ac:dyDescent="0.25">
      <c r="D632" s="104"/>
    </row>
    <row r="633" spans="4:4" ht="18.75" customHeight="1" x14ac:dyDescent="0.25">
      <c r="D633" s="104"/>
    </row>
    <row r="634" spans="4:4" ht="18.75" customHeight="1" x14ac:dyDescent="0.25">
      <c r="D634" s="104"/>
    </row>
    <row r="635" spans="4:4" ht="18.75" customHeight="1" x14ac:dyDescent="0.25">
      <c r="D635" s="104"/>
    </row>
    <row r="636" spans="4:4" ht="18.75" customHeight="1" x14ac:dyDescent="0.25">
      <c r="D636" s="104"/>
    </row>
    <row r="637" spans="4:4" ht="18.75" customHeight="1" x14ac:dyDescent="0.25">
      <c r="D637" s="104"/>
    </row>
    <row r="638" spans="4:4" ht="18.75" customHeight="1" x14ac:dyDescent="0.25">
      <c r="D638" s="104"/>
    </row>
    <row r="639" spans="4:4" ht="18.75" customHeight="1" x14ac:dyDescent="0.25">
      <c r="D639" s="104"/>
    </row>
    <row r="640" spans="4:4" ht="18.75" customHeight="1" x14ac:dyDescent="0.25">
      <c r="D640" s="104"/>
    </row>
    <row r="641" spans="4:4" ht="18.75" customHeight="1" x14ac:dyDescent="0.25">
      <c r="D641" s="104"/>
    </row>
    <row r="642" spans="4:4" ht="18.75" customHeight="1" x14ac:dyDescent="0.25">
      <c r="D642" s="104"/>
    </row>
    <row r="643" spans="4:4" ht="18.75" customHeight="1" x14ac:dyDescent="0.25">
      <c r="D643" s="104"/>
    </row>
    <row r="644" spans="4:4" ht="18.75" customHeight="1" x14ac:dyDescent="0.25">
      <c r="D644" s="104"/>
    </row>
    <row r="645" spans="4:4" ht="18.75" customHeight="1" x14ac:dyDescent="0.25">
      <c r="D645" s="104"/>
    </row>
    <row r="646" spans="4:4" ht="18.75" customHeight="1" x14ac:dyDescent="0.25">
      <c r="D646" s="104"/>
    </row>
    <row r="647" spans="4:4" ht="18.75" customHeight="1" x14ac:dyDescent="0.25">
      <c r="D647" s="104"/>
    </row>
    <row r="648" spans="4:4" ht="18.75" customHeight="1" x14ac:dyDescent="0.25">
      <c r="D648" s="104"/>
    </row>
    <row r="649" spans="4:4" ht="18.75" customHeight="1" x14ac:dyDescent="0.25">
      <c r="D649" s="104"/>
    </row>
    <row r="650" spans="4:4" ht="18.75" customHeight="1" x14ac:dyDescent="0.25">
      <c r="D650" s="104"/>
    </row>
    <row r="651" spans="4:4" ht="18.75" customHeight="1" x14ac:dyDescent="0.25">
      <c r="D651" s="104"/>
    </row>
    <row r="652" spans="4:4" ht="18.75" customHeight="1" x14ac:dyDescent="0.25">
      <c r="D652" s="104"/>
    </row>
    <row r="653" spans="4:4" ht="18.75" customHeight="1" x14ac:dyDescent="0.25">
      <c r="D653" s="104"/>
    </row>
    <row r="654" spans="4:4" ht="18.75" customHeight="1" x14ac:dyDescent="0.25">
      <c r="D654" s="104"/>
    </row>
    <row r="655" spans="4:4" ht="18.75" customHeight="1" x14ac:dyDescent="0.25">
      <c r="D655" s="104"/>
    </row>
    <row r="656" spans="4:4" ht="18.75" customHeight="1" x14ac:dyDescent="0.25">
      <c r="D656" s="104"/>
    </row>
    <row r="657" spans="4:4" ht="18.75" customHeight="1" x14ac:dyDescent="0.25">
      <c r="D657" s="104"/>
    </row>
    <row r="658" spans="4:4" ht="18.75" customHeight="1" x14ac:dyDescent="0.25">
      <c r="D658" s="104"/>
    </row>
    <row r="659" spans="4:4" ht="18.75" customHeight="1" x14ac:dyDescent="0.25">
      <c r="D659" s="104"/>
    </row>
    <row r="660" spans="4:4" ht="18.75" customHeight="1" x14ac:dyDescent="0.25">
      <c r="D660" s="104"/>
    </row>
    <row r="661" spans="4:4" ht="18.75" customHeight="1" x14ac:dyDescent="0.25">
      <c r="D661" s="104"/>
    </row>
    <row r="662" spans="4:4" ht="18.75" customHeight="1" x14ac:dyDescent="0.25">
      <c r="D662" s="104"/>
    </row>
    <row r="663" spans="4:4" ht="18.75" customHeight="1" x14ac:dyDescent="0.25">
      <c r="D663" s="104"/>
    </row>
    <row r="664" spans="4:4" ht="18.75" customHeight="1" x14ac:dyDescent="0.25">
      <c r="D664" s="104"/>
    </row>
    <row r="665" spans="4:4" ht="18.75" customHeight="1" x14ac:dyDescent="0.25">
      <c r="D665" s="104"/>
    </row>
    <row r="666" spans="4:4" ht="18.75" customHeight="1" x14ac:dyDescent="0.25">
      <c r="D666" s="104"/>
    </row>
    <row r="667" spans="4:4" ht="18.75" customHeight="1" x14ac:dyDescent="0.25">
      <c r="D667" s="104"/>
    </row>
    <row r="668" spans="4:4" ht="18.75" customHeight="1" x14ac:dyDescent="0.25">
      <c r="D668" s="104"/>
    </row>
    <row r="669" spans="4:4" ht="18.75" customHeight="1" x14ac:dyDescent="0.25">
      <c r="D669" s="104"/>
    </row>
    <row r="670" spans="4:4" ht="18.75" customHeight="1" x14ac:dyDescent="0.25">
      <c r="D670" s="104"/>
    </row>
    <row r="671" spans="4:4" ht="18.75" customHeight="1" x14ac:dyDescent="0.25">
      <c r="D671" s="104"/>
    </row>
    <row r="672" spans="4:4" ht="18.75" customHeight="1" x14ac:dyDescent="0.25">
      <c r="D672" s="104"/>
    </row>
    <row r="673" spans="4:4" ht="18.75" customHeight="1" x14ac:dyDescent="0.25">
      <c r="D673" s="104"/>
    </row>
    <row r="674" spans="4:4" ht="18.75" customHeight="1" x14ac:dyDescent="0.25">
      <c r="D674" s="104"/>
    </row>
    <row r="675" spans="4:4" ht="18.75" customHeight="1" x14ac:dyDescent="0.25">
      <c r="D675" s="104"/>
    </row>
    <row r="676" spans="4:4" ht="18.75" customHeight="1" x14ac:dyDescent="0.25">
      <c r="D676" s="104"/>
    </row>
    <row r="677" spans="4:4" ht="18.75" customHeight="1" x14ac:dyDescent="0.25">
      <c r="D677" s="104"/>
    </row>
    <row r="678" spans="4:4" ht="18.75" customHeight="1" x14ac:dyDescent="0.25">
      <c r="D678" s="104"/>
    </row>
    <row r="679" spans="4:4" ht="18.75" customHeight="1" x14ac:dyDescent="0.25">
      <c r="D679" s="104"/>
    </row>
    <row r="680" spans="4:4" ht="18.75" customHeight="1" x14ac:dyDescent="0.25">
      <c r="D680" s="104"/>
    </row>
    <row r="681" spans="4:4" ht="18.75" customHeight="1" x14ac:dyDescent="0.25">
      <c r="D681" s="104"/>
    </row>
    <row r="682" spans="4:4" ht="18.75" customHeight="1" x14ac:dyDescent="0.25">
      <c r="D682" s="104"/>
    </row>
    <row r="683" spans="4:4" ht="18.75" customHeight="1" x14ac:dyDescent="0.25">
      <c r="D683" s="104"/>
    </row>
    <row r="684" spans="4:4" ht="18.75" customHeight="1" x14ac:dyDescent="0.25">
      <c r="D684" s="104"/>
    </row>
    <row r="685" spans="4:4" ht="18.75" customHeight="1" x14ac:dyDescent="0.25">
      <c r="D685" s="104"/>
    </row>
    <row r="686" spans="4:4" ht="18.75" customHeight="1" x14ac:dyDescent="0.25">
      <c r="D686" s="104"/>
    </row>
    <row r="687" spans="4:4" ht="18.75" customHeight="1" x14ac:dyDescent="0.25">
      <c r="D687" s="104"/>
    </row>
    <row r="688" spans="4:4" ht="18.75" customHeight="1" x14ac:dyDescent="0.25">
      <c r="D688" s="104"/>
    </row>
    <row r="689" spans="4:4" ht="18.75" customHeight="1" x14ac:dyDescent="0.25">
      <c r="D689" s="104"/>
    </row>
    <row r="690" spans="4:4" ht="18.75" customHeight="1" x14ac:dyDescent="0.25">
      <c r="D690" s="104"/>
    </row>
    <row r="691" spans="4:4" ht="18.75" customHeight="1" x14ac:dyDescent="0.25">
      <c r="D691" s="104"/>
    </row>
    <row r="692" spans="4:4" ht="18.75" customHeight="1" x14ac:dyDescent="0.25">
      <c r="D692" s="104"/>
    </row>
    <row r="693" spans="4:4" ht="18.75" customHeight="1" x14ac:dyDescent="0.25">
      <c r="D693" s="104"/>
    </row>
    <row r="694" spans="4:4" ht="18.75" customHeight="1" x14ac:dyDescent="0.25">
      <c r="D694" s="104"/>
    </row>
    <row r="695" spans="4:4" ht="18.75" customHeight="1" x14ac:dyDescent="0.25">
      <c r="D695" s="104"/>
    </row>
    <row r="696" spans="4:4" ht="18.75" customHeight="1" x14ac:dyDescent="0.25">
      <c r="D696" s="104"/>
    </row>
    <row r="697" spans="4:4" ht="18.75" customHeight="1" x14ac:dyDescent="0.25">
      <c r="D697" s="104"/>
    </row>
    <row r="698" spans="4:4" ht="18.75" customHeight="1" x14ac:dyDescent="0.25">
      <c r="D698" s="104"/>
    </row>
    <row r="699" spans="4:4" ht="18.75" customHeight="1" x14ac:dyDescent="0.25">
      <c r="D699" s="104"/>
    </row>
    <row r="700" spans="4:4" ht="18.75" customHeight="1" x14ac:dyDescent="0.25">
      <c r="D700" s="104"/>
    </row>
    <row r="701" spans="4:4" ht="18.75" customHeight="1" x14ac:dyDescent="0.25">
      <c r="D701" s="104"/>
    </row>
    <row r="702" spans="4:4" ht="18.75" customHeight="1" x14ac:dyDescent="0.25">
      <c r="D702" s="104"/>
    </row>
    <row r="703" spans="4:4" ht="18.75" customHeight="1" x14ac:dyDescent="0.25">
      <c r="D703" s="104"/>
    </row>
    <row r="704" spans="4:4" ht="18.75" customHeight="1" x14ac:dyDescent="0.25">
      <c r="D704" s="104"/>
    </row>
    <row r="705" spans="4:4" ht="18.75" customHeight="1" x14ac:dyDescent="0.25">
      <c r="D705" s="104"/>
    </row>
    <row r="706" spans="4:4" ht="18.75" customHeight="1" x14ac:dyDescent="0.25">
      <c r="D706" s="104"/>
    </row>
    <row r="707" spans="4:4" ht="18.75" customHeight="1" x14ac:dyDescent="0.25">
      <c r="D707" s="104"/>
    </row>
    <row r="708" spans="4:4" ht="18.75" customHeight="1" x14ac:dyDescent="0.25">
      <c r="D708" s="104"/>
    </row>
    <row r="709" spans="4:4" ht="18.75" customHeight="1" x14ac:dyDescent="0.25">
      <c r="D709" s="104"/>
    </row>
    <row r="710" spans="4:4" ht="18.75" customHeight="1" x14ac:dyDescent="0.25">
      <c r="D710" s="104"/>
    </row>
    <row r="711" spans="4:4" ht="18.75" customHeight="1" x14ac:dyDescent="0.25">
      <c r="D711" s="104"/>
    </row>
    <row r="712" spans="4:4" ht="18.75" customHeight="1" x14ac:dyDescent="0.25">
      <c r="D712" s="104"/>
    </row>
    <row r="713" spans="4:4" ht="18.75" customHeight="1" x14ac:dyDescent="0.25">
      <c r="D713" s="104"/>
    </row>
    <row r="714" spans="4:4" ht="18.75" customHeight="1" x14ac:dyDescent="0.25">
      <c r="D714" s="104"/>
    </row>
    <row r="715" spans="4:4" ht="18.75" customHeight="1" x14ac:dyDescent="0.25">
      <c r="D715" s="104"/>
    </row>
    <row r="716" spans="4:4" ht="18.75" customHeight="1" x14ac:dyDescent="0.25">
      <c r="D716" s="104"/>
    </row>
    <row r="717" spans="4:4" ht="18.75" customHeight="1" x14ac:dyDescent="0.25">
      <c r="D717" s="104"/>
    </row>
    <row r="718" spans="4:4" ht="18.75" customHeight="1" x14ac:dyDescent="0.25">
      <c r="D718" s="104"/>
    </row>
    <row r="719" spans="4:4" ht="18.75" customHeight="1" x14ac:dyDescent="0.25">
      <c r="D719" s="104"/>
    </row>
    <row r="720" spans="4:4" ht="18.75" customHeight="1" x14ac:dyDescent="0.25">
      <c r="D720" s="104"/>
    </row>
    <row r="721" spans="4:4" ht="18.75" customHeight="1" x14ac:dyDescent="0.25">
      <c r="D721" s="104"/>
    </row>
    <row r="722" spans="4:4" ht="18.75" customHeight="1" x14ac:dyDescent="0.25">
      <c r="D722" s="104"/>
    </row>
    <row r="723" spans="4:4" ht="18.75" customHeight="1" x14ac:dyDescent="0.25">
      <c r="D723" s="104"/>
    </row>
    <row r="724" spans="4:4" ht="18.75" customHeight="1" x14ac:dyDescent="0.25">
      <c r="D724" s="104"/>
    </row>
    <row r="725" spans="4:4" ht="18.75" customHeight="1" x14ac:dyDescent="0.25">
      <c r="D725" s="104"/>
    </row>
    <row r="726" spans="4:4" ht="18.75" customHeight="1" x14ac:dyDescent="0.25">
      <c r="D726" s="104"/>
    </row>
    <row r="727" spans="4:4" ht="18.75" customHeight="1" x14ac:dyDescent="0.25">
      <c r="D727" s="104"/>
    </row>
    <row r="728" spans="4:4" ht="18.75" customHeight="1" x14ac:dyDescent="0.25">
      <c r="D728" s="104"/>
    </row>
    <row r="729" spans="4:4" ht="18.75" customHeight="1" x14ac:dyDescent="0.25">
      <c r="D729" s="104"/>
    </row>
    <row r="730" spans="4:4" ht="18.75" customHeight="1" x14ac:dyDescent="0.25">
      <c r="D730" s="104"/>
    </row>
    <row r="731" spans="4:4" ht="18.75" customHeight="1" x14ac:dyDescent="0.25">
      <c r="D731" s="104"/>
    </row>
    <row r="732" spans="4:4" ht="18.75" customHeight="1" x14ac:dyDescent="0.25">
      <c r="D732" s="104"/>
    </row>
    <row r="733" spans="4:4" ht="18.75" customHeight="1" x14ac:dyDescent="0.25">
      <c r="D733" s="104"/>
    </row>
    <row r="734" spans="4:4" ht="18.75" customHeight="1" x14ac:dyDescent="0.25">
      <c r="D734" s="104"/>
    </row>
    <row r="735" spans="4:4" ht="18.75" customHeight="1" x14ac:dyDescent="0.25">
      <c r="D735" s="104"/>
    </row>
    <row r="736" spans="4:4" ht="18.75" customHeight="1" x14ac:dyDescent="0.25">
      <c r="D736" s="104"/>
    </row>
    <row r="737" spans="4:4" ht="18.75" customHeight="1" x14ac:dyDescent="0.25">
      <c r="D737" s="104"/>
    </row>
    <row r="738" spans="4:4" ht="18.75" customHeight="1" x14ac:dyDescent="0.25">
      <c r="D738" s="104"/>
    </row>
    <row r="739" spans="4:4" ht="18.75" customHeight="1" x14ac:dyDescent="0.25">
      <c r="D739" s="104"/>
    </row>
    <row r="740" spans="4:4" ht="18.75" customHeight="1" x14ac:dyDescent="0.25">
      <c r="D740" s="104"/>
    </row>
    <row r="741" spans="4:4" ht="18.75" customHeight="1" x14ac:dyDescent="0.25">
      <c r="D741" s="104"/>
    </row>
    <row r="742" spans="4:4" ht="18.75" customHeight="1" x14ac:dyDescent="0.25">
      <c r="D742" s="104"/>
    </row>
    <row r="743" spans="4:4" ht="18.75" customHeight="1" x14ac:dyDescent="0.25">
      <c r="D743" s="104"/>
    </row>
    <row r="744" spans="4:4" ht="18.75" customHeight="1" x14ac:dyDescent="0.25">
      <c r="D744" s="104"/>
    </row>
    <row r="745" spans="4:4" ht="18.75" customHeight="1" x14ac:dyDescent="0.25">
      <c r="D745" s="104"/>
    </row>
    <row r="746" spans="4:4" ht="18.75" customHeight="1" x14ac:dyDescent="0.25">
      <c r="D746" s="104"/>
    </row>
    <row r="747" spans="4:4" ht="18.75" customHeight="1" x14ac:dyDescent="0.25">
      <c r="D747" s="104"/>
    </row>
    <row r="748" spans="4:4" ht="18.75" customHeight="1" x14ac:dyDescent="0.25">
      <c r="D748" s="104"/>
    </row>
    <row r="749" spans="4:4" ht="18.75" customHeight="1" x14ac:dyDescent="0.25">
      <c r="D749" s="104"/>
    </row>
    <row r="750" spans="4:4" ht="18.75" customHeight="1" x14ac:dyDescent="0.25">
      <c r="D750" s="104"/>
    </row>
    <row r="751" spans="4:4" ht="18.75" customHeight="1" x14ac:dyDescent="0.25">
      <c r="D751" s="104"/>
    </row>
    <row r="752" spans="4:4" ht="18.75" customHeight="1" x14ac:dyDescent="0.25">
      <c r="D752" s="104"/>
    </row>
    <row r="753" spans="4:4" ht="18.75" customHeight="1" x14ac:dyDescent="0.25">
      <c r="D753" s="104"/>
    </row>
    <row r="754" spans="4:4" ht="18.75" customHeight="1" x14ac:dyDescent="0.25">
      <c r="D754" s="104"/>
    </row>
    <row r="755" spans="4:4" ht="18.75" customHeight="1" x14ac:dyDescent="0.25">
      <c r="D755" s="104"/>
    </row>
    <row r="756" spans="4:4" ht="18.75" customHeight="1" x14ac:dyDescent="0.25">
      <c r="D756" s="104"/>
    </row>
    <row r="757" spans="4:4" ht="18.75" customHeight="1" x14ac:dyDescent="0.25">
      <c r="D757" s="104"/>
    </row>
    <row r="758" spans="4:4" ht="18.75" customHeight="1" x14ac:dyDescent="0.25">
      <c r="D758" s="104"/>
    </row>
    <row r="759" spans="4:4" ht="18.75" customHeight="1" x14ac:dyDescent="0.25">
      <c r="D759" s="104"/>
    </row>
    <row r="760" spans="4:4" ht="18.75" customHeight="1" x14ac:dyDescent="0.25">
      <c r="D760" s="104"/>
    </row>
    <row r="761" spans="4:4" ht="18.75" customHeight="1" x14ac:dyDescent="0.25">
      <c r="D761" s="104"/>
    </row>
    <row r="762" spans="4:4" ht="18.75" customHeight="1" x14ac:dyDescent="0.25">
      <c r="D762" s="104"/>
    </row>
    <row r="763" spans="4:4" ht="18.75" customHeight="1" x14ac:dyDescent="0.25">
      <c r="D763" s="104"/>
    </row>
    <row r="764" spans="4:4" ht="18.75" customHeight="1" x14ac:dyDescent="0.25">
      <c r="D764" s="104"/>
    </row>
    <row r="765" spans="4:4" ht="18.75" customHeight="1" x14ac:dyDescent="0.25">
      <c r="D765" s="104"/>
    </row>
    <row r="766" spans="4:4" ht="18.75" customHeight="1" x14ac:dyDescent="0.25">
      <c r="D766" s="104"/>
    </row>
    <row r="767" spans="4:4" ht="18.75" customHeight="1" x14ac:dyDescent="0.25">
      <c r="D767" s="104"/>
    </row>
    <row r="768" spans="4:4" ht="18.75" customHeight="1" x14ac:dyDescent="0.25">
      <c r="D768" s="104"/>
    </row>
    <row r="769" spans="4:4" ht="18.75" customHeight="1" x14ac:dyDescent="0.25">
      <c r="D769" s="104"/>
    </row>
    <row r="770" spans="4:4" ht="18.75" customHeight="1" x14ac:dyDescent="0.25">
      <c r="D770" s="104"/>
    </row>
    <row r="771" spans="4:4" ht="18.75" customHeight="1" x14ac:dyDescent="0.25">
      <c r="D771" s="104"/>
    </row>
    <row r="772" spans="4:4" ht="18.75" customHeight="1" x14ac:dyDescent="0.25">
      <c r="D772" s="104"/>
    </row>
    <row r="773" spans="4:4" ht="18.75" customHeight="1" x14ac:dyDescent="0.25">
      <c r="D773" s="104"/>
    </row>
    <row r="774" spans="4:4" ht="18.75" customHeight="1" x14ac:dyDescent="0.25">
      <c r="D774" s="104"/>
    </row>
    <row r="775" spans="4:4" ht="18.75" customHeight="1" x14ac:dyDescent="0.25">
      <c r="D775" s="104"/>
    </row>
    <row r="776" spans="4:4" ht="18.75" customHeight="1" x14ac:dyDescent="0.25">
      <c r="D776" s="104"/>
    </row>
    <row r="777" spans="4:4" ht="18.75" customHeight="1" x14ac:dyDescent="0.25">
      <c r="D777" s="104"/>
    </row>
    <row r="778" spans="4:4" ht="18.75" customHeight="1" x14ac:dyDescent="0.25">
      <c r="D778" s="104"/>
    </row>
    <row r="779" spans="4:4" ht="18.75" customHeight="1" x14ac:dyDescent="0.25">
      <c r="D779" s="104"/>
    </row>
    <row r="780" spans="4:4" ht="18.75" customHeight="1" x14ac:dyDescent="0.25">
      <c r="D780" s="104"/>
    </row>
    <row r="781" spans="4:4" ht="18.75" customHeight="1" x14ac:dyDescent="0.25">
      <c r="D781" s="104"/>
    </row>
    <row r="782" spans="4:4" ht="18.75" customHeight="1" x14ac:dyDescent="0.25">
      <c r="D782" s="104"/>
    </row>
    <row r="783" spans="4:4" ht="18.75" customHeight="1" x14ac:dyDescent="0.25">
      <c r="D783" s="104"/>
    </row>
    <row r="784" spans="4:4" ht="18.75" customHeight="1" x14ac:dyDescent="0.25">
      <c r="D784" s="104"/>
    </row>
    <row r="785" spans="4:4" ht="18.75" customHeight="1" x14ac:dyDescent="0.25">
      <c r="D785" s="104"/>
    </row>
    <row r="786" spans="4:4" ht="18.75" customHeight="1" x14ac:dyDescent="0.25">
      <c r="D786" s="104"/>
    </row>
    <row r="787" spans="4:4" ht="18.75" customHeight="1" x14ac:dyDescent="0.25">
      <c r="D787" s="104"/>
    </row>
    <row r="788" spans="4:4" ht="18.75" customHeight="1" x14ac:dyDescent="0.25">
      <c r="D788" s="104"/>
    </row>
    <row r="789" spans="4:4" ht="18.75" customHeight="1" x14ac:dyDescent="0.25">
      <c r="D789" s="104"/>
    </row>
    <row r="790" spans="4:4" ht="18.75" customHeight="1" x14ac:dyDescent="0.25">
      <c r="D790" s="104"/>
    </row>
    <row r="791" spans="4:4" ht="18.75" customHeight="1" x14ac:dyDescent="0.25">
      <c r="D791" s="104"/>
    </row>
    <row r="792" spans="4:4" ht="18.75" customHeight="1" x14ac:dyDescent="0.25">
      <c r="D792" s="104"/>
    </row>
    <row r="793" spans="4:4" ht="18.75" customHeight="1" x14ac:dyDescent="0.25">
      <c r="D793" s="104"/>
    </row>
    <row r="794" spans="4:4" ht="18.75" customHeight="1" x14ac:dyDescent="0.25">
      <c r="D794" s="104"/>
    </row>
    <row r="795" spans="4:4" ht="18.75" customHeight="1" x14ac:dyDescent="0.25">
      <c r="D795" s="104"/>
    </row>
    <row r="796" spans="4:4" ht="18.75" customHeight="1" x14ac:dyDescent="0.25">
      <c r="D796" s="104"/>
    </row>
    <row r="797" spans="4:4" ht="18.75" customHeight="1" x14ac:dyDescent="0.25">
      <c r="D797" s="104"/>
    </row>
    <row r="798" spans="4:4" ht="18.75" customHeight="1" x14ac:dyDescent="0.25">
      <c r="D798" s="104"/>
    </row>
    <row r="799" spans="4:4" ht="18.75" customHeight="1" x14ac:dyDescent="0.25">
      <c r="D799" s="104"/>
    </row>
    <row r="800" spans="4:4" ht="18.75" customHeight="1" x14ac:dyDescent="0.25">
      <c r="D800" s="104"/>
    </row>
    <row r="801" spans="4:4" ht="18.75" customHeight="1" x14ac:dyDescent="0.25">
      <c r="D801" s="104"/>
    </row>
    <row r="802" spans="4:4" ht="18.75" customHeight="1" x14ac:dyDescent="0.25">
      <c r="D802" s="104"/>
    </row>
    <row r="803" spans="4:4" ht="18.75" customHeight="1" x14ac:dyDescent="0.25">
      <c r="D803" s="104"/>
    </row>
    <row r="804" spans="4:4" ht="18.75" customHeight="1" x14ac:dyDescent="0.25">
      <c r="D804" s="104"/>
    </row>
    <row r="805" spans="4:4" ht="18.75" customHeight="1" x14ac:dyDescent="0.25">
      <c r="D805" s="104"/>
    </row>
    <row r="806" spans="4:4" ht="18.75" customHeight="1" x14ac:dyDescent="0.25">
      <c r="D806" s="104"/>
    </row>
    <row r="807" spans="4:4" ht="18.75" customHeight="1" x14ac:dyDescent="0.25">
      <c r="D807" s="104"/>
    </row>
    <row r="808" spans="4:4" ht="18.75" customHeight="1" x14ac:dyDescent="0.25">
      <c r="D808" s="104"/>
    </row>
    <row r="809" spans="4:4" ht="18.75" customHeight="1" x14ac:dyDescent="0.25">
      <c r="D809" s="104"/>
    </row>
    <row r="810" spans="4:4" ht="18.75" customHeight="1" x14ac:dyDescent="0.25">
      <c r="D810" s="104"/>
    </row>
    <row r="811" spans="4:4" ht="18.75" customHeight="1" x14ac:dyDescent="0.25">
      <c r="D811" s="104"/>
    </row>
    <row r="812" spans="4:4" ht="18.75" customHeight="1" x14ac:dyDescent="0.25">
      <c r="D812" s="104"/>
    </row>
    <row r="813" spans="4:4" ht="18.75" customHeight="1" x14ac:dyDescent="0.25">
      <c r="D813" s="104"/>
    </row>
    <row r="814" spans="4:4" ht="18.75" customHeight="1" x14ac:dyDescent="0.25">
      <c r="D814" s="104"/>
    </row>
    <row r="815" spans="4:4" ht="18.75" customHeight="1" x14ac:dyDescent="0.25">
      <c r="D815" s="104"/>
    </row>
    <row r="816" spans="4:4" ht="18.75" customHeight="1" x14ac:dyDescent="0.25">
      <c r="D816" s="104"/>
    </row>
    <row r="817" spans="4:4" ht="18.75" customHeight="1" x14ac:dyDescent="0.25">
      <c r="D817" s="104"/>
    </row>
    <row r="818" spans="4:4" ht="18.75" customHeight="1" x14ac:dyDescent="0.25">
      <c r="D818" s="104"/>
    </row>
    <row r="819" spans="4:4" ht="18.75" customHeight="1" x14ac:dyDescent="0.25">
      <c r="D819" s="104"/>
    </row>
    <row r="820" spans="4:4" ht="18.75" customHeight="1" x14ac:dyDescent="0.25">
      <c r="D820" s="104"/>
    </row>
    <row r="821" spans="4:4" ht="18.75" customHeight="1" x14ac:dyDescent="0.25">
      <c r="D821" s="104"/>
    </row>
    <row r="822" spans="4:4" ht="18.75" customHeight="1" x14ac:dyDescent="0.25">
      <c r="D822" s="104"/>
    </row>
    <row r="823" spans="4:4" ht="18.75" customHeight="1" x14ac:dyDescent="0.25">
      <c r="D823" s="104"/>
    </row>
    <row r="824" spans="4:4" ht="18.75" customHeight="1" x14ac:dyDescent="0.25">
      <c r="D824" s="104"/>
    </row>
    <row r="825" spans="4:4" ht="18.75" customHeight="1" x14ac:dyDescent="0.25">
      <c r="D825" s="104"/>
    </row>
    <row r="826" spans="4:4" ht="18.75" customHeight="1" x14ac:dyDescent="0.25">
      <c r="D826" s="104"/>
    </row>
    <row r="827" spans="4:4" ht="18.75" customHeight="1" x14ac:dyDescent="0.25">
      <c r="D827" s="104"/>
    </row>
    <row r="828" spans="4:4" ht="18.75" customHeight="1" x14ac:dyDescent="0.25">
      <c r="D828" s="104"/>
    </row>
    <row r="829" spans="4:4" ht="18.75" customHeight="1" x14ac:dyDescent="0.25">
      <c r="D829" s="104"/>
    </row>
    <row r="830" spans="4:4" ht="18.75" customHeight="1" x14ac:dyDescent="0.25">
      <c r="D830" s="104"/>
    </row>
    <row r="831" spans="4:4" ht="18.75" customHeight="1" x14ac:dyDescent="0.25">
      <c r="D831" s="104"/>
    </row>
    <row r="832" spans="4:4" ht="18.75" customHeight="1" x14ac:dyDescent="0.25">
      <c r="D832" s="104"/>
    </row>
    <row r="833" spans="4:4" ht="18.75" customHeight="1" x14ac:dyDescent="0.25">
      <c r="D833" s="104"/>
    </row>
    <row r="834" spans="4:4" ht="18.75" customHeight="1" x14ac:dyDescent="0.25">
      <c r="D834" s="104"/>
    </row>
    <row r="835" spans="4:4" ht="18.75" customHeight="1" x14ac:dyDescent="0.25">
      <c r="D835" s="104"/>
    </row>
    <row r="836" spans="4:4" ht="18.75" customHeight="1" x14ac:dyDescent="0.25">
      <c r="D836" s="104"/>
    </row>
    <row r="837" spans="4:4" ht="18.75" customHeight="1" x14ac:dyDescent="0.25">
      <c r="D837" s="104"/>
    </row>
    <row r="838" spans="4:4" ht="18.75" customHeight="1" x14ac:dyDescent="0.25">
      <c r="D838" s="104"/>
    </row>
    <row r="839" spans="4:4" ht="18.75" customHeight="1" x14ac:dyDescent="0.25">
      <c r="D839" s="104"/>
    </row>
    <row r="840" spans="4:4" ht="18.75" customHeight="1" x14ac:dyDescent="0.25">
      <c r="D840" s="104"/>
    </row>
    <row r="841" spans="4:4" ht="18.75" customHeight="1" x14ac:dyDescent="0.25">
      <c r="D841" s="104"/>
    </row>
    <row r="842" spans="4:4" ht="18.75" customHeight="1" x14ac:dyDescent="0.25">
      <c r="D842" s="104"/>
    </row>
    <row r="843" spans="4:4" ht="18.75" customHeight="1" x14ac:dyDescent="0.25">
      <c r="D843" s="104"/>
    </row>
    <row r="844" spans="4:4" ht="18.75" customHeight="1" x14ac:dyDescent="0.25">
      <c r="D844" s="104"/>
    </row>
    <row r="845" spans="4:4" ht="18.75" customHeight="1" x14ac:dyDescent="0.25">
      <c r="D845" s="104"/>
    </row>
    <row r="846" spans="4:4" ht="18.75" customHeight="1" x14ac:dyDescent="0.25">
      <c r="D846" s="104"/>
    </row>
    <row r="847" spans="4:4" ht="18.75" customHeight="1" x14ac:dyDescent="0.25">
      <c r="D847" s="104"/>
    </row>
    <row r="848" spans="4:4" ht="18.75" customHeight="1" x14ac:dyDescent="0.25">
      <c r="D848" s="104"/>
    </row>
    <row r="849" spans="4:4" ht="18.75" customHeight="1" x14ac:dyDescent="0.25">
      <c r="D849" s="104"/>
    </row>
    <row r="850" spans="4:4" ht="18.75" customHeight="1" x14ac:dyDescent="0.25">
      <c r="D850" s="104"/>
    </row>
    <row r="851" spans="4:4" ht="18.75" customHeight="1" x14ac:dyDescent="0.25">
      <c r="D851" s="104"/>
    </row>
    <row r="852" spans="4:4" ht="18.75" customHeight="1" x14ac:dyDescent="0.25">
      <c r="D852" s="104"/>
    </row>
    <row r="853" spans="4:4" ht="18.75" customHeight="1" x14ac:dyDescent="0.25">
      <c r="D853" s="104"/>
    </row>
    <row r="854" spans="4:4" ht="18.75" customHeight="1" x14ac:dyDescent="0.25">
      <c r="D854" s="104"/>
    </row>
    <row r="855" spans="4:4" ht="18.75" customHeight="1" x14ac:dyDescent="0.25">
      <c r="D855" s="104"/>
    </row>
    <row r="856" spans="4:4" ht="18.75" customHeight="1" x14ac:dyDescent="0.25">
      <c r="D856" s="104"/>
    </row>
    <row r="857" spans="4:4" ht="18.75" customHeight="1" x14ac:dyDescent="0.25">
      <c r="D857" s="104"/>
    </row>
    <row r="858" spans="4:4" ht="18.75" customHeight="1" x14ac:dyDescent="0.25">
      <c r="D858" s="104"/>
    </row>
    <row r="859" spans="4:4" ht="18.75" customHeight="1" x14ac:dyDescent="0.25">
      <c r="D859" s="104"/>
    </row>
    <row r="860" spans="4:4" ht="18.75" customHeight="1" x14ac:dyDescent="0.25">
      <c r="D860" s="104"/>
    </row>
    <row r="861" spans="4:4" ht="18.75" customHeight="1" x14ac:dyDescent="0.25">
      <c r="D861" s="104"/>
    </row>
    <row r="862" spans="4:4" ht="18.75" customHeight="1" x14ac:dyDescent="0.25">
      <c r="D862" s="104"/>
    </row>
    <row r="863" spans="4:4" ht="18.75" customHeight="1" x14ac:dyDescent="0.25">
      <c r="D863" s="104"/>
    </row>
    <row r="864" spans="4:4" ht="18.75" customHeight="1" x14ac:dyDescent="0.25">
      <c r="D864" s="104"/>
    </row>
    <row r="865" spans="4:4" ht="18.75" customHeight="1" x14ac:dyDescent="0.25">
      <c r="D865" s="104"/>
    </row>
    <row r="866" spans="4:4" ht="18.75" customHeight="1" x14ac:dyDescent="0.25">
      <c r="D866" s="104"/>
    </row>
    <row r="867" spans="4:4" ht="18.75" customHeight="1" x14ac:dyDescent="0.25">
      <c r="D867" s="104"/>
    </row>
    <row r="868" spans="4:4" ht="18.75" customHeight="1" x14ac:dyDescent="0.25">
      <c r="D868" s="104"/>
    </row>
    <row r="869" spans="4:4" ht="18.75" customHeight="1" x14ac:dyDescent="0.25">
      <c r="D869" s="104"/>
    </row>
    <row r="870" spans="4:4" ht="18.75" customHeight="1" x14ac:dyDescent="0.25">
      <c r="D870" s="104"/>
    </row>
    <row r="871" spans="4:4" ht="18.75" customHeight="1" x14ac:dyDescent="0.25">
      <c r="D871" s="104"/>
    </row>
    <row r="872" spans="4:4" ht="18.75" customHeight="1" x14ac:dyDescent="0.25">
      <c r="D872" s="104"/>
    </row>
    <row r="873" spans="4:4" ht="18.75" customHeight="1" x14ac:dyDescent="0.25">
      <c r="D873" s="104"/>
    </row>
    <row r="874" spans="4:4" ht="18.75" customHeight="1" x14ac:dyDescent="0.25">
      <c r="D874" s="104"/>
    </row>
    <row r="875" spans="4:4" ht="18.75" customHeight="1" x14ac:dyDescent="0.25">
      <c r="D875" s="104"/>
    </row>
    <row r="876" spans="4:4" ht="18.75" customHeight="1" x14ac:dyDescent="0.25">
      <c r="D876" s="104"/>
    </row>
    <row r="877" spans="4:4" ht="18.75" customHeight="1" x14ac:dyDescent="0.25">
      <c r="D877" s="104"/>
    </row>
    <row r="878" spans="4:4" ht="18.75" customHeight="1" x14ac:dyDescent="0.25">
      <c r="D878" s="104"/>
    </row>
    <row r="879" spans="4:4" ht="18.75" customHeight="1" x14ac:dyDescent="0.25">
      <c r="D879" s="104"/>
    </row>
    <row r="880" spans="4:4" ht="18.75" customHeight="1" x14ac:dyDescent="0.25">
      <c r="D880" s="104"/>
    </row>
    <row r="881" spans="4:4" ht="18.75" customHeight="1" x14ac:dyDescent="0.25">
      <c r="D881" s="104"/>
    </row>
    <row r="882" spans="4:4" ht="18.75" customHeight="1" x14ac:dyDescent="0.25">
      <c r="D882" s="104"/>
    </row>
    <row r="883" spans="4:4" ht="18.75" customHeight="1" x14ac:dyDescent="0.25">
      <c r="D883" s="104"/>
    </row>
    <row r="884" spans="4:4" ht="18.75" customHeight="1" x14ac:dyDescent="0.25">
      <c r="D884" s="104"/>
    </row>
    <row r="885" spans="4:4" ht="18.75" customHeight="1" x14ac:dyDescent="0.25">
      <c r="D885" s="104"/>
    </row>
    <row r="886" spans="4:4" ht="18.75" customHeight="1" x14ac:dyDescent="0.25">
      <c r="D886" s="104"/>
    </row>
    <row r="887" spans="4:4" ht="18.75" customHeight="1" x14ac:dyDescent="0.25">
      <c r="D887" s="104"/>
    </row>
    <row r="888" spans="4:4" ht="18.75" customHeight="1" x14ac:dyDescent="0.25">
      <c r="D888" s="104"/>
    </row>
    <row r="889" spans="4:4" ht="18.75" customHeight="1" x14ac:dyDescent="0.25">
      <c r="D889" s="104"/>
    </row>
    <row r="890" spans="4:4" ht="18.75" customHeight="1" x14ac:dyDescent="0.25">
      <c r="D890" s="104"/>
    </row>
    <row r="891" spans="4:4" ht="18.75" customHeight="1" x14ac:dyDescent="0.25">
      <c r="D891" s="104"/>
    </row>
    <row r="892" spans="4:4" ht="18.75" customHeight="1" x14ac:dyDescent="0.25">
      <c r="D892" s="104"/>
    </row>
    <row r="893" spans="4:4" ht="18.75" customHeight="1" x14ac:dyDescent="0.25">
      <c r="D893" s="104"/>
    </row>
    <row r="894" spans="4:4" ht="18.75" customHeight="1" x14ac:dyDescent="0.25">
      <c r="D894" s="104"/>
    </row>
    <row r="895" spans="4:4" ht="18.75" customHeight="1" x14ac:dyDescent="0.25">
      <c r="D895" s="104"/>
    </row>
    <row r="896" spans="4:4" ht="18.75" customHeight="1" x14ac:dyDescent="0.25">
      <c r="D896" s="104"/>
    </row>
    <row r="897" spans="4:4" ht="18.75" customHeight="1" x14ac:dyDescent="0.25">
      <c r="D897" s="104"/>
    </row>
    <row r="898" spans="4:4" ht="18.75" customHeight="1" x14ac:dyDescent="0.25">
      <c r="D898" s="104"/>
    </row>
    <row r="899" spans="4:4" ht="18.75" customHeight="1" x14ac:dyDescent="0.25">
      <c r="D899" s="104"/>
    </row>
    <row r="900" spans="4:4" ht="18.75" customHeight="1" x14ac:dyDescent="0.25">
      <c r="D900" s="104"/>
    </row>
    <row r="901" spans="4:4" ht="18.75" customHeight="1" x14ac:dyDescent="0.25">
      <c r="D901" s="104"/>
    </row>
    <row r="902" spans="4:4" ht="18.75" customHeight="1" x14ac:dyDescent="0.25">
      <c r="D902" s="104"/>
    </row>
    <row r="903" spans="4:4" ht="18.75" customHeight="1" x14ac:dyDescent="0.25">
      <c r="D903" s="104"/>
    </row>
    <row r="904" spans="4:4" ht="18.75" customHeight="1" x14ac:dyDescent="0.25">
      <c r="D904" s="104"/>
    </row>
    <row r="905" spans="4:4" ht="18.75" customHeight="1" x14ac:dyDescent="0.25">
      <c r="D905" s="104"/>
    </row>
    <row r="906" spans="4:4" ht="18.75" customHeight="1" x14ac:dyDescent="0.25">
      <c r="D906" s="104"/>
    </row>
    <row r="907" spans="4:4" ht="18.75" customHeight="1" x14ac:dyDescent="0.25">
      <c r="D907" s="104"/>
    </row>
    <row r="908" spans="4:4" ht="18.75" customHeight="1" x14ac:dyDescent="0.25">
      <c r="D908" s="104"/>
    </row>
    <row r="909" spans="4:4" ht="18.75" customHeight="1" x14ac:dyDescent="0.25">
      <c r="D909" s="104"/>
    </row>
    <row r="910" spans="4:4" ht="18.75" customHeight="1" x14ac:dyDescent="0.25">
      <c r="D910" s="104"/>
    </row>
    <row r="911" spans="4:4" ht="18.75" customHeight="1" x14ac:dyDescent="0.25">
      <c r="D911" s="104"/>
    </row>
    <row r="912" spans="4:4" ht="18.75" customHeight="1" x14ac:dyDescent="0.25">
      <c r="D912" s="104"/>
    </row>
    <row r="913" spans="4:4" ht="18.75" customHeight="1" x14ac:dyDescent="0.25">
      <c r="D913" s="104"/>
    </row>
    <row r="914" spans="4:4" ht="18.75" customHeight="1" x14ac:dyDescent="0.25">
      <c r="D914" s="104"/>
    </row>
    <row r="915" spans="4:4" ht="18.75" customHeight="1" x14ac:dyDescent="0.25">
      <c r="D915" s="104"/>
    </row>
    <row r="916" spans="4:4" ht="18.75" customHeight="1" x14ac:dyDescent="0.25">
      <c r="D916" s="104"/>
    </row>
    <row r="917" spans="4:4" ht="18.75" customHeight="1" x14ac:dyDescent="0.25">
      <c r="D917" s="104"/>
    </row>
    <row r="918" spans="4:4" ht="18.75" customHeight="1" x14ac:dyDescent="0.25">
      <c r="D918" s="104"/>
    </row>
    <row r="919" spans="4:4" ht="18.75" customHeight="1" x14ac:dyDescent="0.25">
      <c r="D919" s="104"/>
    </row>
    <row r="920" spans="4:4" ht="18.75" customHeight="1" x14ac:dyDescent="0.25">
      <c r="D920" s="104"/>
    </row>
    <row r="921" spans="4:4" ht="18.75" customHeight="1" x14ac:dyDescent="0.25">
      <c r="D921" s="104"/>
    </row>
    <row r="922" spans="4:4" ht="18.75" customHeight="1" x14ac:dyDescent="0.25">
      <c r="D922" s="104"/>
    </row>
    <row r="923" spans="4:4" ht="18.75" customHeight="1" x14ac:dyDescent="0.25">
      <c r="D923" s="104"/>
    </row>
    <row r="924" spans="4:4" ht="18.75" customHeight="1" x14ac:dyDescent="0.25">
      <c r="D924" s="104"/>
    </row>
    <row r="925" spans="4:4" ht="18.75" customHeight="1" x14ac:dyDescent="0.25">
      <c r="D925" s="104"/>
    </row>
    <row r="926" spans="4:4" ht="18.75" customHeight="1" x14ac:dyDescent="0.25">
      <c r="D926" s="104"/>
    </row>
    <row r="927" spans="4:4" ht="18.75" customHeight="1" x14ac:dyDescent="0.25">
      <c r="D927" s="104"/>
    </row>
    <row r="928" spans="4:4" ht="18.75" customHeight="1" x14ac:dyDescent="0.25">
      <c r="D928" s="104"/>
    </row>
    <row r="929" spans="4:4" ht="18.75" customHeight="1" x14ac:dyDescent="0.25">
      <c r="D929" s="104"/>
    </row>
    <row r="930" spans="4:4" ht="18.75" customHeight="1" x14ac:dyDescent="0.25">
      <c r="D930" s="104"/>
    </row>
    <row r="931" spans="4:4" ht="18.75" customHeight="1" x14ac:dyDescent="0.25">
      <c r="D931" s="104"/>
    </row>
    <row r="932" spans="4:4" ht="18.75" customHeight="1" x14ac:dyDescent="0.25">
      <c r="D932" s="104"/>
    </row>
    <row r="933" spans="4:4" ht="18.75" customHeight="1" x14ac:dyDescent="0.25">
      <c r="D933" s="104"/>
    </row>
    <row r="934" spans="4:4" ht="18.75" customHeight="1" x14ac:dyDescent="0.25">
      <c r="D934" s="104"/>
    </row>
    <row r="935" spans="4:4" ht="18.75" customHeight="1" x14ac:dyDescent="0.25">
      <c r="D935" s="104"/>
    </row>
    <row r="936" spans="4:4" ht="18.75" customHeight="1" x14ac:dyDescent="0.25">
      <c r="D936" s="104"/>
    </row>
    <row r="937" spans="4:4" ht="18.75" customHeight="1" x14ac:dyDescent="0.25">
      <c r="D937" s="104"/>
    </row>
    <row r="938" spans="4:4" ht="18.75" customHeight="1" x14ac:dyDescent="0.25">
      <c r="D938" s="104"/>
    </row>
    <row r="939" spans="4:4" ht="18.75" customHeight="1" x14ac:dyDescent="0.25">
      <c r="D939" s="104"/>
    </row>
    <row r="940" spans="4:4" ht="18.75" customHeight="1" x14ac:dyDescent="0.25">
      <c r="D940" s="104"/>
    </row>
    <row r="941" spans="4:4" ht="18.75" customHeight="1" x14ac:dyDescent="0.25">
      <c r="D941" s="104"/>
    </row>
    <row r="942" spans="4:4" ht="18.75" customHeight="1" x14ac:dyDescent="0.25">
      <c r="D942" s="104"/>
    </row>
    <row r="943" spans="4:4" ht="18.75" customHeight="1" x14ac:dyDescent="0.25">
      <c r="D943" s="104"/>
    </row>
    <row r="944" spans="4:4" ht="18.75" customHeight="1" x14ac:dyDescent="0.25">
      <c r="D944" s="104"/>
    </row>
    <row r="945" spans="4:4" ht="18.75" customHeight="1" x14ac:dyDescent="0.25">
      <c r="D945" s="104"/>
    </row>
    <row r="946" spans="4:4" ht="18.75" customHeight="1" x14ac:dyDescent="0.25">
      <c r="D946" s="104"/>
    </row>
    <row r="947" spans="4:4" ht="18.75" customHeight="1" x14ac:dyDescent="0.25">
      <c r="D947" s="104"/>
    </row>
    <row r="948" spans="4:4" ht="18.75" customHeight="1" x14ac:dyDescent="0.25">
      <c r="D948" s="104"/>
    </row>
    <row r="949" spans="4:4" ht="18.75" customHeight="1" x14ac:dyDescent="0.25">
      <c r="D949" s="104"/>
    </row>
    <row r="950" spans="4:4" ht="18.75" customHeight="1" x14ac:dyDescent="0.25">
      <c r="D950" s="104"/>
    </row>
    <row r="951" spans="4:4" ht="18.75" customHeight="1" x14ac:dyDescent="0.25">
      <c r="D951" s="104"/>
    </row>
    <row r="952" spans="4:4" ht="18.75" customHeight="1" x14ac:dyDescent="0.25">
      <c r="D952" s="104"/>
    </row>
    <row r="953" spans="4:4" ht="18.75" customHeight="1" x14ac:dyDescent="0.25">
      <c r="D953" s="104"/>
    </row>
    <row r="954" spans="4:4" ht="18.75" customHeight="1" x14ac:dyDescent="0.25">
      <c r="D954" s="104"/>
    </row>
    <row r="955" spans="4:4" ht="18.75" customHeight="1" x14ac:dyDescent="0.25">
      <c r="D955" s="104"/>
    </row>
    <row r="956" spans="4:4" ht="18.75" customHeight="1" x14ac:dyDescent="0.25">
      <c r="D956" s="104"/>
    </row>
    <row r="957" spans="4:4" ht="18.75" customHeight="1" x14ac:dyDescent="0.25">
      <c r="D957" s="104"/>
    </row>
    <row r="958" spans="4:4" ht="18.75" customHeight="1" x14ac:dyDescent="0.25">
      <c r="D958" s="104"/>
    </row>
    <row r="959" spans="4:4" ht="18.75" customHeight="1" x14ac:dyDescent="0.25">
      <c r="D959" s="104"/>
    </row>
    <row r="960" spans="4:4" ht="18.75" customHeight="1" x14ac:dyDescent="0.25">
      <c r="D960" s="104"/>
    </row>
    <row r="961" spans="4:4" ht="18.75" customHeight="1" x14ac:dyDescent="0.25">
      <c r="D961" s="104"/>
    </row>
    <row r="962" spans="4:4" ht="18.75" customHeight="1" x14ac:dyDescent="0.25">
      <c r="D962" s="104"/>
    </row>
    <row r="963" spans="4:4" ht="18.75" customHeight="1" x14ac:dyDescent="0.25">
      <c r="D963" s="104"/>
    </row>
    <row r="964" spans="4:4" ht="18.75" customHeight="1" x14ac:dyDescent="0.25">
      <c r="D964" s="104"/>
    </row>
    <row r="965" spans="4:4" ht="18.75" customHeight="1" x14ac:dyDescent="0.25">
      <c r="D965" s="104"/>
    </row>
    <row r="966" spans="4:4" ht="18.75" customHeight="1" x14ac:dyDescent="0.25">
      <c r="D966" s="104"/>
    </row>
    <row r="967" spans="4:4" ht="18.75" customHeight="1" x14ac:dyDescent="0.25">
      <c r="D967" s="104"/>
    </row>
    <row r="968" spans="4:4" ht="18.75" customHeight="1" x14ac:dyDescent="0.25">
      <c r="D968" s="104"/>
    </row>
    <row r="969" spans="4:4" ht="18.75" customHeight="1" x14ac:dyDescent="0.25">
      <c r="D969" s="104"/>
    </row>
    <row r="970" spans="4:4" ht="18.75" customHeight="1" x14ac:dyDescent="0.25">
      <c r="D970" s="104"/>
    </row>
    <row r="971" spans="4:4" ht="18.75" customHeight="1" x14ac:dyDescent="0.25">
      <c r="D971" s="104"/>
    </row>
    <row r="972" spans="4:4" ht="18.75" customHeight="1" x14ac:dyDescent="0.25">
      <c r="D972" s="104"/>
    </row>
    <row r="973" spans="4:4" ht="18.75" customHeight="1" x14ac:dyDescent="0.25">
      <c r="D973" s="104"/>
    </row>
    <row r="974" spans="4:4" ht="18.75" customHeight="1" x14ac:dyDescent="0.25">
      <c r="D974" s="104"/>
    </row>
    <row r="975" spans="4:4" ht="18.75" customHeight="1" x14ac:dyDescent="0.25">
      <c r="D975" s="104"/>
    </row>
    <row r="976" spans="4:4" ht="18.75" customHeight="1" x14ac:dyDescent="0.25">
      <c r="D976" s="104"/>
    </row>
    <row r="977" spans="4:4" ht="18.75" customHeight="1" x14ac:dyDescent="0.25">
      <c r="D977" s="104"/>
    </row>
    <row r="978" spans="4:4" ht="18.75" customHeight="1" x14ac:dyDescent="0.25">
      <c r="D978" s="104"/>
    </row>
    <row r="979" spans="4:4" ht="18.75" customHeight="1" x14ac:dyDescent="0.25">
      <c r="D979" s="104"/>
    </row>
    <row r="980" spans="4:4" ht="18.75" customHeight="1" x14ac:dyDescent="0.25">
      <c r="D980" s="104"/>
    </row>
    <row r="981" spans="4:4" ht="18.75" customHeight="1" x14ac:dyDescent="0.25">
      <c r="D981" s="104"/>
    </row>
    <row r="982" spans="4:4" ht="18.75" customHeight="1" x14ac:dyDescent="0.25">
      <c r="D982" s="104"/>
    </row>
    <row r="983" spans="4:4" ht="18.75" customHeight="1" x14ac:dyDescent="0.25">
      <c r="D983" s="104"/>
    </row>
    <row r="984" spans="4:4" ht="18.75" customHeight="1" x14ac:dyDescent="0.25">
      <c r="D984" s="104"/>
    </row>
    <row r="985" spans="4:4" ht="18.75" customHeight="1" x14ac:dyDescent="0.25">
      <c r="D985" s="104"/>
    </row>
    <row r="986" spans="4:4" ht="18.75" customHeight="1" x14ac:dyDescent="0.25">
      <c r="D986" s="104"/>
    </row>
    <row r="987" spans="4:4" ht="18.75" customHeight="1" x14ac:dyDescent="0.25">
      <c r="D987" s="104"/>
    </row>
    <row r="988" spans="4:4" ht="18.75" customHeight="1" x14ac:dyDescent="0.25">
      <c r="D988" s="104"/>
    </row>
    <row r="989" spans="4:4" ht="18.75" customHeight="1" x14ac:dyDescent="0.25">
      <c r="D989" s="104"/>
    </row>
    <row r="990" spans="4:4" ht="18.75" customHeight="1" x14ac:dyDescent="0.25">
      <c r="D990" s="104"/>
    </row>
    <row r="991" spans="4:4" ht="18.75" customHeight="1" x14ac:dyDescent="0.25">
      <c r="D991" s="104"/>
    </row>
    <row r="992" spans="4:4" ht="18.75" customHeight="1" x14ac:dyDescent="0.25">
      <c r="D992" s="104"/>
    </row>
    <row r="993" spans="4:4" ht="18.75" customHeight="1" x14ac:dyDescent="0.25">
      <c r="D993" s="104"/>
    </row>
    <row r="994" spans="4:4" ht="18.75" customHeight="1" x14ac:dyDescent="0.25">
      <c r="D994" s="104"/>
    </row>
    <row r="995" spans="4:4" ht="18.75" customHeight="1" x14ac:dyDescent="0.25">
      <c r="D995" s="104"/>
    </row>
    <row r="996" spans="4:4" ht="18.75" customHeight="1" x14ac:dyDescent="0.25">
      <c r="D996" s="104"/>
    </row>
    <row r="997" spans="4:4" ht="18.75" customHeight="1" x14ac:dyDescent="0.25">
      <c r="D997" s="104"/>
    </row>
    <row r="998" spans="4:4" ht="18.75" customHeight="1" x14ac:dyDescent="0.25">
      <c r="D998" s="104"/>
    </row>
    <row r="999" spans="4:4" ht="18.75" customHeight="1" x14ac:dyDescent="0.25">
      <c r="D999" s="104"/>
    </row>
    <row r="1000" spans="4:4" ht="18.75" customHeight="1" x14ac:dyDescent="0.25">
      <c r="D1000" s="104"/>
    </row>
  </sheetData>
  <mergeCells count="22">
    <mergeCell ref="M16:N16"/>
    <mergeCell ref="O16:P16"/>
    <mergeCell ref="Q16:T16"/>
    <mergeCell ref="U16:V16"/>
    <mergeCell ref="A3:A4"/>
    <mergeCell ref="A5:A7"/>
    <mergeCell ref="A8:A12"/>
    <mergeCell ref="A13:A14"/>
    <mergeCell ref="E16:F16"/>
    <mergeCell ref="G16:J16"/>
    <mergeCell ref="K16:L16"/>
    <mergeCell ref="B3:B4"/>
    <mergeCell ref="C3:C4"/>
    <mergeCell ref="D3:D4"/>
    <mergeCell ref="E3:F3"/>
    <mergeCell ref="G3:J3"/>
    <mergeCell ref="K3:L3"/>
    <mergeCell ref="M3:N3"/>
    <mergeCell ref="O3:P3"/>
    <mergeCell ref="Q3:T3"/>
    <mergeCell ref="E1:V2"/>
    <mergeCell ref="U3:V3"/>
  </mergeCells>
  <conditionalFormatting sqref="E5:E14">
    <cfRule type="cellIs" dxfId="17" priority="1" operator="equal">
      <formula>"TRUE"</formula>
    </cfRule>
  </conditionalFormatting>
  <conditionalFormatting sqref="F5:F14">
    <cfRule type="cellIs" dxfId="16" priority="2" operator="equal">
      <formula>"TRUE"</formula>
    </cfRule>
  </conditionalFormatting>
  <conditionalFormatting sqref="G5:G14">
    <cfRule type="cellIs" dxfId="15" priority="3" operator="equal">
      <formula>"TRUE"</formula>
    </cfRule>
  </conditionalFormatting>
  <conditionalFormatting sqref="H5:I14">
    <cfRule type="cellIs" dxfId="14" priority="4" operator="equal">
      <formula>"TRUE"</formula>
    </cfRule>
  </conditionalFormatting>
  <conditionalFormatting sqref="I5:I14">
    <cfRule type="cellIs" dxfId="13" priority="5" operator="equal">
      <formula>"TRUE"</formula>
    </cfRule>
  </conditionalFormatting>
  <conditionalFormatting sqref="J5:J14">
    <cfRule type="cellIs" dxfId="12" priority="6" operator="equal">
      <formula>"TRUE"</formula>
    </cfRule>
  </conditionalFormatting>
  <conditionalFormatting sqref="K5:K14">
    <cfRule type="cellIs" dxfId="11" priority="7" operator="equal">
      <formula>"TRUE"</formula>
    </cfRule>
  </conditionalFormatting>
  <conditionalFormatting sqref="L5:L14">
    <cfRule type="cellIs" dxfId="10" priority="8" operator="equal">
      <formula>"TRUE"</formula>
    </cfRule>
  </conditionalFormatting>
  <conditionalFormatting sqref="M5:M14">
    <cfRule type="cellIs" dxfId="9" priority="9" operator="equal">
      <formula>"TRUE"</formula>
    </cfRule>
  </conditionalFormatting>
  <conditionalFormatting sqref="N5:N14">
    <cfRule type="cellIs" dxfId="8" priority="10" operator="equal">
      <formula>"TRUE"</formula>
    </cfRule>
  </conditionalFormatting>
  <conditionalFormatting sqref="O5:O14">
    <cfRule type="cellIs" dxfId="7" priority="11" operator="equal">
      <formula>"TRUE"</formula>
    </cfRule>
  </conditionalFormatting>
  <conditionalFormatting sqref="P5:P14">
    <cfRule type="cellIs" dxfId="6" priority="12" operator="equal">
      <formula>"TRUE"</formula>
    </cfRule>
  </conditionalFormatting>
  <conditionalFormatting sqref="Q5:Q14">
    <cfRule type="cellIs" dxfId="5" priority="13" operator="equal">
      <formula>"TRUE"</formula>
    </cfRule>
  </conditionalFormatting>
  <conditionalFormatting sqref="R5:R14">
    <cfRule type="cellIs" dxfId="4" priority="14" operator="equal">
      <formula>"TRUE"</formula>
    </cfRule>
  </conditionalFormatting>
  <conditionalFormatting sqref="S5:S14">
    <cfRule type="cellIs" dxfId="3" priority="15" operator="equal">
      <formula>"TRUE"</formula>
    </cfRule>
  </conditionalFormatting>
  <conditionalFormatting sqref="T5:T14">
    <cfRule type="cellIs" dxfId="2" priority="16" operator="equal">
      <formula>"TRUE"</formula>
    </cfRule>
  </conditionalFormatting>
  <conditionalFormatting sqref="U5:U14">
    <cfRule type="cellIs" dxfId="1" priority="17" operator="equal">
      <formula>"TRUE"</formula>
    </cfRule>
  </conditionalFormatting>
  <conditionalFormatting sqref="V5:V14">
    <cfRule type="cellIs" dxfId="0" priority="18" operator="equal">
      <formula>"TRUE"</formula>
    </cfRule>
  </conditionalFormatting>
  <pageMargins left="0.7" right="0.7" top="0.75" bottom="0.75" header="0" footer="0"/>
  <pageSetup paperSize="9" fitToWidth="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32</vt:i4>
      </vt:variant>
    </vt:vector>
  </HeadingPairs>
  <TitlesOfParts>
    <vt:vector size="66" baseType="lpstr">
      <vt:lpstr>PIs</vt:lpstr>
      <vt:lpstr>Mapping</vt:lpstr>
      <vt:lpstr>EE 101</vt:lpstr>
      <vt:lpstr>EE 201</vt:lpstr>
      <vt:lpstr>EE 211</vt:lpstr>
      <vt:lpstr>EE 221</vt:lpstr>
      <vt:lpstr>EE 231</vt:lpstr>
      <vt:lpstr>EE 202</vt:lpstr>
      <vt:lpstr>EE 312</vt:lpstr>
      <vt:lpstr>EE 322</vt:lpstr>
      <vt:lpstr>EE 341</vt:lpstr>
      <vt:lpstr>EE 332</vt:lpstr>
      <vt:lpstr>EE 351</vt:lpstr>
      <vt:lpstr>EE 305</vt:lpstr>
      <vt:lpstr>EE 304</vt:lpstr>
      <vt:lpstr>EE 403</vt:lpstr>
      <vt:lpstr>EE 490</vt:lpstr>
      <vt:lpstr>EE 492</vt:lpstr>
      <vt:lpstr>EE 414</vt:lpstr>
      <vt:lpstr>EE 415</vt:lpstr>
      <vt:lpstr>EE 416</vt:lpstr>
      <vt:lpstr>EE 417</vt:lpstr>
      <vt:lpstr>EE 423</vt:lpstr>
      <vt:lpstr>EE 424</vt:lpstr>
      <vt:lpstr>EE 425</vt:lpstr>
      <vt:lpstr>EE 426</vt:lpstr>
      <vt:lpstr>EE 433</vt:lpstr>
      <vt:lpstr>EE 434</vt:lpstr>
      <vt:lpstr>EE 435</vt:lpstr>
      <vt:lpstr>EE 436</vt:lpstr>
      <vt:lpstr>EE 442</vt:lpstr>
      <vt:lpstr>EE 454</vt:lpstr>
      <vt:lpstr>EE 456</vt:lpstr>
      <vt:lpstr>EE 499</vt:lpstr>
      <vt:lpstr>'EE 101'!CPLO</vt:lpstr>
      <vt:lpstr>'EE 201'!CPLO</vt:lpstr>
      <vt:lpstr>'EE 202'!CPLO</vt:lpstr>
      <vt:lpstr>'EE 211'!CPLO</vt:lpstr>
      <vt:lpstr>'EE 221'!CPLO</vt:lpstr>
      <vt:lpstr>'EE 231'!CPLO</vt:lpstr>
      <vt:lpstr>'EE 304'!CPLO</vt:lpstr>
      <vt:lpstr>'EE 305'!CPLO</vt:lpstr>
      <vt:lpstr>'EE 312'!CPLO</vt:lpstr>
      <vt:lpstr>'EE 322'!CPLO</vt:lpstr>
      <vt:lpstr>'EE 332'!CPLO</vt:lpstr>
      <vt:lpstr>'EE 341'!CPLO</vt:lpstr>
      <vt:lpstr>'EE 351'!CPLO</vt:lpstr>
      <vt:lpstr>'EE 403'!CPLO</vt:lpstr>
      <vt:lpstr>'EE 414'!CPLO</vt:lpstr>
      <vt:lpstr>'EE 415'!CPLO</vt:lpstr>
      <vt:lpstr>'EE 416'!CPLO</vt:lpstr>
      <vt:lpstr>'EE 417'!CPLO</vt:lpstr>
      <vt:lpstr>'EE 423'!CPLO</vt:lpstr>
      <vt:lpstr>'EE 424'!CPLO</vt:lpstr>
      <vt:lpstr>'EE 425'!CPLO</vt:lpstr>
      <vt:lpstr>'EE 426'!CPLO</vt:lpstr>
      <vt:lpstr>'EE 433'!CPLO</vt:lpstr>
      <vt:lpstr>'EE 434'!CPLO</vt:lpstr>
      <vt:lpstr>'EE 435'!CPLO</vt:lpstr>
      <vt:lpstr>'EE 436'!CPLO</vt:lpstr>
      <vt:lpstr>'EE 442'!CPLO</vt:lpstr>
      <vt:lpstr>'EE 454'!CPLO</vt:lpstr>
      <vt:lpstr>'EE 456'!CPLO</vt:lpstr>
      <vt:lpstr>'EE 490'!CPLO</vt:lpstr>
      <vt:lpstr>'EE 492'!CPLO</vt:lpstr>
      <vt:lpstr>'EE 499'!CPLO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Walid Dyab</dc:creator>
  <cp:lastModifiedBy>Walid Dyab</cp:lastModifiedBy>
  <dcterms:created xsi:type="dcterms:W3CDTF">2015-06-05T18:17:20Z</dcterms:created>
  <dcterms:modified xsi:type="dcterms:W3CDTF">2026-08-13T08:02:53Z</dcterms:modified>
</cp:coreProperties>
</file>