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7e35711ec241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 Matrix" sheetId="1" r:id="R399e3304d5814779"/>
    <x:sheet xmlns:r="http://schemas.openxmlformats.org/officeDocument/2006/relationships" name="Standards Master" sheetId="2" r:id="R86e78af69966432a"/>
    <x:sheet xmlns:r="http://schemas.openxmlformats.org/officeDocument/2006/relationships" name="Free IEEE GET" sheetId="3" r:id="R3f8365ce328047f3"/>
    <x:sheet xmlns:r="http://schemas.openxmlformats.org/officeDocument/2006/relationships" name="Notes" sheetId="4" r:id="R046779f6521241d2"/>
    <x:sheet xmlns:r="http://schemas.openxmlformats.org/officeDocument/2006/relationships" name="ITU ETSI 3GPP Matrix" sheetId="5" r:id="Rdf72183ff35c49ba"/>
    <x:sheet xmlns:r="http://schemas.openxmlformats.org/officeDocument/2006/relationships" name="ITU ETSI 3GPP Master" sheetId="6" r:id="R1ec5d5fc3d7246f3"/>
    <x:sheet xmlns:r="http://schemas.openxmlformats.org/officeDocument/2006/relationships" name="Free Access Summary" sheetId="7" r:id="Rc1e7d63b9e994712"/>
    <x:sheet xmlns:r="http://schemas.openxmlformats.org/officeDocument/2006/relationships" name="Telecom Sources" sheetId="8" r:id="Ra8cbc0d1bb0541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8"/>
      </x:patternFill>
    </x:fill>
    <x:fill>
      <x:patternFill patternType="solid">
        <x:fgColor rgb="FFD97706"/>
      </x:patternFill>
    </x:fill>
    <x:fill>
      <x:patternFill patternType="solid">
        <x:fgColor rgb="FFE8F5E9"/>
      </x:patternFill>
    </x:fill>
    <x:fill>
      <x:patternFill patternType="solid">
        <x:fgColor rgb="FF102A43"/>
      </x:patternFill>
    </x:fill>
    <x:fill>
      <x:patternFill patternType="solid">
        <x:fgColor rgb="FFEAF2F8"/>
      </x:patternFill>
    </x:fill>
    <x:fill>
      <x:patternFill patternType="solid">
        <x:fgColor rgb="FFD97706"/>
      </x:patternFill>
    </x:fill>
    <x:fill>
      <x:patternFill patternType="solid">
        <x:fgColor rgb="FFE8F5E9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</x:font>
      <x:fill>
        <x:patternFill>
          <x:bgColor rgb="FFE8F5E9"/>
        </x:patternFill>
      </x:fill>
    </x:dxf>
    <x:dxf>
      <x:fill>
        <x:patternFill>
          <x:bgColor rgb="FFEAF2F8"/>
        </x:patternFill>
      </x:fill>
    </x:dxf>
    <x:dxf>
      <x:fill>
        <x:patternFill>
          <x:bgColor rgb="FFF4F6F8"/>
        </x:patternFill>
      </x:fill>
    </x:dxf>
    <x:dxf>
      <x:font>
        <x:b/>
      </x:font>
      <x:fill>
        <x:patternFill>
          <x:bgColor rgb="FFE8F5E9"/>
        </x:patternFill>
      </x:fill>
    </x:dxf>
    <x:dxf>
      <x:fill>
        <x:patternFill>
          <x:bgColor rgb="FFFFF4E5"/>
        </x:patternFill>
      </x:fill>
    </x:dxf>
    <x:dxf>
      <x:font>
        <x:b/>
      </x:font>
      <x:fill>
        <x:patternFill>
          <x:bgColor rgb="FFE8F5E9"/>
        </x:patternFill>
      </x:fill>
    </x:dxf>
    <x:dxf>
      <x:fill>
        <x:patternFill>
          <x:bgColor rgb="FFFFF4E5"/>
        </x:patternFill>
      </x:fill>
    </x:dxf>
    <x:dxf>
      <x:font>
        <x:b/>
      </x:font>
      <x:fill>
        <x:patternFill patternType="solid">
          <x:bgColor rgb="FFE8F5E9"/>
        </x:patternFill>
      </x:fill>
    </x:dxf>
    <x:dxf>
      <x:fill>
        <x:patternFill patternType="solid">
          <x:bgColor rgb="FFEAF2F8"/>
        </x:patternFill>
      </x:fill>
    </x:dxf>
    <x:dxf>
      <x:fill>
        <x:patternFill patternType="solid">
          <x:bgColor rgb="FFF4F6F8"/>
        </x:patternFill>
      </x:fill>
    </x:dxf>
    <x:dxf>
      <x:font>
        <x:b/>
      </x:font>
      <x:fill>
        <x:patternFill patternType="solid">
          <x:bgColor rgb="FFE8F5E9"/>
        </x:patternFill>
      </x:fill>
    </x:dxf>
    <x:dxf>
      <x:font>
        <x:b/>
      </x:font>
      <x:fill>
        <x:patternFill patternType="solid">
          <x:bgColor rgb="FFE8F5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e0e624f9b64a72" /><Relationship Type="http://schemas.openxmlformats.org/officeDocument/2006/relationships/theme" Target="/xl/theme/theme1.xml" Id="Rd049f10dfc804929" /><Relationship Type="http://schemas.openxmlformats.org/officeDocument/2006/relationships/sharedStrings" Target="/xl/sharedStrings.xml" Id="Re85e0c9d8fb34c35" /><Relationship Type="http://schemas.openxmlformats.org/officeDocument/2006/relationships/worksheet" Target="/xl/worksheets/sheet1.xml" Id="R399e3304d5814779" /><Relationship Type="http://schemas.openxmlformats.org/officeDocument/2006/relationships/worksheet" Target="/xl/worksheets/sheet2.xml" Id="R86e78af69966432a" /><Relationship Type="http://schemas.openxmlformats.org/officeDocument/2006/relationships/worksheet" Target="/xl/worksheets/sheet3.xml" Id="R3f8365ce328047f3" /><Relationship Type="http://schemas.openxmlformats.org/officeDocument/2006/relationships/worksheet" Target="/xl/worksheets/sheet4.xml" Id="R046779f6521241d2" /><Relationship Type="http://schemas.openxmlformats.org/officeDocument/2006/relationships/worksheet" Target="/xl/worksheets/sheet5.xml" Id="Rdf72183ff35c49ba" /><Relationship Type="http://schemas.openxmlformats.org/officeDocument/2006/relationships/worksheet" Target="/xl/worksheets/sheet6.xml" Id="R1ec5d5fc3d7246f3" /><Relationship Type="http://schemas.openxmlformats.org/officeDocument/2006/relationships/worksheet" Target="/xl/worksheets/sheet7.xml" Id="Rc1e7d63b9e994712" /><Relationship Type="http://schemas.openxmlformats.org/officeDocument/2006/relationships/worksheet" Target="/xl/worksheets/sheet8.xml" Id="Ra8cbc0d1bb054136" /></Relationships>
</file>

<file path=xl/tables/table1.xml><?xml version="1.0" encoding="utf-8"?>
<x:table xmlns:x="http://schemas.openxmlformats.org/spreadsheetml/2006/main" id="1" name="CourseStandardsTable" displayName="CourseStandardsTable" ref="A4:M94" headerRowCount="1" totalsRowCount="0" totalsRowShown="0">
  <x:tableColumns count="13">
    <x:tableColumn id="1" name="Course"/>
    <x:tableColumn id="2" name="Course Title"/>
    <x:tableColumn id="3" name="Priority"/>
    <x:tableColumn id="4" name="Standard"/>
    <x:tableColumn id="5" name="IEEE Title"/>
    <x:tableColumn id="6" name="Suggested Teaching Use"/>
    <x:tableColumn id="7" name="Access Type"/>
    <x:tableColumn id="8" name="Status"/>
    <x:tableColumn id="9" name="Modifier"/>
    <x:tableColumn id="10" name="IEEE Xplore"/>
    <x:tableColumn id="11" name="GET Access"/>
    <x:tableColumn id="12" name="IEEE Xplore URL"/>
    <x:tableColumn id="13" name="GET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ndardsMasterTable" displayName="StandardsMasterTable" ref="A4:K70" headerRowCount="1" totalsRowCount="0" totalsRowShown="0">
  <x:tableColumns count="11">
    <x:tableColumn id="1" name="Standard"/>
    <x:tableColumn id="2" name="IEEE Title"/>
    <x:tableColumn id="3" name="Highest Priority"/>
    <x:tableColumn id="4" name="Relevant Core Courses"/>
    <x:tableColumn id="5" name="Access Type"/>
    <x:tableColumn id="6" name="Status"/>
    <x:tableColumn id="7" name="Modifier"/>
    <x:tableColumn id="8" name="IEEE Xplore"/>
    <x:tableColumn id="9" name="GET Access"/>
    <x:tableColumn id="10" name="IEEE Xplore URL"/>
    <x:tableColumn id="11" name="GET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reeGETTable" displayName="FreeGETTable" ref="A4:H15" headerRowCount="1" totalsRowCount="0" totalsRowShown="0">
  <x:tableColumns count="8">
    <x:tableColumn id="1" name="Standard"/>
    <x:tableColumn id="2" name="IEEE Title"/>
    <x:tableColumn id="3" name="Relevant Core Courses"/>
    <x:tableColumn id="4" name="Highest Priority"/>
    <x:tableColumn id="5" name="IEEE Xplore"/>
    <x:tableColumn id="6" name="Free GET Access"/>
    <x:tableColumn id="7" name="IEEE Xplore URL"/>
    <x:tableColumn id="8" name="GET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lecomCourseStandardsTable" displayName="TelecomCourseStandardsTable" ref="A4:L40" headerRowCount="1" totalsRowCount="0" totalsRowShown="0">
  <x:tableColumns count="12">
    <x:tableColumn id="1" name="Course"/>
    <x:tableColumn id="2" name="Course Title"/>
    <x:tableColumn id="3" name="Organization"/>
    <x:tableColumn id="4" name="Priority"/>
    <x:tableColumn id="5" name="Standard / Spec"/>
    <x:tableColumn id="6" name="Title"/>
    <x:tableColumn id="7" name="Suggested Teaching Use"/>
    <x:tableColumn id="8" name="Access Type"/>
    <x:tableColumn id="9" name="Status"/>
    <x:tableColumn id="10" name="Official Link"/>
    <x:tableColumn id="11" name="Official URL"/>
    <x:tableColumn id="12" name="Access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elecomStandardsMasterTable" displayName="TelecomStandardsMasterTable" ref="A4:I34" headerRowCount="1" totalsRowCount="0" totalsRowShown="0">
  <x:tableColumns count="9">
    <x:tableColumn id="1" name="Organization"/>
    <x:tableColumn id="2" name="Standard / Spec"/>
    <x:tableColumn id="3" name="Title"/>
    <x:tableColumn id="4" name="Highest Priority"/>
    <x:tableColumn id="5" name="Relevant Core Courses"/>
    <x:tableColumn id="6" name="Access Type"/>
    <x:tableColumn id="7" name="Status"/>
    <x:tableColumn id="8" name="Official Link"/>
    <x:tableColumn id="9" name="Official 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reeAccessSummaryTable" displayName="FreeAccessSummaryTable" ref="A4:F8" headerRowCount="1" totalsRowCount="0" totalsRowShown="0">
  <x:tableColumns count="6">
    <x:tableColumn id="1" name="Source"/>
    <x:tableColumn id="2" name="Free-access category"/>
    <x:tableColumn id="3" name="Count in workbook"/>
    <x:tableColumn id="4" name="Access basis"/>
    <x:tableColumn id="5" name="Official access page"/>
    <x:tableColumn id="6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3d9621fe6c4b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6c0f255f32249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1f3a9dc38884a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7381b07cca4a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66545dbddd48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e57a7ceddc4409c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5" hidden="0" customWidth="1"/>
    <x:col min="3" max="3" width="11" hidden="0" customWidth="1"/>
    <x:col min="4" max="4" width="18" hidden="0" customWidth="1"/>
    <x:col min="5" max="5" width="50" hidden="0" customWidth="1"/>
    <x:col min="6" max="6" width="50" hidden="0" customWidth="1"/>
    <x:col min="7" max="7" width="23" hidden="0" customWidth="1"/>
    <x:col min="8" max="8" width="10" hidden="0" customWidth="1"/>
    <x:col min="9" max="9" width="12" hidden="0" customWidth="1"/>
    <x:col min="10" max="10" width="18" hidden="0" customWidth="1"/>
    <x:col min="11" max="11" width="18" hidden="0" customWidth="1"/>
    <x:col min="12" max="12" width="44" hidden="0" customWidth="1"/>
    <x:col min="13" max="13" width="44" hidden="0" customWidth="1"/>
  </x:cols>
  <x:sheetData>
    <x:row r="1" ht="30" customHeight="1">
      <x:c r="A1" s="5" t="str">
        <x:v>IEEE Standards for BSc EE Core Courses — Course Matrix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4" customHeight="1">
      <x:c r="A2" s="12" t="str">
        <x:v>All standards are selected from the uploaded IEEE Xplore All Standards workbook. Access type is normalized for teaching use: Free — IEEE GET where currently available at no cost, otherwise Subscription / purchase. Verified 2026-09-25.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 ht="26" customHeight="1">
      <x:c r="A4" s="20" t="str">
        <x:v>Course</x:v>
      </x:c>
      <x:c r="B4" s="20" t="str">
        <x:v>Course Title</x:v>
      </x:c>
      <x:c r="C4" s="20" t="str">
        <x:v>Priority</x:v>
      </x:c>
      <x:c r="D4" s="20" t="str">
        <x:v>Standard</x:v>
      </x:c>
      <x:c r="E4" s="20" t="str">
        <x:v>IEEE Title</x:v>
      </x:c>
      <x:c r="F4" s="20" t="str">
        <x:v>Suggested Teaching Use</x:v>
      </x:c>
      <x:c r="G4" s="20" t="str">
        <x:v>Access Type</x:v>
      </x:c>
      <x:c r="H4" s="20" t="str">
        <x:v>Status</x:v>
      </x:c>
      <x:c r="I4" s="20" t="str">
        <x:v>Modifier</x:v>
      </x:c>
      <x:c r="J4" s="20" t="str">
        <x:v>IEEE Xplore</x:v>
      </x:c>
      <x:c r="K4" s="20" t="str">
        <x:v>GET Access</x:v>
      </x:c>
      <x:c r="L4" s="20" t="str">
        <x:v>IEEE Xplore URL</x:v>
      </x:c>
      <x:c r="M4" s="20" t="str">
        <x:v>GET URL</x:v>
      </x:c>
    </x:row>
    <x:row r="5">
      <x:c r="A5" s="28" t="str">
        <x:v>EE 201</x:v>
      </x:c>
      <x:c r="B5" s="28" t="str">
        <x:v>Introduction to Circuits</x:v>
      </x:c>
      <x:c r="C5" s="28" t="str">
        <x:v>Core</x:v>
      </x:c>
      <x:c r="D5" s="28" t="str">
        <x:v>260.1-2024</x:v>
      </x:c>
      <x:c r="E5" s="28" t="str">
        <x:v>260.1-2024 - IEEE Standard for Letter Symbols for Measurement Units (SI and Other Common Units)</x:v>
      </x:c>
      <x:c r="F5" s="28" t="str">
        <x:v>Reinforce SI and common measurement-unit symbols in calculations, lab sheets, and technical writing.</x:v>
      </x:c>
      <x:c r="G5" s="28" t="str">
        <x:v>Subscription / purchase</x:v>
      </x:c>
      <x:c r="H5" s="28" t="str">
        <x:v>Active</x:v>
      </x:c>
      <x:c r="I5" s="28" t="str">
        <x:v>Approved</x:v>
      </x:c>
      <x:c r="J5" s="28" t="e">
        <x:f>HYPERLINK("https://ieeexplore.ieee.org/servlet/opac?punumber=10530227","Open IEEE Xplore")</x:f>
        <x:v>HYPERLINK is not implemented. linkLocation=https://ieeexplore.ieee.org/servlet/opac?punumber=10530227, friendlyName=Open IEEE Xplore</x:v>
      </x:c>
      <x:c r="K5" s="28" t="str">
        <x:v>—</x:v>
      </x:c>
      <x:c r="L5" s="28" t="str">
        <x:v>https://ieeexplore.ieee.org/servlet/opac?punumber=10530227</x:v>
      </x:c>
      <x:c r="M5" s="28" t="str"/>
    </x:row>
    <x:row r="6">
      <x:c r="A6" s="28" t="str">
        <x:v>EE 201</x:v>
      </x:c>
      <x:c r="B6" s="28" t="str">
        <x:v>Introduction to Circuits</x:v>
      </x:c>
      <x:c r="C6" s="28" t="str">
        <x:v>Core</x:v>
      </x:c>
      <x:c r="D6" s="28" t="str">
        <x:v>280-2021</x:v>
      </x:c>
      <x:c r="E6" s="28" t="str">
        <x:v>280-2021 - IEEE Standard Letter Symbols for Quantities Used in Electrical Science and Electrical Engineering</x:v>
      </x:c>
      <x:c r="F6" s="28" t="str">
        <x:v>Use standard electrical-science symbols and notation consistently in circuit equations and reports.</x:v>
      </x:c>
      <x:c r="G6" s="28" t="str">
        <x:v>Subscription / purchase</x:v>
      </x:c>
      <x:c r="H6" s="28" t="str">
        <x:v>Active</x:v>
      </x:c>
      <x:c r="I6" s="28" t="str">
        <x:v>Approved</x:v>
      </x:c>
      <x:c r="J6" s="28" t="e">
        <x:f>HYPERLINK("https://ieeexplore.ieee.org/servlet/opac?punumber=9540822","Open IEEE Xplore")</x:f>
        <x:v>HYPERLINK is not implemented. linkLocation=https://ieeexplore.ieee.org/servlet/opac?punumber=9540822, friendlyName=Open IEEE Xplore</x:v>
      </x:c>
      <x:c r="K6" s="28" t="str">
        <x:v>—</x:v>
      </x:c>
      <x:c r="L6" s="28" t="str">
        <x:v>https://ieeexplore.ieee.org/servlet/opac?punumber=9540822</x:v>
      </x:c>
      <x:c r="M6" s="28" t="str"/>
    </x:row>
    <x:row r="7">
      <x:c r="A7" s="28" t="str">
        <x:v>EE 201</x:v>
      </x:c>
      <x:c r="B7" s="28" t="str">
        <x:v>Introduction to Circuits</x:v>
      </x:c>
      <x:c r="C7" s="28" t="str">
        <x:v>Useful</x:v>
      </x:c>
      <x:c r="D7" s="28" t="str">
        <x:v>120-2023</x:v>
      </x:c>
      <x:c r="E7" s="28" t="str">
        <x:v>120-2023 - IEEE Master Test Guide for Electrical Measurements in Power Circuits</x:v>
      </x:c>
      <x:c r="F7" s="28" t="str">
        <x:v>Introduce standardized electrical measurement terminology and test practice for voltage, current, and power circuits.</x:v>
      </x:c>
      <x:c r="G7" s="28" t="str">
        <x:v>Subscription / purchase</x:v>
      </x:c>
      <x:c r="H7" s="28" t="str">
        <x:v>Active</x:v>
      </x:c>
      <x:c r="I7" s="28" t="str">
        <x:v>Approved</x:v>
      </x:c>
      <x:c r="J7" s="28" t="e">
        <x:f>HYPERLINK("https://ieeexplore.ieee.org/servlet/opac?punumber=10552206","Open IEEE Xplore")</x:f>
        <x:v>HYPERLINK is not implemented. linkLocation=https://ieeexplore.ieee.org/servlet/opac?punumber=10552206, friendlyName=Open IEEE Xplore</x:v>
      </x:c>
      <x:c r="K7" s="28" t="str">
        <x:v>—</x:v>
      </x:c>
      <x:c r="L7" s="28" t="str">
        <x:v>https://ieeexplore.ieee.org/servlet/opac?punumber=10552206</x:v>
      </x:c>
      <x:c r="M7" s="28" t="str"/>
    </x:row>
    <x:row r="8">
      <x:c r="A8" s="28" t="str">
        <x:v>EE 201</x:v>
      </x:c>
      <x:c r="B8" s="28" t="str">
        <x:v>Introduction to Circuits</x:v>
      </x:c>
      <x:c r="C8" s="28" t="str">
        <x:v>Advanced</x:v>
      </x:c>
      <x:c r="D8" s="28" t="str">
        <x:v>1057-2017</x:v>
      </x:c>
      <x:c r="E8" s="28" t="str">
        <x:v>1057-2017 - IEEE Standard for Digitizing Waveform Recorders</x:v>
      </x:c>
      <x:c r="F8" s="28" t="str">
        <x:v>Connect oscilloscope/digitizer measurements to standardized waveform-recorder terminology and performance.</x:v>
      </x:c>
      <x:c r="G8" s="28" t="str">
        <x:v>Subscription / purchase</x:v>
      </x:c>
      <x:c r="H8" s="28" t="str">
        <x:v>Active</x:v>
      </x:c>
      <x:c r="I8" s="28" t="str">
        <x:v>Approved</x:v>
      </x:c>
      <x:c r="J8" s="28" t="e">
        <x:f>HYPERLINK("https://ieeexplore.ieee.org/servlet/opac?punumber=8291739","Open IEEE Xplore")</x:f>
        <x:v>HYPERLINK is not implemented. linkLocation=https://ieeexplore.ieee.org/servlet/opac?punumber=8291739, friendlyName=Open IEEE Xplore</x:v>
      </x:c>
      <x:c r="K8" s="28" t="str">
        <x:v>—</x:v>
      </x:c>
      <x:c r="L8" s="28" t="str">
        <x:v>https://ieeexplore.ieee.org/servlet/opac?punumber=8291739</x:v>
      </x:c>
      <x:c r="M8" s="28" t="str"/>
    </x:row>
    <x:row r="9">
      <x:c r="A9" s="28" t="str">
        <x:v>EE 211</x:v>
      </x:c>
      <x:c r="B9" s="28" t="str">
        <x:v>Electronic Fundamentals</x:v>
      </x:c>
      <x:c r="C9" s="28" t="str">
        <x:v>Core</x:v>
      </x:c>
      <x:c r="D9" s="28" t="str">
        <x:v>C63.16-2016</x:v>
      </x:c>
      <x:c r="E9" s="28" t="str">
        <x:v>C63.16-2016 - American National Standard Guide for Electrostatic Discharge Test Methodologies and Acceptance Criteria for Electronic Equipment</x:v>
      </x:c>
      <x:c r="F9" s="28" t="str">
        <x:v>Use ESD test concepts to motivate device handling, protection, and practical electronic-equipment robustness.</x:v>
      </x:c>
      <x:c r="G9" s="28" t="str">
        <x:v>Subscription / purchase</x:v>
      </x:c>
      <x:c r="H9" s="28" t="str">
        <x:v>Active</x:v>
      </x:c>
      <x:c r="I9" s="28" t="str">
        <x:v>Approved</x:v>
      </x:c>
      <x:c r="J9" s="28" t="e">
        <x:f>HYPERLINK("https://ieeexplore.ieee.org/servlet/opac?punumber=7465682","Open IEEE Xplore")</x:f>
        <x:v>HYPERLINK is not implemented. linkLocation=https://ieeexplore.ieee.org/servlet/opac?punumber=7465682, friendlyName=Open IEEE Xplore</x:v>
      </x:c>
      <x:c r="K9" s="28" t="str">
        <x:v>—</x:v>
      </x:c>
      <x:c r="L9" s="28" t="str">
        <x:v>https://ieeexplore.ieee.org/servlet/opac?punumber=7465682</x:v>
      </x:c>
      <x:c r="M9" s="28" t="str"/>
    </x:row>
    <x:row r="10">
      <x:c r="A10" s="28" t="str">
        <x:v>EE 211</x:v>
      </x:c>
      <x:c r="B10" s="28" t="str">
        <x:v>Electronic Fundamentals</x:v>
      </x:c>
      <x:c r="C10" s="28" t="str">
        <x:v>Useful</x:v>
      </x:c>
      <x:c r="D10" s="28" t="str">
        <x:v>1573-2021</x:v>
      </x:c>
      <x:c r="E10" s="28" t="str">
        <x:v>1573-2021 - IEEE Recommended Practice for Electronic Power Subsystems: Parameters, Interfaces, Elements, and Performance</x:v>
      </x:c>
      <x:c r="F10" s="28" t="str">
        <x:v>Relate electronic power-subsystem parameters and interfaces to practical electronics design.</x:v>
      </x:c>
      <x:c r="G10" s="28" t="str">
        <x:v>Subscription / purchase</x:v>
      </x:c>
      <x:c r="H10" s="28" t="str">
        <x:v>Active</x:v>
      </x:c>
      <x:c r="I10" s="28" t="str">
        <x:v>Approved</x:v>
      </x:c>
      <x:c r="J10" s="28" t="e">
        <x:f>HYPERLINK("https://ieeexplore.ieee.org/servlet/opac?punumber=9775770","Open IEEE Xplore")</x:f>
        <x:v>HYPERLINK is not implemented. linkLocation=https://ieeexplore.ieee.org/servlet/opac?punumber=9775770, friendlyName=Open IEEE Xplore</x:v>
      </x:c>
      <x:c r="K10" s="28" t="str">
        <x:v>—</x:v>
      </x:c>
      <x:c r="L10" s="28" t="str">
        <x:v>https://ieeexplore.ieee.org/servlet/opac?punumber=9775770</x:v>
      </x:c>
      <x:c r="M10" s="28" t="str"/>
    </x:row>
    <x:row r="11">
      <x:c r="A11" s="28" t="str">
        <x:v>EE 211</x:v>
      </x:c>
      <x:c r="B11" s="28" t="str">
        <x:v>Electronic Fundamentals</x:v>
      </x:c>
      <x:c r="C11" s="28" t="str">
        <x:v>Useful</x:v>
      </x:c>
      <x:c r="D11" s="28" t="str">
        <x:v>1801-2024</x:v>
      </x:c>
      <x:c r="E11" s="28" t="str">
        <x:v>1801-2024 - IEEE Standard for Design and Verification of Low-Power Energy-Aware Electronic Systems</x:v>
      </x:c>
      <x:c r="F11" s="28" t="str">
        <x:v>Introduce low-power design intent and power-aware verification as an industry extension of electronic circuit design.</x:v>
      </x:c>
      <x:c r="G11" s="28" t="str">
        <x:v>Free — IEEE GET</x:v>
      </x:c>
      <x:c r="H11" s="28" t="str">
        <x:v>Active</x:v>
      </x:c>
      <x:c r="I11" s="28" t="str">
        <x:v>Approved</x:v>
      </x:c>
      <x:c r="J11" s="28" t="e">
        <x:f>HYPERLINK("https://ieeexplore.ieee.org/servlet/opac?punumber=10910080","Open IEEE Xplore")</x:f>
        <x:v>HYPERLINK is not implemented. linkLocation=https://ieeexplore.ieee.org/servlet/opac?punumber=10910080, friendlyName=Open IEEE Xplore</x:v>
      </x:c>
      <x:c r="K11" s="28" t="e">
        <x:f>HYPERLINK("https://ieeexplore.ieee.org/browse/standards/get-program/page/series?id=80","Free via IEEE GET")</x:f>
        <x:v>HYPERLINK is not implemented. linkLocation=https://ieeexplore.ieee.org/browse/standards/get-program/page/series?id=80, friendlyName=Free via IEEE GET</x:v>
      </x:c>
      <x:c r="L11" s="28" t="str">
        <x:v>https://ieeexplore.ieee.org/servlet/opac?punumber=10910080</x:v>
      </x:c>
      <x:c r="M11" s="28" t="str">
        <x:v>https://ieeexplore.ieee.org/browse/standards/get-program/page/series?id=80</x:v>
      </x:c>
    </x:row>
    <x:row r="12">
      <x:c r="A12" s="28" t="str">
        <x:v>EE 211</x:v>
      </x:c>
      <x:c r="B12" s="28" t="str">
        <x:v>Electronic Fundamentals</x:v>
      </x:c>
      <x:c r="C12" s="28" t="str">
        <x:v>Advanced</x:v>
      </x:c>
      <x:c r="D12" s="28" t="str">
        <x:v>1500-2022</x:v>
      </x:c>
      <x:c r="E12" s="28" t="str">
        <x:v>1500-2022 - IEEE Standard Testability Method for Embedded Core-based Integrated Circuits</x:v>
      </x:c>
      <x:c r="F12" s="28" t="str">
        <x:v>Show how testability is built into integrated circuits and embedded cores.</x:v>
      </x:c>
      <x:c r="G12" s="28" t="str">
        <x:v>Subscription / purchase</x:v>
      </x:c>
      <x:c r="H12" s="28" t="str">
        <x:v>Active</x:v>
      </x:c>
      <x:c r="I12" s="28" t="str">
        <x:v>Approved</x:v>
      </x:c>
      <x:c r="J12" s="28" t="e">
        <x:f>HYPERLINK("https://ieeexplore.ieee.org/servlet/opac?punumber=9916219","Open IEEE Xplore")</x:f>
        <x:v>HYPERLINK is not implemented. linkLocation=https://ieeexplore.ieee.org/servlet/opac?punumber=9916219, friendlyName=Open IEEE Xplore</x:v>
      </x:c>
      <x:c r="K12" s="28" t="str">
        <x:v>—</x:v>
      </x:c>
      <x:c r="L12" s="28" t="str">
        <x:v>https://ieeexplore.ieee.org/servlet/opac?punumber=9916219</x:v>
      </x:c>
      <x:c r="M12" s="28" t="str"/>
    </x:row>
    <x:row r="13">
      <x:c r="A13" s="28" t="str">
        <x:v>EE 221</x:v>
      </x:c>
      <x:c r="B13" s="28" t="str">
        <x:v>Logic Design</x:v>
      </x:c>
      <x:c r="C13" s="28" t="str">
        <x:v>Core</x:v>
      </x:c>
      <x:c r="D13" s="28" t="str">
        <x:v>1076-2019</x:v>
      </x:c>
      <x:c r="E13" s="28" t="str">
        <x:v>1076-2019 - IEEE Standard for VHDL Language Reference Manual</x:v>
      </x:c>
      <x:c r="F13" s="28" t="str">
        <x:v>Use the formal VHDL language standard as the authoritative reference for syntax and semantics.</x:v>
      </x:c>
      <x:c r="G13" s="28" t="str">
        <x:v>Subscription / purchase</x:v>
      </x:c>
      <x:c r="H13" s="28" t="str">
        <x:v>Active</x:v>
      </x:c>
      <x:c r="I13" s="28" t="str">
        <x:v>Approved</x:v>
      </x:c>
      <x:c r="J13" s="28" t="e">
        <x:f>HYPERLINK("https://ieeexplore.ieee.org/servlet/opac?punumber=8938194","Open IEEE Xplore")</x:f>
        <x:v>HYPERLINK is not implemented. linkLocation=https://ieeexplore.ieee.org/servlet/opac?punumber=8938194, friendlyName=Open IEEE Xplore</x:v>
      </x:c>
      <x:c r="K13" s="28" t="str">
        <x:v>—</x:v>
      </x:c>
      <x:c r="L13" s="28" t="str">
        <x:v>https://ieeexplore.ieee.org/servlet/opac?punumber=8938194</x:v>
      </x:c>
      <x:c r="M13" s="28" t="str"/>
    </x:row>
    <x:row r="14">
      <x:c r="A14" s="28" t="str">
        <x:v>EE 221</x:v>
      </x:c>
      <x:c r="B14" s="28" t="str">
        <x:v>Logic Design</x:v>
      </x:c>
      <x:c r="C14" s="28" t="str">
        <x:v>Useful</x:v>
      </x:c>
      <x:c r="D14" s="28" t="str">
        <x:v>1500-2022</x:v>
      </x:c>
      <x:c r="E14" s="28" t="str">
        <x:v>1500-2022 - IEEE Standard Testability Method for Embedded Core-based Integrated Circuits</x:v>
      </x:c>
      <x:c r="F14" s="28" t="str">
        <x:v>Introduce design-for-test concepts for embedded digital cores.</x:v>
      </x:c>
      <x:c r="G14" s="28" t="str">
        <x:v>Subscription / purchase</x:v>
      </x:c>
      <x:c r="H14" s="28" t="str">
        <x:v>Active</x:v>
      </x:c>
      <x:c r="I14" s="28" t="str">
        <x:v>Approved</x:v>
      </x:c>
      <x:c r="J14" s="28" t="e">
        <x:f>HYPERLINK("https://ieeexplore.ieee.org/servlet/opac?punumber=9916219","Open IEEE Xplore")</x:f>
        <x:v>HYPERLINK is not implemented. linkLocation=https://ieeexplore.ieee.org/servlet/opac?punumber=9916219, friendlyName=Open IEEE Xplore</x:v>
      </x:c>
      <x:c r="K14" s="28" t="str">
        <x:v>—</x:v>
      </x:c>
      <x:c r="L14" s="28" t="str">
        <x:v>https://ieeexplore.ieee.org/servlet/opac?punumber=9916219</x:v>
      </x:c>
      <x:c r="M14" s="28" t="str"/>
    </x:row>
    <x:row r="15">
      <x:c r="A15" s="28" t="str">
        <x:v>EE 221</x:v>
      </x:c>
      <x:c r="B15" s="28" t="str">
        <x:v>Logic Design</x:v>
      </x:c>
      <x:c r="C15" s="28" t="str">
        <x:v>Useful</x:v>
      </x:c>
      <x:c r="D15" s="28" t="str">
        <x:v>1800-2023</x:v>
      </x:c>
      <x:c r="E15" s="28" t="str">
        <x:v>1800-2023 - IEEE Standard for SystemVerilog--Unified Hardware Design, Specification, and Verification Language</x:v>
      </x:c>
      <x:c r="F15" s="28" t="str">
        <x:v>Compare VHDL with SystemVerilog and show industrial design/verification language standardization.</x:v>
      </x:c>
      <x:c r="G15" s="28" t="str">
        <x:v>Free — IEEE GET</x:v>
      </x:c>
      <x:c r="H15" s="28" t="str">
        <x:v>Active</x:v>
      </x:c>
      <x:c r="I15" s="28" t="str">
        <x:v>Approved</x:v>
      </x:c>
      <x:c r="J15" s="28" t="e">
        <x:f>HYPERLINK("https://ieeexplore.ieee.org/servlet/opac?punumber=10458100","Open IEEE Xplore")</x:f>
        <x:v>HYPERLINK is not implemented. linkLocation=https://ieeexplore.ieee.org/servlet/opac?punumber=10458100, friendlyName=Open IEEE Xplore</x:v>
      </x:c>
      <x:c r="K15" s="28" t="e">
        <x:f>HYPERLINK("https://ieeexplore.ieee.org/browse/standards/get-program/page/series?id=80","Free via IEEE GET")</x:f>
        <x:v>HYPERLINK is not implemented. linkLocation=https://ieeexplore.ieee.org/browse/standards/get-program/page/series?id=80, friendlyName=Free via IEEE GET</x:v>
      </x:c>
      <x:c r="L15" s="28" t="str">
        <x:v>https://ieeexplore.ieee.org/servlet/opac?punumber=10458100</x:v>
      </x:c>
      <x:c r="M15" s="28" t="str">
        <x:v>https://ieeexplore.ieee.org/browse/standards/get-program/page/series?id=80</x:v>
      </x:c>
    </x:row>
    <x:row r="16">
      <x:c r="A16" s="28" t="str">
        <x:v>EE 221</x:v>
      </x:c>
      <x:c r="B16" s="28" t="str">
        <x:v>Logic Design</x:v>
      </x:c>
      <x:c r="C16" s="28" t="str">
        <x:v>Advanced</x:v>
      </x:c>
      <x:c r="D16" s="28" t="str">
        <x:v>1149.7-2022</x:v>
      </x:c>
      <x:c r="E16" s="28" t="str">
        <x:v>1149.7-2022 - IEEE Standard for Reduced-Pin and Enhanced-Functionality Test Access Port and Boundary-Scan Architecture</x:v>
      </x:c>
      <x:c r="F16" s="28" t="str">
        <x:v>Introduce boundary-scan/test-access concepts and reduced-pin test architectures.</x:v>
      </x:c>
      <x:c r="G16" s="28" t="str">
        <x:v>Subscription / purchase</x:v>
      </x:c>
      <x:c r="H16" s="28" t="str">
        <x:v>Active</x:v>
      </x:c>
      <x:c r="I16" s="28" t="str">
        <x:v>Approved</x:v>
      </x:c>
      <x:c r="J16" s="28" t="e">
        <x:f>HYPERLINK("https://ieeexplore.ieee.org/servlet/opac?punumber=9919138","Open IEEE Xplore")</x:f>
        <x:v>HYPERLINK is not implemented. linkLocation=https://ieeexplore.ieee.org/servlet/opac?punumber=9919138, friendlyName=Open IEEE Xplore</x:v>
      </x:c>
      <x:c r="K16" s="28" t="str">
        <x:v>—</x:v>
      </x:c>
      <x:c r="L16" s="28" t="str">
        <x:v>https://ieeexplore.ieee.org/servlet/opac?punumber=9919138</x:v>
      </x:c>
      <x:c r="M16" s="28" t="str"/>
    </x:row>
    <x:row r="17">
      <x:c r="A17" s="28" t="str">
        <x:v>EE 221</x:v>
      </x:c>
      <x:c r="B17" s="28" t="str">
        <x:v>Logic Design</x:v>
      </x:c>
      <x:c r="C17" s="28" t="str">
        <x:v>Advanced</x:v>
      </x:c>
      <x:c r="D17" s="28" t="str">
        <x:v>1685-2022</x:v>
      </x:c>
      <x:c r="E17" s="28" t="str">
        <x:v>1685-2022 - IEEE Standard for IP-XACT, Standard Structure for Packaging, Integrating, and Reusing IP within Tool Flows</x:v>
      </x:c>
      <x:c r="F17" s="28" t="str">
        <x:v>Show how reusable IP blocks are packaged and integrated in modern digital-design tool flows.</x:v>
      </x:c>
      <x:c r="G17" s="28" t="str">
        <x:v>Free — IEEE GET</x:v>
      </x:c>
      <x:c r="H17" s="28" t="str">
        <x:v>Active</x:v>
      </x:c>
      <x:c r="I17" s="28" t="str">
        <x:v>Approved</x:v>
      </x:c>
      <x:c r="J17" s="28" t="e">
        <x:f>HYPERLINK("https://ieeexplore.ieee.org/servlet/opac?punumber=10054518","Open IEEE Xplore")</x:f>
        <x:v>HYPERLINK is not implemented. linkLocation=https://ieeexplore.ieee.org/servlet/opac?punumber=10054518, friendlyName=Open IEEE Xplore</x:v>
      </x:c>
      <x:c r="K17" s="28" t="e">
        <x:f>HYPERLINK("https://ieeexplore.ieee.org/browse/standards/get-program/page/series?id=80","Free via IEEE GET")</x:f>
        <x:v>HYPERLINK is not implemented. linkLocation=https://ieeexplore.ieee.org/browse/standards/get-program/page/series?id=80, friendlyName=Free via IEEE GET</x:v>
      </x:c>
      <x:c r="L17" s="28" t="str">
        <x:v>https://ieeexplore.ieee.org/servlet/opac?punumber=10054518</x:v>
      </x:c>
      <x:c r="M17" s="28" t="str">
        <x:v>https://ieeexplore.ieee.org/browse/standards/get-program/page/series?id=80</x:v>
      </x:c>
    </x:row>
    <x:row r="18">
      <x:c r="A18" s="28" t="str">
        <x:v>EE 221</x:v>
      </x:c>
      <x:c r="B18" s="28" t="str">
        <x:v>Logic Design</x:v>
      </x:c>
      <x:c r="C18" s="28" t="str">
        <x:v>Advanced</x:v>
      </x:c>
      <x:c r="D18" s="28" t="str">
        <x:v>1735-2023</x:v>
      </x:c>
      <x:c r="E18" s="28" t="str">
        <x:v>1735-2023 - IEEE Recommended Practice for Encryption and Management of Electronic Design Intellectual Property (IP)</x:v>
      </x:c>
      <x:c r="F18" s="28" t="str">
        <x:v>Discuss protection and management of electronic-design intellectual property.</x:v>
      </x:c>
      <x:c r="G18" s="28" t="str">
        <x:v>Free — IEEE GET</x:v>
      </x:c>
      <x:c r="H18" s="28" t="str">
        <x:v>Active</x:v>
      </x:c>
      <x:c r="I18" s="28" t="str">
        <x:v>Approved</x:v>
      </x:c>
      <x:c r="J18" s="28" t="e">
        <x:f>HYPERLINK("https://ieeexplore.ieee.org/servlet/opac?punumber=10328534","Open IEEE Xplore")</x:f>
        <x:v>HYPERLINK is not implemented. linkLocation=https://ieeexplore.ieee.org/servlet/opac?punumber=10328534, friendlyName=Open IEEE Xplore</x:v>
      </x:c>
      <x:c r="K18" s="28" t="e">
        <x:f>HYPERLINK("https://ieeexplore.ieee.org/browse/standards/get-program/page/series?id=80","Free via IEEE GET")</x:f>
        <x:v>HYPERLINK is not implemented. linkLocation=https://ieeexplore.ieee.org/browse/standards/get-program/page/series?id=80, friendlyName=Free via IEEE GET</x:v>
      </x:c>
      <x:c r="L18" s="28" t="str">
        <x:v>https://ieeexplore.ieee.org/servlet/opac?punumber=10328534</x:v>
      </x:c>
      <x:c r="M18" s="28" t="str">
        <x:v>https://ieeexplore.ieee.org/browse/standards/get-program/page/series?id=80</x:v>
      </x:c>
    </x:row>
    <x:row r="19">
      <x:c r="A19" s="28" t="str">
        <x:v>EE 231</x:v>
      </x:c>
      <x:c r="B19" s="28" t="str">
        <x:v>Signals and Systems</x:v>
      </x:c>
      <x:c r="C19" s="28" t="str">
        <x:v>Core</x:v>
      </x:c>
      <x:c r="D19" s="28" t="str">
        <x:v>1057-2017</x:v>
      </x:c>
      <x:c r="E19" s="28" t="str">
        <x:v>1057-2017 - IEEE Standard for Digitizing Waveform Recorders</x:v>
      </x:c>
      <x:c r="F19" s="28" t="str">
        <x:v>Use digitizing-waveform-recorder terminology when discussing sampling, records, timing, and measurement fidelity.</x:v>
      </x:c>
      <x:c r="G19" s="28" t="str">
        <x:v>Subscription / purchase</x:v>
      </x:c>
      <x:c r="H19" s="28" t="str">
        <x:v>Active</x:v>
      </x:c>
      <x:c r="I19" s="28" t="str">
        <x:v>Approved</x:v>
      </x:c>
      <x:c r="J19" s="28" t="e">
        <x:f>HYPERLINK("https://ieeexplore.ieee.org/servlet/opac?punumber=8291739","Open IEEE Xplore")</x:f>
        <x:v>HYPERLINK is not implemented. linkLocation=https://ieeexplore.ieee.org/servlet/opac?punumber=8291739, friendlyName=Open IEEE Xplore</x:v>
      </x:c>
      <x:c r="K19" s="28" t="str">
        <x:v>—</x:v>
      </x:c>
      <x:c r="L19" s="28" t="str">
        <x:v>https://ieeexplore.ieee.org/servlet/opac?punumber=8291739</x:v>
      </x:c>
      <x:c r="M19" s="28" t="str"/>
    </x:row>
    <x:row r="20">
      <x:c r="A20" s="28" t="str">
        <x:v>EE 231</x:v>
      </x:c>
      <x:c r="B20" s="28" t="str">
        <x:v>Signals and Systems</x:v>
      </x:c>
      <x:c r="C20" s="28" t="str">
        <x:v>Core</x:v>
      </x:c>
      <x:c r="D20" s="28" t="str">
        <x:v>1241-2023</x:v>
      </x:c>
      <x:c r="E20" s="28" t="str">
        <x:v>1241-2023 - IEEE Standard for Terminology and Test Methods for Analog-to-Digital Converters</x:v>
      </x:c>
      <x:c r="F20" s="28" t="str">
        <x:v>Connect sampling and quantization theory to standardized ADC terminology and test methods.</x:v>
      </x:c>
      <x:c r="G20" s="28" t="str">
        <x:v>Subscription / purchase</x:v>
      </x:c>
      <x:c r="H20" s="28" t="str">
        <x:v>Active</x:v>
      </x:c>
      <x:c r="I20" s="28" t="str">
        <x:v>Approved</x:v>
      </x:c>
      <x:c r="J20" s="28" t="e">
        <x:f>HYPERLINK("https://ieeexplore.ieee.org/servlet/opac?punumber=10269813","Open IEEE Xplore")</x:f>
        <x:v>HYPERLINK is not implemented. linkLocation=https://ieeexplore.ieee.org/servlet/opac?punumber=10269813, friendlyName=Open IEEE Xplore</x:v>
      </x:c>
      <x:c r="K20" s="28" t="str">
        <x:v>—</x:v>
      </x:c>
      <x:c r="L20" s="28" t="str">
        <x:v>https://ieeexplore.ieee.org/servlet/opac?punumber=10269813</x:v>
      </x:c>
      <x:c r="M20" s="28" t="str"/>
    </x:row>
    <x:row r="21">
      <x:c r="A21" s="28" t="str">
        <x:v>EE 231</x:v>
      </x:c>
      <x:c r="B21" s="28" t="str">
        <x:v>Signals and Systems</x:v>
      </x:c>
      <x:c r="C21" s="28" t="str">
        <x:v>Useful</x:v>
      </x:c>
      <x:c r="D21" s="28" t="str">
        <x:v>754-2019</x:v>
      </x:c>
      <x:c r="E21" s="28" t="str">
        <x:v>754-2019 - IEEE Standard for Floating-Point Arithmetic</x:v>
      </x:c>
      <x:c r="F21" s="28" t="str">
        <x:v>Relate numerical signal processing to standardized floating-point representation and rounding behavior.</x:v>
      </x:c>
      <x:c r="G21" s="28" t="str">
        <x:v>Subscription / purchase</x:v>
      </x:c>
      <x:c r="H21" s="28" t="str">
        <x:v>Active</x:v>
      </x:c>
      <x:c r="I21" s="28" t="str">
        <x:v>Approved</x:v>
      </x:c>
      <x:c r="J21" s="28" t="e">
        <x:f>HYPERLINK("https://ieeexplore.ieee.org/servlet/opac?punumber=8766227","Open IEEE Xplore")</x:f>
        <x:v>HYPERLINK is not implemented. linkLocation=https://ieeexplore.ieee.org/servlet/opac?punumber=8766227, friendlyName=Open IEEE Xplore</x:v>
      </x:c>
      <x:c r="K21" s="28" t="str">
        <x:v>—</x:v>
      </x:c>
      <x:c r="L21" s="28" t="str">
        <x:v>https://ieeexplore.ieee.org/servlet/opac?punumber=8766227</x:v>
      </x:c>
      <x:c r="M21" s="28" t="str"/>
    </x:row>
    <x:row r="22">
      <x:c r="A22" s="28" t="str">
        <x:v>EE 231</x:v>
      </x:c>
      <x:c r="B22" s="28" t="str">
        <x:v>Signals and Systems</x:v>
      </x:c>
      <x:c r="C22" s="28" t="str">
        <x:v>Advanced</x:v>
      </x:c>
      <x:c r="D22" s="28" t="str">
        <x:v>2700-2017</x:v>
      </x:c>
      <x:c r="E22" s="28" t="str">
        <x:v>2700-2017 - IEEE Standard for Sensor Performance Parameter Definitions</x:v>
      </x:c>
      <x:c r="F22" s="28" t="str">
        <x:v>Use standardized sensor-performance parameters when signals originate from real measurement systems.</x:v>
      </x:c>
      <x:c r="G22" s="28" t="str">
        <x:v>Subscription / purchase</x:v>
      </x:c>
      <x:c r="H22" s="28" t="str">
        <x:v>Active</x:v>
      </x:c>
      <x:c r="I22" s="28" t="str">
        <x:v>Approved</x:v>
      </x:c>
      <x:c r="J22" s="28" t="e">
        <x:f>HYPERLINK("https://ieeexplore.ieee.org/servlet/opac?punumber=8277145","Open IEEE Xplore")</x:f>
        <x:v>HYPERLINK is not implemented. linkLocation=https://ieeexplore.ieee.org/servlet/opac?punumber=8277145, friendlyName=Open IEEE Xplore</x:v>
      </x:c>
      <x:c r="K22" s="28" t="str">
        <x:v>—</x:v>
      </x:c>
      <x:c r="L22" s="28" t="str">
        <x:v>https://ieeexplore.ieee.org/servlet/opac?punumber=8277145</x:v>
      </x:c>
      <x:c r="M22" s="28" t="str"/>
    </x:row>
    <x:row r="23">
      <x:c r="A23" s="28" t="str">
        <x:v>EE 202</x:v>
      </x:c>
      <x:c r="B23" s="28" t="str">
        <x:v>Circuit Analysis</x:v>
      </x:c>
      <x:c r="C23" s="28" t="str">
        <x:v>Core</x:v>
      </x:c>
      <x:c r="D23" s="28" t="str">
        <x:v>519-2022</x:v>
      </x:c>
      <x:c r="E23" s="28" t="str">
        <x:v>519-2022 - IEEE Standard for Harmonic Control in Electric Power Systems</x:v>
      </x:c>
      <x:c r="F23" s="28" t="str">
        <x:v>Use harmonic limits and terminology when extending sinusoidal circuit analysis to distorted waveforms.</x:v>
      </x:c>
      <x:c r="G23" s="28" t="str">
        <x:v>Subscription / purchase</x:v>
      </x:c>
      <x:c r="H23" s="28" t="str">
        <x:v>Active</x:v>
      </x:c>
      <x:c r="I23" s="28" t="str">
        <x:v>Approved</x:v>
      </x:c>
      <x:c r="J23" s="28" t="e">
        <x:f>HYPERLINK("https://ieeexplore.ieee.org/servlet/opac?punumber=9848438","Open IEEE Xplore")</x:f>
        <x:v>HYPERLINK is not implemented. linkLocation=https://ieeexplore.ieee.org/servlet/opac?punumber=9848438, friendlyName=Open IEEE Xplore</x:v>
      </x:c>
      <x:c r="K23" s="28" t="str">
        <x:v>—</x:v>
      </x:c>
      <x:c r="L23" s="28" t="str">
        <x:v>https://ieeexplore.ieee.org/servlet/opac?punumber=9848438</x:v>
      </x:c>
      <x:c r="M23" s="28" t="str"/>
    </x:row>
    <x:row r="24">
      <x:c r="A24" s="28" t="str">
        <x:v>EE 202</x:v>
      </x:c>
      <x:c r="B24" s="28" t="str">
        <x:v>Circuit Analysis</x:v>
      </x:c>
      <x:c r="C24" s="28" t="str">
        <x:v>Useful</x:v>
      </x:c>
      <x:c r="D24" s="28" t="str">
        <x:v>1159-2019</x:v>
      </x:c>
      <x:c r="E24" s="28" t="str">
        <x:v>1159-2019 - IEEE Recommended Practice for Monitoring Electric Power Quality</x:v>
      </x:c>
      <x:c r="F24" s="28" t="str">
        <x:v>Introduce power-quality events and monitoring terminology as applications of transient and frequency-domain analysis.</x:v>
      </x:c>
      <x:c r="G24" s="28" t="str">
        <x:v>Subscription / purchase</x:v>
      </x:c>
      <x:c r="H24" s="28" t="str">
        <x:v>Active</x:v>
      </x:c>
      <x:c r="I24" s="28" t="str">
        <x:v>Approved</x:v>
      </x:c>
      <x:c r="J24" s="28" t="e">
        <x:f>HYPERLINK("https://ieeexplore.ieee.org/servlet/opac?punumber=8796484","Open IEEE Xplore")</x:f>
        <x:v>HYPERLINK is not implemented. linkLocation=https://ieeexplore.ieee.org/servlet/opac?punumber=8796484, friendlyName=Open IEEE Xplore</x:v>
      </x:c>
      <x:c r="K24" s="28" t="str">
        <x:v>—</x:v>
      </x:c>
      <x:c r="L24" s="28" t="str">
        <x:v>https://ieeexplore.ieee.org/servlet/opac?punumber=8796484</x:v>
      </x:c>
      <x:c r="M24" s="28" t="str"/>
    </x:row>
    <x:row r="25">
      <x:c r="A25" s="28" t="str">
        <x:v>EE 202</x:v>
      </x:c>
      <x:c r="B25" s="28" t="str">
        <x:v>Circuit Analysis</x:v>
      </x:c>
      <x:c r="C25" s="28" t="str">
        <x:v>Useful</x:v>
      </x:c>
      <x:c r="D25" s="28" t="str">
        <x:v>120-2023</x:v>
      </x:c>
      <x:c r="E25" s="28" t="str">
        <x:v>120-2023 - IEEE Master Test Guide for Electrical Measurements in Power Circuits</x:v>
      </x:c>
      <x:c r="F25" s="28" t="str">
        <x:v>Relate three-phase and power calculations to standardized measurement practice.</x:v>
      </x:c>
      <x:c r="G25" s="28" t="str">
        <x:v>Subscription / purchase</x:v>
      </x:c>
      <x:c r="H25" s="28" t="str">
        <x:v>Active</x:v>
      </x:c>
      <x:c r="I25" s="28" t="str">
        <x:v>Approved</x:v>
      </x:c>
      <x:c r="J25" s="28" t="e">
        <x:f>HYPERLINK("https://ieeexplore.ieee.org/servlet/opac?punumber=10552206","Open IEEE Xplore")</x:f>
        <x:v>HYPERLINK is not implemented. linkLocation=https://ieeexplore.ieee.org/servlet/opac?punumber=10552206, friendlyName=Open IEEE Xplore</x:v>
      </x:c>
      <x:c r="K25" s="28" t="str">
        <x:v>—</x:v>
      </x:c>
      <x:c r="L25" s="28" t="str">
        <x:v>https://ieeexplore.ieee.org/servlet/opac?punumber=10552206</x:v>
      </x:c>
      <x:c r="M25" s="28" t="str"/>
    </x:row>
    <x:row r="26">
      <x:c r="A26" s="28" t="str">
        <x:v>EE 202</x:v>
      </x:c>
      <x:c r="B26" s="28" t="str">
        <x:v>Circuit Analysis</x:v>
      </x:c>
      <x:c r="C26" s="28" t="str">
        <x:v>Advanced</x:v>
      </x:c>
      <x:c r="D26" s="28" t="str">
        <x:v>3002.8-2018</x:v>
      </x:c>
      <x:c r="E26" s="28" t="str">
        <x:v>3002.8-2018 - IEEE Recommended Practice for Conducting Harmonic Studies and Analysis of Industrial and Commercial Power Systems</x:v>
      </x:c>
      <x:c r="F26" s="28" t="str">
        <x:v>Show how harmonic studies are conducted in real industrial/commercial power systems.</x:v>
      </x:c>
      <x:c r="G26" s="28" t="str">
        <x:v>Subscription / purchase</x:v>
      </x:c>
      <x:c r="H26" s="28" t="str">
        <x:v>Active</x:v>
      </x:c>
      <x:c r="I26" s="28" t="str">
        <x:v>Approved</x:v>
      </x:c>
      <x:c r="J26" s="28" t="e">
        <x:f>HYPERLINK("https://ieeexplore.ieee.org/servlet/opac?punumber=8479355","Open IEEE Xplore")</x:f>
        <x:v>HYPERLINK is not implemented. linkLocation=https://ieeexplore.ieee.org/servlet/opac?punumber=8479355, friendlyName=Open IEEE Xplore</x:v>
      </x:c>
      <x:c r="K26" s="28" t="str">
        <x:v>—</x:v>
      </x:c>
      <x:c r="L26" s="28" t="str">
        <x:v>https://ieeexplore.ieee.org/servlet/opac?punumber=8479355</x:v>
      </x:c>
      <x:c r="M26" s="28" t="str"/>
    </x:row>
    <x:row r="27">
      <x:c r="A27" s="28" t="str">
        <x:v>EE 312</x:v>
      </x:c>
      <x:c r="B27" s="28" t="str">
        <x:v>Electronic Engineering</x:v>
      </x:c>
      <x:c r="C27" s="28" t="str">
        <x:v>Core</x:v>
      </x:c>
      <x:c r="D27" s="28" t="str">
        <x:v>C63.16-2016</x:v>
      </x:c>
      <x:c r="E27" s="28" t="str">
        <x:v>C63.16-2016 - American National Standard Guide for Electrostatic Discharge Test Methodologies and Acceptance Criteria for Electronic Equipment</x:v>
      </x:c>
      <x:c r="F27" s="28" t="str">
        <x:v>Apply ESD robustness concepts to semiconductor circuits and laboratory practice.</x:v>
      </x:c>
      <x:c r="G27" s="28" t="str">
        <x:v>Subscription / purchase</x:v>
      </x:c>
      <x:c r="H27" s="28" t="str">
        <x:v>Active</x:v>
      </x:c>
      <x:c r="I27" s="28" t="str">
        <x:v>Approved</x:v>
      </x:c>
      <x:c r="J27" s="28" t="e">
        <x:f>HYPERLINK("https://ieeexplore.ieee.org/servlet/opac?punumber=7465682","Open IEEE Xplore")</x:f>
        <x:v>HYPERLINK is not implemented. linkLocation=https://ieeexplore.ieee.org/servlet/opac?punumber=7465682, friendlyName=Open IEEE Xplore</x:v>
      </x:c>
      <x:c r="K27" s="28" t="str">
        <x:v>—</x:v>
      </x:c>
      <x:c r="L27" s="28" t="str">
        <x:v>https://ieeexplore.ieee.org/servlet/opac?punumber=7465682</x:v>
      </x:c>
      <x:c r="M27" s="28" t="str"/>
    </x:row>
    <x:row r="28">
      <x:c r="A28" s="28" t="str">
        <x:v>EE 312</x:v>
      </x:c>
      <x:c r="B28" s="28" t="str">
        <x:v>Electronic Engineering</x:v>
      </x:c>
      <x:c r="C28" s="28" t="str">
        <x:v>Useful</x:v>
      </x:c>
      <x:c r="D28" s="28" t="str">
        <x:v>1573-2021</x:v>
      </x:c>
      <x:c r="E28" s="28" t="str">
        <x:v>1573-2021 - IEEE Recommended Practice for Electronic Power Subsystems: Parameters, Interfaces, Elements, and Performance</x:v>
      </x:c>
      <x:c r="F28" s="28" t="str">
        <x:v>Use electronic-power-subsystem interfaces and performance parameters as a practical design context.</x:v>
      </x:c>
      <x:c r="G28" s="28" t="str">
        <x:v>Subscription / purchase</x:v>
      </x:c>
      <x:c r="H28" s="28" t="str">
        <x:v>Active</x:v>
      </x:c>
      <x:c r="I28" s="28" t="str">
        <x:v>Approved</x:v>
      </x:c>
      <x:c r="J28" s="28" t="e">
        <x:f>HYPERLINK("https://ieeexplore.ieee.org/servlet/opac?punumber=9775770","Open IEEE Xplore")</x:f>
        <x:v>HYPERLINK is not implemented. linkLocation=https://ieeexplore.ieee.org/servlet/opac?punumber=9775770, friendlyName=Open IEEE Xplore</x:v>
      </x:c>
      <x:c r="K28" s="28" t="str">
        <x:v>—</x:v>
      </x:c>
      <x:c r="L28" s="28" t="str">
        <x:v>https://ieeexplore.ieee.org/servlet/opac?punumber=9775770</x:v>
      </x:c>
      <x:c r="M28" s="28" t="str"/>
    </x:row>
    <x:row r="29">
      <x:c r="A29" s="28" t="str">
        <x:v>EE 312</x:v>
      </x:c>
      <x:c r="B29" s="28" t="str">
        <x:v>Electronic Engineering</x:v>
      </x:c>
      <x:c r="C29" s="28" t="str">
        <x:v>Useful</x:v>
      </x:c>
      <x:c r="D29" s="28" t="str">
        <x:v>1801-2024</x:v>
      </x:c>
      <x:c r="E29" s="28" t="str">
        <x:v>1801-2024 - IEEE Standard for Design and Verification of Low-Power Energy-Aware Electronic Systems</x:v>
      </x:c>
      <x:c r="F29" s="28" t="str">
        <x:v>Introduce power-aware electronic design and verification for modern low-power systems.</x:v>
      </x:c>
      <x:c r="G29" s="28" t="str">
        <x:v>Free — IEEE GET</x:v>
      </x:c>
      <x:c r="H29" s="28" t="str">
        <x:v>Active</x:v>
      </x:c>
      <x:c r="I29" s="28" t="str">
        <x:v>Approved</x:v>
      </x:c>
      <x:c r="J29" s="28" t="e">
        <x:f>HYPERLINK("https://ieeexplore.ieee.org/servlet/opac?punumber=10910080","Open IEEE Xplore")</x:f>
        <x:v>HYPERLINK is not implemented. linkLocation=https://ieeexplore.ieee.org/servlet/opac?punumber=10910080, friendlyName=Open IEEE Xplore</x:v>
      </x:c>
      <x:c r="K29" s="28" t="e">
        <x:f>HYPERLINK("https://ieeexplore.ieee.org/browse/standards/get-program/page/series?id=80","Free via IEEE GET")</x:f>
        <x:v>HYPERLINK is not implemented. linkLocation=https://ieeexplore.ieee.org/browse/standards/get-program/page/series?id=80, friendlyName=Free via IEEE GET</x:v>
      </x:c>
      <x:c r="L29" s="28" t="str">
        <x:v>https://ieeexplore.ieee.org/servlet/opac?punumber=10910080</x:v>
      </x:c>
      <x:c r="M29" s="28" t="str">
        <x:v>https://ieeexplore.ieee.org/browse/standards/get-program/page/series?id=80</x:v>
      </x:c>
    </x:row>
    <x:row r="30">
      <x:c r="A30" s="28" t="str">
        <x:v>EE 312</x:v>
      </x:c>
      <x:c r="B30" s="28" t="str">
        <x:v>Electronic Engineering</x:v>
      </x:c>
      <x:c r="C30" s="28" t="str">
        <x:v>Advanced</x:v>
      </x:c>
      <x:c r="D30" s="28" t="str">
        <x:v>1500-2022</x:v>
      </x:c>
      <x:c r="E30" s="28" t="str">
        <x:v>1500-2022 - IEEE Standard Testability Method for Embedded Core-based Integrated Circuits</x:v>
      </x:c>
      <x:c r="F30" s="28" t="str">
        <x:v>Link IC design to testability and production verification.</x:v>
      </x:c>
      <x:c r="G30" s="28" t="str">
        <x:v>Subscription / purchase</x:v>
      </x:c>
      <x:c r="H30" s="28" t="str">
        <x:v>Active</x:v>
      </x:c>
      <x:c r="I30" s="28" t="str">
        <x:v>Approved</x:v>
      </x:c>
      <x:c r="J30" s="28" t="e">
        <x:f>HYPERLINK("https://ieeexplore.ieee.org/servlet/opac?punumber=9916219","Open IEEE Xplore")</x:f>
        <x:v>HYPERLINK is not implemented. linkLocation=https://ieeexplore.ieee.org/servlet/opac?punumber=9916219, friendlyName=Open IEEE Xplore</x:v>
      </x:c>
      <x:c r="K30" s="28" t="str">
        <x:v>—</x:v>
      </x:c>
      <x:c r="L30" s="28" t="str">
        <x:v>https://ieeexplore.ieee.org/servlet/opac?punumber=9916219</x:v>
      </x:c>
      <x:c r="M30" s="28" t="str"/>
    </x:row>
    <x:row r="31">
      <x:c r="A31" s="28" t="str">
        <x:v>EE 312</x:v>
      </x:c>
      <x:c r="B31" s="28" t="str">
        <x:v>Electronic Engineering</x:v>
      </x:c>
      <x:c r="C31" s="28" t="str">
        <x:v>Advanced</x:v>
      </x:c>
      <x:c r="D31" s="28" t="str">
        <x:v>1735-2023</x:v>
      </x:c>
      <x:c r="E31" s="28" t="str">
        <x:v>1735-2023 - IEEE Recommended Practice for Encryption and Management of Electronic Design Intellectual Property (IP)</x:v>
      </x:c>
      <x:c r="F31" s="28" t="str">
        <x:v>Introduce secure handling of design IP in professional electronic design flows.</x:v>
      </x:c>
      <x:c r="G31" s="28" t="str">
        <x:v>Free — IEEE GET</x:v>
      </x:c>
      <x:c r="H31" s="28" t="str">
        <x:v>Active</x:v>
      </x:c>
      <x:c r="I31" s="28" t="str">
        <x:v>Approved</x:v>
      </x:c>
      <x:c r="J31" s="28" t="e">
        <x:f>HYPERLINK("https://ieeexplore.ieee.org/servlet/opac?punumber=10328534","Open IEEE Xplore")</x:f>
        <x:v>HYPERLINK is not implemented. linkLocation=https://ieeexplore.ieee.org/servlet/opac?punumber=10328534, friendlyName=Open IEEE Xplore</x:v>
      </x:c>
      <x:c r="K31" s="28" t="e">
        <x:f>HYPERLINK("https://ieeexplore.ieee.org/browse/standards/get-program/page/series?id=80","Free via IEEE GET")</x:f>
        <x:v>HYPERLINK is not implemented. linkLocation=https://ieeexplore.ieee.org/browse/standards/get-program/page/series?id=80, friendlyName=Free via IEEE GET</x:v>
      </x:c>
      <x:c r="L31" s="28" t="str">
        <x:v>https://ieeexplore.ieee.org/servlet/opac?punumber=10328534</x:v>
      </x:c>
      <x:c r="M31" s="28" t="str">
        <x:v>https://ieeexplore.ieee.org/browse/standards/get-program/page/series?id=80</x:v>
      </x:c>
    </x:row>
    <x:row r="32">
      <x:c r="A32" s="28" t="str">
        <x:v>EE 322</x:v>
      </x:c>
      <x:c r="B32" s="28" t="str">
        <x:v>Microprocessors Design</x:v>
      </x:c>
      <x:c r="C32" s="28" t="str">
        <x:v>Core</x:v>
      </x:c>
      <x:c r="D32" s="28" t="str">
        <x:v>1076-2019</x:v>
      </x:c>
      <x:c r="E32" s="28" t="str">
        <x:v>1076-2019 - IEEE Standard for VHDL Language Reference Manual</x:v>
      </x:c>
      <x:c r="F32" s="28" t="str">
        <x:v>Authoritative VHDL reference for RTL modeling, simulation, and synthesis-oriented design.</x:v>
      </x:c>
      <x:c r="G32" s="28" t="str">
        <x:v>Subscription / purchase</x:v>
      </x:c>
      <x:c r="H32" s="28" t="str">
        <x:v>Active</x:v>
      </x:c>
      <x:c r="I32" s="28" t="str">
        <x:v>Approved</x:v>
      </x:c>
      <x:c r="J32" s="28" t="e">
        <x:f>HYPERLINK("https://ieeexplore.ieee.org/servlet/opac?punumber=8938194","Open IEEE Xplore")</x:f>
        <x:v>HYPERLINK is not implemented. linkLocation=https://ieeexplore.ieee.org/servlet/opac?punumber=8938194, friendlyName=Open IEEE Xplore</x:v>
      </x:c>
      <x:c r="K32" s="28" t="str">
        <x:v>—</x:v>
      </x:c>
      <x:c r="L32" s="28" t="str">
        <x:v>https://ieeexplore.ieee.org/servlet/opac?punumber=8938194</x:v>
      </x:c>
      <x:c r="M32" s="28" t="str"/>
    </x:row>
    <x:row r="33">
      <x:c r="A33" s="28" t="str">
        <x:v>EE 322</x:v>
      </x:c>
      <x:c r="B33" s="28" t="str">
        <x:v>Microprocessors Design</x:v>
      </x:c>
      <x:c r="C33" s="28" t="str">
        <x:v>Useful</x:v>
      </x:c>
      <x:c r="D33" s="28" t="str">
        <x:v>1500-2022</x:v>
      </x:c>
      <x:c r="E33" s="28" t="str">
        <x:v>1500-2022 - IEEE Standard Testability Method for Embedded Core-based Integrated Circuits</x:v>
      </x:c>
      <x:c r="F33" s="28" t="str">
        <x:v>Teach embedded-core testability as part of digital-system implementation.</x:v>
      </x:c>
      <x:c r="G33" s="28" t="str">
        <x:v>Subscription / purchase</x:v>
      </x:c>
      <x:c r="H33" s="28" t="str">
        <x:v>Active</x:v>
      </x:c>
      <x:c r="I33" s="28" t="str">
        <x:v>Approved</x:v>
      </x:c>
      <x:c r="J33" s="28" t="e">
        <x:f>HYPERLINK("https://ieeexplore.ieee.org/servlet/opac?punumber=9916219","Open IEEE Xplore")</x:f>
        <x:v>HYPERLINK is not implemented. linkLocation=https://ieeexplore.ieee.org/servlet/opac?punumber=9916219, friendlyName=Open IEEE Xplore</x:v>
      </x:c>
      <x:c r="K33" s="28" t="str">
        <x:v>—</x:v>
      </x:c>
      <x:c r="L33" s="28" t="str">
        <x:v>https://ieeexplore.ieee.org/servlet/opac?punumber=9916219</x:v>
      </x:c>
      <x:c r="M33" s="28" t="str"/>
    </x:row>
    <x:row r="34">
      <x:c r="A34" s="28" t="str">
        <x:v>EE 322</x:v>
      </x:c>
      <x:c r="B34" s="28" t="str">
        <x:v>Microprocessors Design</x:v>
      </x:c>
      <x:c r="C34" s="28" t="str">
        <x:v>Useful</x:v>
      </x:c>
      <x:c r="D34" s="28" t="str">
        <x:v>1685-2022</x:v>
      </x:c>
      <x:c r="E34" s="28" t="str">
        <x:v>1685-2022 - IEEE Standard for IP-XACT, Standard Structure for Packaging, Integrating, and Reusing IP within Tool Flows</x:v>
      </x:c>
      <x:c r="F34" s="28" t="str">
        <x:v>Introduce IP-XACT for IP packaging, registers, interfaces, and reusable system integration.</x:v>
      </x:c>
      <x:c r="G34" s="28" t="str">
        <x:v>Free — IEEE GET</x:v>
      </x:c>
      <x:c r="H34" s="28" t="str">
        <x:v>Active</x:v>
      </x:c>
      <x:c r="I34" s="28" t="str">
        <x:v>Approved</x:v>
      </x:c>
      <x:c r="J34" s="28" t="e">
        <x:f>HYPERLINK("https://ieeexplore.ieee.org/servlet/opac?punumber=10054518","Open IEEE Xplore")</x:f>
        <x:v>HYPERLINK is not implemented. linkLocation=https://ieeexplore.ieee.org/servlet/opac?punumber=10054518, friendlyName=Open IEEE Xplore</x:v>
      </x:c>
      <x:c r="K34" s="28" t="e">
        <x:f>HYPERLINK("https://ieeexplore.ieee.org/browse/standards/get-program/page/series?id=80","Free via IEEE GET")</x:f>
        <x:v>HYPERLINK is not implemented. linkLocation=https://ieeexplore.ieee.org/browse/standards/get-program/page/series?id=80, friendlyName=Free via IEEE GET</x:v>
      </x:c>
      <x:c r="L34" s="28" t="str">
        <x:v>https://ieeexplore.ieee.org/servlet/opac?punumber=10054518</x:v>
      </x:c>
      <x:c r="M34" s="28" t="str">
        <x:v>https://ieeexplore.ieee.org/browse/standards/get-program/page/series?id=80</x:v>
      </x:c>
    </x:row>
    <x:row r="35">
      <x:c r="A35" s="28" t="str">
        <x:v>EE 322</x:v>
      </x:c>
      <x:c r="B35" s="28" t="str">
        <x:v>Microprocessors Design</x:v>
      </x:c>
      <x:c r="C35" s="28" t="str">
        <x:v>Useful</x:v>
      </x:c>
      <x:c r="D35" s="28" t="str">
        <x:v>1800-2023</x:v>
      </x:c>
      <x:c r="E35" s="28" t="str">
        <x:v>1800-2023 - IEEE Standard for SystemVerilog--Unified Hardware Design, Specification, and Verification Language</x:v>
      </x:c>
      <x:c r="F35" s="28" t="str">
        <x:v>Expose students to SystemVerilog as a second standardized hardware design/verification language.</x:v>
      </x:c>
      <x:c r="G35" s="28" t="str">
        <x:v>Free — IEEE GET</x:v>
      </x:c>
      <x:c r="H35" s="28" t="str">
        <x:v>Active</x:v>
      </x:c>
      <x:c r="I35" s="28" t="str">
        <x:v>Approved</x:v>
      </x:c>
      <x:c r="J35" s="28" t="e">
        <x:f>HYPERLINK("https://ieeexplore.ieee.org/servlet/opac?punumber=10458100","Open IEEE Xplore")</x:f>
        <x:v>HYPERLINK is not implemented. linkLocation=https://ieeexplore.ieee.org/servlet/opac?punumber=10458100, friendlyName=Open IEEE Xplore</x:v>
      </x:c>
      <x:c r="K35" s="28" t="e">
        <x:f>HYPERLINK("https://ieeexplore.ieee.org/browse/standards/get-program/page/series?id=80","Free via IEEE GET")</x:f>
        <x:v>HYPERLINK is not implemented. linkLocation=https://ieeexplore.ieee.org/browse/standards/get-program/page/series?id=80, friendlyName=Free via IEEE GET</x:v>
      </x:c>
      <x:c r="L35" s="28" t="str">
        <x:v>https://ieeexplore.ieee.org/servlet/opac?punumber=10458100</x:v>
      </x:c>
      <x:c r="M35" s="28" t="str">
        <x:v>https://ieeexplore.ieee.org/browse/standards/get-program/page/series?id=80</x:v>
      </x:c>
    </x:row>
    <x:row r="36">
      <x:c r="A36" s="28" t="str">
        <x:v>EE 322</x:v>
      </x:c>
      <x:c r="B36" s="28" t="str">
        <x:v>Microprocessors Design</x:v>
      </x:c>
      <x:c r="C36" s="28" t="str">
        <x:v>Advanced</x:v>
      </x:c>
      <x:c r="D36" s="28" t="str">
        <x:v>1149.7-2022</x:v>
      </x:c>
      <x:c r="E36" s="28" t="str">
        <x:v>1149.7-2022 - IEEE Standard for Reduced-Pin and Enhanced-Functionality Test Access Port and Boundary-Scan Architecture</x:v>
      </x:c>
      <x:c r="F36" s="28" t="str">
        <x:v>Introduce standardized test-access/boundary-scan ideas for hardware debug and production test.</x:v>
      </x:c>
      <x:c r="G36" s="28" t="str">
        <x:v>Subscription / purchase</x:v>
      </x:c>
      <x:c r="H36" s="28" t="str">
        <x:v>Active</x:v>
      </x:c>
      <x:c r="I36" s="28" t="str">
        <x:v>Approved</x:v>
      </x:c>
      <x:c r="J36" s="28" t="e">
        <x:f>HYPERLINK("https://ieeexplore.ieee.org/servlet/opac?punumber=9919138","Open IEEE Xplore")</x:f>
        <x:v>HYPERLINK is not implemented. linkLocation=https://ieeexplore.ieee.org/servlet/opac?punumber=9919138, friendlyName=Open IEEE Xplore</x:v>
      </x:c>
      <x:c r="K36" s="28" t="str">
        <x:v>—</x:v>
      </x:c>
      <x:c r="L36" s="28" t="str">
        <x:v>https://ieeexplore.ieee.org/servlet/opac?punumber=9919138</x:v>
      </x:c>
      <x:c r="M36" s="28" t="str"/>
    </x:row>
    <x:row r="37">
      <x:c r="A37" s="28" t="str">
        <x:v>EE 322</x:v>
      </x:c>
      <x:c r="B37" s="28" t="str">
        <x:v>Microprocessors Design</x:v>
      </x:c>
      <x:c r="C37" s="28" t="str">
        <x:v>Advanced</x:v>
      </x:c>
      <x:c r="D37" s="28" t="str">
        <x:v>1451.0-2024</x:v>
      </x:c>
      <x:c r="E37" s="28" t="str">
        <x:v>1451.0-2024 - IEEE Standard for a Smart Transducer Interface for Sensors and Actuators--Common Functions, Communication Protocols, and Transducer Electronic Data Sheet (TEDS) Formats</x:v>
      </x:c>
      <x:c r="F37" s="28" t="str">
        <x:v>Use smart-transducer interfaces as a realistic microprocessor/sensor interfacing case.</x:v>
      </x:c>
      <x:c r="G37" s="28" t="str">
        <x:v>Subscription / purchase</x:v>
      </x:c>
      <x:c r="H37" s="28" t="str">
        <x:v>Active</x:v>
      </x:c>
      <x:c r="I37" s="28" t="str">
        <x:v>Approved</x:v>
      </x:c>
      <x:c r="J37" s="28" t="e">
        <x:f>HYPERLINK("https://ieeexplore.ieee.org/servlet/opac?punumber=10571826","Open IEEE Xplore")</x:f>
        <x:v>HYPERLINK is not implemented. linkLocation=https://ieeexplore.ieee.org/servlet/opac?punumber=10571826, friendlyName=Open IEEE Xplore</x:v>
      </x:c>
      <x:c r="K37" s="28" t="str">
        <x:v>—</x:v>
      </x:c>
      <x:c r="L37" s="28" t="str">
        <x:v>https://ieeexplore.ieee.org/servlet/opac?punumber=10571826</x:v>
      </x:c>
      <x:c r="M37" s="28" t="str"/>
    </x:row>
    <x:row r="38">
      <x:c r="A38" s="28" t="str">
        <x:v>EE 322</x:v>
      </x:c>
      <x:c r="B38" s="28" t="str">
        <x:v>Microprocessors Design</x:v>
      </x:c>
      <x:c r="C38" s="28" t="str">
        <x:v>Advanced</x:v>
      </x:c>
      <x:c r="D38" s="28" t="str">
        <x:v>1735-2023</x:v>
      </x:c>
      <x:c r="E38" s="28" t="str">
        <x:v>1735-2023 - IEEE Recommended Practice for Encryption and Management of Electronic Design Intellectual Property (IP)</x:v>
      </x:c>
      <x:c r="F38" s="28" t="str">
        <x:v>Discuss encryption and management of FPGA/ASIC design IP.</x:v>
      </x:c>
      <x:c r="G38" s="28" t="str">
        <x:v>Free — IEEE GET</x:v>
      </x:c>
      <x:c r="H38" s="28" t="str">
        <x:v>Active</x:v>
      </x:c>
      <x:c r="I38" s="28" t="str">
        <x:v>Approved</x:v>
      </x:c>
      <x:c r="J38" s="28" t="e">
        <x:f>HYPERLINK("https://ieeexplore.ieee.org/servlet/opac?punumber=10328534","Open IEEE Xplore")</x:f>
        <x:v>HYPERLINK is not implemented. linkLocation=https://ieeexplore.ieee.org/servlet/opac?punumber=10328534, friendlyName=Open IEEE Xplore</x:v>
      </x:c>
      <x:c r="K38" s="28" t="e">
        <x:f>HYPERLINK("https://ieeexplore.ieee.org/browse/standards/get-program/page/series?id=80","Free via IEEE GET")</x:f>
        <x:v>HYPERLINK is not implemented. linkLocation=https://ieeexplore.ieee.org/browse/standards/get-program/page/series?id=80, friendlyName=Free via IEEE GET</x:v>
      </x:c>
      <x:c r="L38" s="28" t="str">
        <x:v>https://ieeexplore.ieee.org/servlet/opac?punumber=10328534</x:v>
      </x:c>
      <x:c r="M38" s="28" t="str">
        <x:v>https://ieeexplore.ieee.org/browse/standards/get-program/page/series?id=80</x:v>
      </x:c>
    </x:row>
    <x:row r="39">
      <x:c r="A39" s="28" t="str">
        <x:v>EE 322</x:v>
      </x:c>
      <x:c r="B39" s="28" t="str">
        <x:v>Microprocessors Design</x:v>
      </x:c>
      <x:c r="C39" s="28" t="str">
        <x:v>Advanced</x:v>
      </x:c>
      <x:c r="D39" s="28" t="str">
        <x:v>754-2019</x:v>
      </x:c>
      <x:c r="E39" s="28" t="str">
        <x:v>754-2019 - IEEE Standard for Floating-Point Arithmetic</x:v>
      </x:c>
      <x:c r="F39" s="28" t="str">
        <x:v>Use floating-point arithmetic as a standards-based example of processor datapath representation.</x:v>
      </x:c>
      <x:c r="G39" s="28" t="str">
        <x:v>Subscription / purchase</x:v>
      </x:c>
      <x:c r="H39" s="28" t="str">
        <x:v>Active</x:v>
      </x:c>
      <x:c r="I39" s="28" t="str">
        <x:v>Approved</x:v>
      </x:c>
      <x:c r="J39" s="28" t="e">
        <x:f>HYPERLINK("https://ieeexplore.ieee.org/servlet/opac?punumber=8766227","Open IEEE Xplore")</x:f>
        <x:v>HYPERLINK is not implemented. linkLocation=https://ieeexplore.ieee.org/servlet/opac?punumber=8766227, friendlyName=Open IEEE Xplore</x:v>
      </x:c>
      <x:c r="K39" s="28" t="str">
        <x:v>—</x:v>
      </x:c>
      <x:c r="L39" s="28" t="str">
        <x:v>https://ieeexplore.ieee.org/servlet/opac?punumber=8766227</x:v>
      </x:c>
      <x:c r="M39" s="28" t="str"/>
    </x:row>
    <x:row r="40">
      <x:c r="A40" s="28" t="str">
        <x:v>EE 341</x:v>
      </x:c>
      <x:c r="B40" s="28" t="str">
        <x:v>Electromagnetics Fundamental</x:v>
      </x:c>
      <x:c r="C40" s="28" t="str">
        <x:v>Core</x:v>
      </x:c>
      <x:c r="D40" s="28" t="str">
        <x:v>C95.1-2019</x:v>
      </x:c>
      <x:c r="E40" s="28" t="str">
        <x:v>C95.1-2019 - IEEE Standard for Safety Levels with Respect to Human Exposure to Electric, Magnetic, and Electromagnetic Fields, 0 Hz to 300 GHz</x:v>
      </x:c>
      <x:c r="F40" s="28" t="str">
        <x:v>Connect electric/magnetic field calculations to human-exposure safety limits.</x:v>
      </x:c>
      <x:c r="G40" s="28" t="str">
        <x:v>Free — IEEE GET</x:v>
      </x:c>
      <x:c r="H40" s="28" t="str">
        <x:v>Active</x:v>
      </x:c>
      <x:c r="I40" s="28" t="str">
        <x:v>Approved</x:v>
      </x:c>
      <x:c r="J40" s="28" t="e">
        <x:f>HYPERLINK("https://ieeexplore.ieee.org/servlet/opac?punumber=8859677","Open IEEE Xplore")</x:f>
        <x:v>HYPERLINK is not implemented. linkLocation=https://ieeexplore.ieee.org/servlet/opac?punumber=8859677, friendlyName=Open IEEE Xplore</x:v>
      </x:c>
      <x:c r="K40" s="28" t="e">
        <x:f>HYPERLINK("https://ieeexplore.ieee.org/browse/standards/get-program/page/series?id=82","Free via IEEE GET")</x:f>
        <x:v>HYPERLINK is not implemented. linkLocation=https://ieeexplore.ieee.org/browse/standards/get-program/page/series?id=82, friendlyName=Free via IEEE GET</x:v>
      </x:c>
      <x:c r="L40" s="28" t="str">
        <x:v>https://ieeexplore.ieee.org/servlet/opac?punumber=8859677</x:v>
      </x:c>
      <x:c r="M40" s="28" t="str">
        <x:v>https://ieeexplore.ieee.org/browse/standards/get-program/page/series?id=82</x:v>
      </x:c>
    </x:row>
    <x:row r="41">
      <x:c r="A41" s="28" t="str">
        <x:v>EE 341</x:v>
      </x:c>
      <x:c r="B41" s="28" t="str">
        <x:v>Electromagnetics Fundamental</x:v>
      </x:c>
      <x:c r="C41" s="28" t="str">
        <x:v>Core</x:v>
      </x:c>
      <x:c r="D41" s="28" t="str">
        <x:v>C95.3-2021</x:v>
      </x:c>
      <x:c r="E41" s="28" t="str">
        <x:v>C95.3-2021 - IEEE Recommended Practice for Measurements and Computations of Electric, Magnetic, and Electromagnetic Fields with Respect to Human Exposure to Such Fields, 0 Hz to 300 GHz</x:v>
      </x:c>
      <x:c r="F41" s="28" t="str">
        <x:v>Show standardized methods for measuring and computing fields for exposure assessment.</x:v>
      </x:c>
      <x:c r="G41" s="28" t="str">
        <x:v>Free — IEEE GET</x:v>
      </x:c>
      <x:c r="H41" s="28" t="str">
        <x:v>Active</x:v>
      </x:c>
      <x:c r="I41" s="28" t="str">
        <x:v>Approved</x:v>
      </x:c>
      <x:c r="J41" s="28" t="e">
        <x:f>HYPERLINK("https://ieeexplore.ieee.org/servlet/opac?punumber=9444271","Open IEEE Xplore")</x:f>
        <x:v>HYPERLINK is not implemented. linkLocation=https://ieeexplore.ieee.org/servlet/opac?punumber=9444271, friendlyName=Open IEEE Xplore</x:v>
      </x:c>
      <x:c r="K41" s="28" t="e">
        <x:f>HYPERLINK("https://ieeexplore.ieee.org/browse/standards/get-program/page/series?id=82","Free via IEEE GET")</x:f>
        <x:v>HYPERLINK is not implemented. linkLocation=https://ieeexplore.ieee.org/browse/standards/get-program/page/series?id=82, friendlyName=Free via IEEE GET</x:v>
      </x:c>
      <x:c r="L41" s="28" t="str">
        <x:v>https://ieeexplore.ieee.org/servlet/opac?punumber=9444271</x:v>
      </x:c>
      <x:c r="M41" s="28" t="str">
        <x:v>https://ieeexplore.ieee.org/browse/standards/get-program/page/series?id=82</x:v>
      </x:c>
    </x:row>
    <x:row r="42">
      <x:c r="A42" s="28" t="str">
        <x:v>EE 341</x:v>
      </x:c>
      <x:c r="B42" s="28" t="str">
        <x:v>Electromagnetics Fundamental</x:v>
      </x:c>
      <x:c r="C42" s="28" t="str">
        <x:v>Useful</x:v>
      </x:c>
      <x:c r="D42" s="28" t="str">
        <x:v>145-2025</x:v>
      </x:c>
      <x:c r="E42" s="28" t="str">
        <x:v>145-2025 - IEEE Standard for Definitions of Terms for Antennas</x:v>
      </x:c>
      <x:c r="F42" s="28" t="str">
        <x:v>Use standardized antenna terminology when transitioning from fields to radiation applications.</x:v>
      </x:c>
      <x:c r="G42" s="28" t="str">
        <x:v>Subscription / purchase</x:v>
      </x:c>
      <x:c r="H42" s="28" t="str">
        <x:v>Active</x:v>
      </x:c>
      <x:c r="I42" s="28" t="str">
        <x:v>Approved</x:v>
      </x:c>
      <x:c r="J42" s="28" t="e">
        <x:f>HYPERLINK("https://ieeexplore.ieee.org/servlet/opac?punumber=11459443","Open IEEE Xplore")</x:f>
        <x:v>HYPERLINK is not implemented. linkLocation=https://ieeexplore.ieee.org/servlet/opac?punumber=11459443, friendlyName=Open IEEE Xplore</x:v>
      </x:c>
      <x:c r="K42" s="28" t="str">
        <x:v>—</x:v>
      </x:c>
      <x:c r="L42" s="28" t="str">
        <x:v>https://ieeexplore.ieee.org/servlet/opac?punumber=11459443</x:v>
      </x:c>
      <x:c r="M42" s="28" t="str"/>
    </x:row>
    <x:row r="43">
      <x:c r="A43" s="28" t="str">
        <x:v>EE 341</x:v>
      </x:c>
      <x:c r="B43" s="28" t="str">
        <x:v>Electromagnetics Fundamental</x:v>
      </x:c>
      <x:c r="C43" s="28" t="str">
        <x:v>Useful</x:v>
      </x:c>
      <x:c r="D43" s="28" t="str">
        <x:v>1597.1-2022</x:v>
      </x:c>
      <x:c r="E43" s="28" t="str">
        <x:v>1597.1-2022 - IEEE Standard for Validation of Computational Electromagnetics Computer Modeling and Simulations</x:v>
      </x:c>
      <x:c r="F43" s="28" t="str">
        <x:v>Introduce validation principles for computational electromagnetics models and simulations.</x:v>
      </x:c>
      <x:c r="G43" s="28" t="str">
        <x:v>Subscription / purchase</x:v>
      </x:c>
      <x:c r="H43" s="28" t="str">
        <x:v>Active</x:v>
      </x:c>
      <x:c r="I43" s="28" t="str">
        <x:v>Approved</x:v>
      </x:c>
      <x:c r="J43" s="28" t="e">
        <x:f>HYPERLINK("https://ieeexplore.ieee.org/servlet/opac?punumber=10251757","Open IEEE Xplore")</x:f>
        <x:v>HYPERLINK is not implemented. linkLocation=https://ieeexplore.ieee.org/servlet/opac?punumber=10251757, friendlyName=Open IEEE Xplore</x:v>
      </x:c>
      <x:c r="K43" s="28" t="str">
        <x:v>—</x:v>
      </x:c>
      <x:c r="L43" s="28" t="str">
        <x:v>https://ieeexplore.ieee.org/servlet/opac?punumber=10251757</x:v>
      </x:c>
      <x:c r="M43" s="28" t="str"/>
    </x:row>
    <x:row r="44">
      <x:c r="A44" s="28" t="str">
        <x:v>EE 341</x:v>
      </x:c>
      <x:c r="B44" s="28" t="str">
        <x:v>Electromagnetics Fundamental</x:v>
      </x:c>
      <x:c r="C44" s="28" t="str">
        <x:v>Advanced</x:v>
      </x:c>
      <x:c r="D44" s="28" t="str">
        <x:v>149-2021</x:v>
      </x:c>
      <x:c r="E44" s="28" t="str">
        <x:v>149-2021 - IEEE Recommended Practice for Antenna Measurements</x:v>
      </x:c>
      <x:c r="F44" s="28" t="str">
        <x:v>Demonstrate how electromagnetic theory is converted into practical antenna measurement procedures.</x:v>
      </x:c>
      <x:c r="G44" s="28" t="str">
        <x:v>Subscription / purchase</x:v>
      </x:c>
      <x:c r="H44" s="28" t="str">
        <x:v>Active</x:v>
      </x:c>
      <x:c r="I44" s="28" t="str">
        <x:v>Approved</x:v>
      </x:c>
      <x:c r="J44" s="28" t="e">
        <x:f>HYPERLINK("https://ieeexplore.ieee.org/servlet/opac?punumber=9714426","Open IEEE Xplore")</x:f>
        <x:v>HYPERLINK is not implemented. linkLocation=https://ieeexplore.ieee.org/servlet/opac?punumber=9714426, friendlyName=Open IEEE Xplore</x:v>
      </x:c>
      <x:c r="K44" s="28" t="str">
        <x:v>—</x:v>
      </x:c>
      <x:c r="L44" s="28" t="str">
        <x:v>https://ieeexplore.ieee.org/servlet/opac?punumber=9714426</x:v>
      </x:c>
      <x:c r="M44" s="28" t="str"/>
    </x:row>
    <x:row r="45">
      <x:c r="A45" s="28" t="str">
        <x:v>EE 341</x:v>
      </x:c>
      <x:c r="B45" s="28" t="str">
        <x:v>Electromagnetics Fundamental</x:v>
      </x:c>
      <x:c r="C45" s="28" t="str">
        <x:v>Advanced</x:v>
      </x:c>
      <x:c r="D45" s="28" t="str">
        <x:v>473-2025</x:v>
      </x:c>
      <x:c r="E45" s="28" t="str">
        <x:v>473-2025 - IEEE Recommended Practice for an Electromagnetic Site Survey (10 kHz to 40 GHz)</x:v>
      </x:c>
      <x:c r="F45" s="28" t="str">
        <x:v>Use electromagnetic site-survey practice as an applied field-measurement example.</x:v>
      </x:c>
      <x:c r="G45" s="28" t="str">
        <x:v>Subscription / purchase</x:v>
      </x:c>
      <x:c r="H45" s="28" t="str">
        <x:v>Active</x:v>
      </x:c>
      <x:c r="I45" s="28" t="str">
        <x:v>Approved</x:v>
      </x:c>
      <x:c r="J45" s="28" t="e">
        <x:f>HYPERLINK("https://ieeexplore.ieee.org/servlet/opac?punumber=11223194","Open IEEE Xplore")</x:f>
        <x:v>HYPERLINK is not implemented. linkLocation=https://ieeexplore.ieee.org/servlet/opac?punumber=11223194, friendlyName=Open IEEE Xplore</x:v>
      </x:c>
      <x:c r="K45" s="28" t="str">
        <x:v>—</x:v>
      </x:c>
      <x:c r="L45" s="28" t="str">
        <x:v>https://ieeexplore.ieee.org/servlet/opac?punumber=11223194</x:v>
      </x:c>
      <x:c r="M45" s="28" t="str"/>
    </x:row>
    <x:row r="46">
      <x:c r="A46" s="28" t="str">
        <x:v>EE 341</x:v>
      </x:c>
      <x:c r="B46" s="28" t="str">
        <x:v>Electromagnetics Fundamental</x:v>
      </x:c>
      <x:c r="C46" s="28" t="str">
        <x:v>Advanced</x:v>
      </x:c>
      <x:c r="D46" s="28" t="str">
        <x:v>C63.2-2023</x:v>
      </x:c>
      <x:c r="E46" s="28" t="str">
        <x:v>C63.2-2023 - American National Standard for Specifications of Electromagnetic Interference and Field Strength Measuring Instrumentation in the Frequency Range 9 kHz to 40 GHz</x:v>
      </x:c>
      <x:c r="F46" s="28" t="str">
        <x:v>Show specifications for EMI/field-strength measurement instrumentation.</x:v>
      </x:c>
      <x:c r="G46" s="28" t="str">
        <x:v>Subscription / purchase</x:v>
      </x:c>
      <x:c r="H46" s="28" t="str">
        <x:v>Active</x:v>
      </x:c>
      <x:c r="I46" s="28" t="str">
        <x:v>Approved</x:v>
      </x:c>
      <x:c r="J46" s="28" t="e">
        <x:f>HYPERLINK("https://ieeexplore.ieee.org/servlet/opac?punumber=10285669","Open IEEE Xplore")</x:f>
        <x:v>HYPERLINK is not implemented. linkLocation=https://ieeexplore.ieee.org/servlet/opac?punumber=10285669, friendlyName=Open IEEE Xplore</x:v>
      </x:c>
      <x:c r="K46" s="28" t="str">
        <x:v>—</x:v>
      </x:c>
      <x:c r="L46" s="28" t="str">
        <x:v>https://ieeexplore.ieee.org/servlet/opac?punumber=10285669</x:v>
      </x:c>
      <x:c r="M46" s="28" t="str"/>
    </x:row>
    <x:row r="47">
      <x:c r="A47" s="28" t="str">
        <x:v>EE 341</x:v>
      </x:c>
      <x:c r="B47" s="28" t="str">
        <x:v>Electromagnetics Fundamental</x:v>
      </x:c>
      <x:c r="C47" s="28" t="str">
        <x:v>Advanced</x:v>
      </x:c>
      <x:c r="D47" s="28" t="str">
        <x:v>C63.5-2017</x:v>
      </x:c>
      <x:c r="E47" s="28" t="str">
        <x:v>C63.5-2017 - American National Standard for Electromagnetic Compatibility--Radiated Emission Measurements in Electromagnetic Interference (EMI) Control--Calibration and Qualification of Antennas (9 kHz to 40 GHz)</x:v>
      </x:c>
      <x:c r="F47" s="28" t="str">
        <x:v>Introduce antenna calibration/qualification in EMC radiated-emission measurements.</x:v>
      </x:c>
      <x:c r="G47" s="28" t="str">
        <x:v>Subscription / purchase</x:v>
      </x:c>
      <x:c r="H47" s="28" t="str">
        <x:v>Active</x:v>
      </x:c>
      <x:c r="I47" s="28" t="str">
        <x:v>Approved</x:v>
      </x:c>
      <x:c r="J47" s="28" t="e">
        <x:f>HYPERLINK("https://ieeexplore.ieee.org/servlet/opac?punumber=7920365","Open IEEE Xplore")</x:f>
        <x:v>HYPERLINK is not implemented. linkLocation=https://ieeexplore.ieee.org/servlet/opac?punumber=7920365, friendlyName=Open IEEE Xplore</x:v>
      </x:c>
      <x:c r="K47" s="28" t="str">
        <x:v>—</x:v>
      </x:c>
      <x:c r="L47" s="28" t="str">
        <x:v>https://ieeexplore.ieee.org/servlet/opac?punumber=7920365</x:v>
      </x:c>
      <x:c r="M47" s="28" t="str"/>
    </x:row>
    <x:row r="48">
      <x:c r="A48" s="28" t="str">
        <x:v>EE 332</x:v>
      </x:c>
      <x:c r="B48" s="28" t="str">
        <x:v>Control Systems</x:v>
      </x:c>
      <x:c r="C48" s="28" t="str">
        <x:v>Core</x:v>
      </x:c>
      <x:c r="D48" s="28" t="str">
        <x:v>2700-2017</x:v>
      </x:c>
      <x:c r="E48" s="28" t="str">
        <x:v>2700-2017 - IEEE Standard for Sensor Performance Parameter Definitions</x:v>
      </x:c>
      <x:c r="F48" s="28" t="str">
        <x:v>Use standardized sensor performance parameters when modeling measurement quality and feedback accuracy.</x:v>
      </x:c>
      <x:c r="G48" s="28" t="str">
        <x:v>Subscription / purchase</x:v>
      </x:c>
      <x:c r="H48" s="28" t="str">
        <x:v>Active</x:v>
      </x:c>
      <x:c r="I48" s="28" t="str">
        <x:v>Approved</x:v>
      </x:c>
      <x:c r="J48" s="28" t="e">
        <x:f>HYPERLINK("https://ieeexplore.ieee.org/servlet/opac?punumber=8277145","Open IEEE Xplore")</x:f>
        <x:v>HYPERLINK is not implemented. linkLocation=https://ieeexplore.ieee.org/servlet/opac?punumber=8277145, friendlyName=Open IEEE Xplore</x:v>
      </x:c>
      <x:c r="K48" s="28" t="str">
        <x:v>—</x:v>
      </x:c>
      <x:c r="L48" s="28" t="str">
        <x:v>https://ieeexplore.ieee.org/servlet/opac?punumber=8277145</x:v>
      </x:c>
      <x:c r="M48" s="28" t="str"/>
    </x:row>
    <x:row r="49">
      <x:c r="A49" s="28" t="str">
        <x:v>EE 332</x:v>
      </x:c>
      <x:c r="B49" s="28" t="str">
        <x:v>Control Systems</x:v>
      </x:c>
      <x:c r="C49" s="28" t="str">
        <x:v>Useful</x:v>
      </x:c>
      <x:c r="D49" s="28" t="str">
        <x:v>1451.0-2024</x:v>
      </x:c>
      <x:c r="E49" s="28" t="str">
        <x:v>1451.0-2024 - IEEE Standard for a Smart Transducer Interface for Sensors and Actuators--Common Functions, Communication Protocols, and Transducer Electronic Data Sheet (TEDS) Formats</x:v>
      </x:c>
      <x:c r="F49" s="28" t="str">
        <x:v>Connect sensors/actuators and transducer interfaces to practical feedback-control implementations.</x:v>
      </x:c>
      <x:c r="G49" s="28" t="str">
        <x:v>Subscription / purchase</x:v>
      </x:c>
      <x:c r="H49" s="28" t="str">
        <x:v>Active</x:v>
      </x:c>
      <x:c r="I49" s="28" t="str">
        <x:v>Approved</x:v>
      </x:c>
      <x:c r="J49" s="28" t="e">
        <x:f>HYPERLINK("https://ieeexplore.ieee.org/servlet/opac?punumber=10571826","Open IEEE Xplore")</x:f>
        <x:v>HYPERLINK is not implemented. linkLocation=https://ieeexplore.ieee.org/servlet/opac?punumber=10571826, friendlyName=Open IEEE Xplore</x:v>
      </x:c>
      <x:c r="K49" s="28" t="str">
        <x:v>—</x:v>
      </x:c>
      <x:c r="L49" s="28" t="str">
        <x:v>https://ieeexplore.ieee.org/servlet/opac?punumber=10571826</x:v>
      </x:c>
      <x:c r="M49" s="28" t="str"/>
    </x:row>
    <x:row r="50">
      <x:c r="A50" s="28" t="str">
        <x:v>EE 332</x:v>
      </x:c>
      <x:c r="B50" s="28" t="str">
        <x:v>Control Systems</x:v>
      </x:c>
      <x:c r="C50" s="28" t="str">
        <x:v>Useful</x:v>
      </x:c>
      <x:c r="D50" s="28" t="str">
        <x:v>1588-2019</x:v>
      </x:c>
      <x:c r="E50" s="28" t="str">
        <x:v>1588-2019 - IEEE Standard for a Precision Clock Synchronization Protocol for Networked Measurement and Control Systems</x:v>
      </x:c>
      <x:c r="F50" s="28" t="str">
        <x:v>Use precision time synchronization as an example of requirements in networked measurement and control systems.</x:v>
      </x:c>
      <x:c r="G50" s="28" t="str">
        <x:v>Subscription / purchase</x:v>
      </x:c>
      <x:c r="H50" s="28" t="str">
        <x:v>Active</x:v>
      </x:c>
      <x:c r="I50" s="28" t="str">
        <x:v>Approved</x:v>
      </x:c>
      <x:c r="J50" s="28" t="e">
        <x:f>HYPERLINK("https://ieeexplore.ieee.org/servlet/opac?punumber=9120374","Open IEEE Xplore")</x:f>
        <x:v>HYPERLINK is not implemented. linkLocation=https://ieeexplore.ieee.org/servlet/opac?punumber=9120374, friendlyName=Open IEEE Xplore</x:v>
      </x:c>
      <x:c r="K50" s="28" t="str">
        <x:v>—</x:v>
      </x:c>
      <x:c r="L50" s="28" t="str">
        <x:v>https://ieeexplore.ieee.org/servlet/opac?punumber=9120374</x:v>
      </x:c>
      <x:c r="M50" s="28" t="str"/>
    </x:row>
    <x:row r="51">
      <x:c r="A51" s="28" t="str">
        <x:v>EE 332</x:v>
      </x:c>
      <x:c r="B51" s="28" t="str">
        <x:v>Control Systems</x:v>
      </x:c>
      <x:c r="C51" s="28" t="str">
        <x:v>Advanced</x:v>
      </x:c>
      <x:c r="D51" s="28" t="str">
        <x:v>21451-001-2017</x:v>
      </x:c>
      <x:c r="E51" s="28" t="str">
        <x:v>21451-001-2017 - IEEE Recommended Practice for Signal Treatment Applied to Smart Transducers</x:v>
      </x:c>
      <x:c r="F51" s="28" t="str">
        <x:v>Introduce standardized signal treatment for smart transducers in measurement/control chains.</x:v>
      </x:c>
      <x:c r="G51" s="28" t="str">
        <x:v>Subscription / purchase</x:v>
      </x:c>
      <x:c r="H51" s="28" t="str">
        <x:v>Active</x:v>
      </x:c>
      <x:c r="I51" s="28" t="str">
        <x:v>Approved</x:v>
      </x:c>
      <x:c r="J51" s="28" t="e">
        <x:f>HYPERLINK("https://ieeexplore.ieee.org/servlet/opac?punumber=8227037","Open IEEE Xplore")</x:f>
        <x:v>HYPERLINK is not implemented. linkLocation=https://ieeexplore.ieee.org/servlet/opac?punumber=8227037, friendlyName=Open IEEE Xplore</x:v>
      </x:c>
      <x:c r="K51" s="28" t="str">
        <x:v>—</x:v>
      </x:c>
      <x:c r="L51" s="28" t="str">
        <x:v>https://ieeexplore.ieee.org/servlet/opac?punumber=8227037</x:v>
      </x:c>
      <x:c r="M51" s="28" t="str"/>
    </x:row>
    <x:row r="52">
      <x:c r="A52" s="28" t="str">
        <x:v>EE 351</x:v>
      </x:c>
      <x:c r="B52" s="28" t="str">
        <x:v>Communication Systems</x:v>
      </x:c>
      <x:c r="C52" s="28" t="str">
        <x:v>Core</x:v>
      </x:c>
      <x:c r="D52" s="28" t="str">
        <x:v>1765-2022</x:v>
      </x:c>
      <x:c r="E52" s="28" t="str">
        <x:v>1765-2022 - IEEE Recommended Practice for Estimating the Uncertainty in Error Vector Magnitude of Measured Digitally Modulated Signals for Wireless Communications</x:v>
      </x:c>
      <x:c r="F52" s="28" t="str">
        <x:v>Use EVM uncertainty as a standards-based bridge between modulation theory and transmitter/receiver measurements.</x:v>
      </x:c>
      <x:c r="G52" s="28" t="str">
        <x:v>Subscription / purchase</x:v>
      </x:c>
      <x:c r="H52" s="28" t="str">
        <x:v>Active</x:v>
      </x:c>
      <x:c r="I52" s="28" t="str">
        <x:v>Approved</x:v>
      </x:c>
      <x:c r="J52" s="28" t="e">
        <x:f>HYPERLINK("https://ieeexplore.ieee.org/servlet/opac?punumber=9942921","Open IEEE Xplore")</x:f>
        <x:v>HYPERLINK is not implemented. linkLocation=https://ieeexplore.ieee.org/servlet/opac?punumber=9942921, friendlyName=Open IEEE Xplore</x:v>
      </x:c>
      <x:c r="K52" s="28" t="str">
        <x:v>—</x:v>
      </x:c>
      <x:c r="L52" s="28" t="str">
        <x:v>https://ieeexplore.ieee.org/servlet/opac?punumber=9942921</x:v>
      </x:c>
      <x:c r="M52" s="28" t="str"/>
    </x:row>
    <x:row r="53">
      <x:c r="A53" s="28" t="str">
        <x:v>EE 351</x:v>
      </x:c>
      <x:c r="B53" s="28" t="str">
        <x:v>Communication Systems</x:v>
      </x:c>
      <x:c r="C53" s="28" t="str">
        <x:v>Useful</x:v>
      </x:c>
      <x:c r="D53" s="28" t="str">
        <x:v>802.11-2024</x:v>
      </x:c>
      <x:c r="E53" s="28" t="str">
        <x:v>802.11-2024 - IEEE Standard for Information Technology--Telecommunications and Information Exchange between Systems Local and Metropolitan Area Networks--Specific Requirements Part 11: Wireless LAN Medium Access Control (MAC) and Physical Layer (PHY) Specifications</x:v>
      </x:c>
      <x:c r="F53" s="28" t="str">
        <x:v>Use WLAN PHY/MAC as a modern system example for modulation, channels, bandwidth, and link trade-offs.</x:v>
      </x:c>
      <x:c r="G53" s="28" t="str">
        <x:v>Free — IEEE GET</x:v>
      </x:c>
      <x:c r="H53" s="28" t="str">
        <x:v>Active</x:v>
      </x:c>
      <x:c r="I53" s="28" t="str">
        <x:v>Approved</x:v>
      </x:c>
      <x:c r="J53" s="28" t="e">
        <x:f>HYPERLINK("https://ieeexplore.ieee.org/servlet/opac?punumber=10979689","Open IEEE Xplore")</x:f>
        <x:v>HYPERLINK is not implemented. linkLocation=https://ieeexplore.ieee.org/servlet/opac?punumber=10979689, friendlyName=Open IEEE Xplore</x:v>
      </x:c>
      <x:c r="K53" s="28" t="e">
        <x:f>HYPERLINK("https://ieeexplore.ieee.org/browse/standards/get-program/page/series?id=68","Free via IEEE GET")</x:f>
        <x:v>HYPERLINK is not implemented. linkLocation=https://ieeexplore.ieee.org/browse/standards/get-program/page/series?id=68, friendlyName=Free via IEEE GET</x:v>
      </x:c>
      <x:c r="L53" s="28" t="str">
        <x:v>https://ieeexplore.ieee.org/servlet/opac?punumber=10979689</x:v>
      </x:c>
      <x:c r="M53" s="28" t="str">
        <x:v>https://ieeexplore.ieee.org/browse/standards/get-program/page/series?id=68</x:v>
      </x:c>
    </x:row>
    <x:row r="54">
      <x:c r="A54" s="28" t="str">
        <x:v>EE 351</x:v>
      </x:c>
      <x:c r="B54" s="28" t="str">
        <x:v>Communication Systems</x:v>
      </x:c>
      <x:c r="C54" s="28" t="str">
        <x:v>Useful</x:v>
      </x:c>
      <x:c r="D54" s="28" t="str">
        <x:v>802.15.4-2024</x:v>
      </x:c>
      <x:c r="E54" s="28" t="str">
        <x:v>802.15.4-2024 - IEEE Standard for Low‐Rate Wireless Networks</x:v>
      </x:c>
      <x:c r="F54" s="28" t="str">
        <x:v>Compare low-rate wireless PHY choices with higher-throughput wireless systems.</x:v>
      </x:c>
      <x:c r="G54" s="28" t="str">
        <x:v>Free — IEEE GET</x:v>
      </x:c>
      <x:c r="H54" s="28" t="str">
        <x:v>Active</x:v>
      </x:c>
      <x:c r="I54" s="28" t="str">
        <x:v>Approved</x:v>
      </x:c>
      <x:c r="J54" s="28" t="e">
        <x:f>HYPERLINK("https://ieeexplore.ieee.org/servlet/opac?punumber=10794630","Open IEEE Xplore")</x:f>
        <x:v>HYPERLINK is not implemented. linkLocation=https://ieeexplore.ieee.org/servlet/opac?punumber=10794630, friendlyName=Open IEEE Xplore</x:v>
      </x:c>
      <x:c r="K54" s="28" t="e">
        <x:f>HYPERLINK("https://ieeexplore.ieee.org/browse/standards/get-program/page/series?id=68","Free via IEEE GET")</x:f>
        <x:v>HYPERLINK is not implemented. linkLocation=https://ieeexplore.ieee.org/browse/standards/get-program/page/series?id=68, friendlyName=Free via IEEE GET</x:v>
      </x:c>
      <x:c r="L54" s="28" t="str">
        <x:v>https://ieeexplore.ieee.org/servlet/opac?punumber=10794630</x:v>
      </x:c>
      <x:c r="M54" s="28" t="str">
        <x:v>https://ieeexplore.ieee.org/browse/standards/get-program/page/series?id=68</x:v>
      </x:c>
    </x:row>
    <x:row r="55">
      <x:c r="A55" s="28" t="str">
        <x:v>EE 351</x:v>
      </x:c>
      <x:c r="B55" s="28" t="str">
        <x:v>Communication Systems</x:v>
      </x:c>
      <x:c r="C55" s="28" t="str">
        <x:v>Advanced</x:v>
      </x:c>
      <x:c r="D55" s="28" t="str">
        <x:v>187-2018</x:v>
      </x:c>
      <x:c r="E55" s="28" t="str">
        <x:v>187-2018 - IEEE Standard for Measurement of Emissions from FM and Television Broadcast Receivers in the Frequency Range of 9 kHz to 40 GHz</x:v>
      </x:c>
      <x:c r="F55" s="28" t="str">
        <x:v>Use FM/TV receiver emission measurements as an EMC/broadcast-receiver application.</x:v>
      </x:c>
      <x:c r="G55" s="28" t="str">
        <x:v>Subscription / purchase</x:v>
      </x:c>
      <x:c r="H55" s="28" t="str">
        <x:v>Active</x:v>
      </x:c>
      <x:c r="I55" s="28" t="str">
        <x:v>Approved</x:v>
      </x:c>
      <x:c r="J55" s="28" t="e">
        <x:f>HYPERLINK("https://ieeexplore.ieee.org/servlet/opac?punumber=8370301","Open IEEE Xplore")</x:f>
        <x:v>HYPERLINK is not implemented. linkLocation=https://ieeexplore.ieee.org/servlet/opac?punumber=8370301, friendlyName=Open IEEE Xplore</x:v>
      </x:c>
      <x:c r="K55" s="28" t="str">
        <x:v>—</x:v>
      </x:c>
      <x:c r="L55" s="28" t="str">
        <x:v>https://ieeexplore.ieee.org/servlet/opac?punumber=8370301</x:v>
      </x:c>
      <x:c r="M55" s="28" t="str"/>
    </x:row>
    <x:row r="56">
      <x:c r="A56" s="28" t="str">
        <x:v>EE 351</x:v>
      </x:c>
      <x:c r="B56" s="28" t="str">
        <x:v>Communication Systems</x:v>
      </x:c>
      <x:c r="C56" s="28" t="str">
        <x:v>Advanced</x:v>
      </x:c>
      <x:c r="D56" s="28" t="str">
        <x:v>1900.1-2019</x:v>
      </x:c>
      <x:c r="E56" s="28" t="str">
        <x:v>1900.1-2019 - IEEE Standard for Definitions and Concepts for Dynamic Spectrum Access: Terminology Relating to Emerging Wireless Networks, System Functionality, and Spectrum Management</x:v>
      </x:c>
      <x:c r="F56" s="28" t="str">
        <x:v>Introduce dynamic spectrum-access terminology and spectrum-management concepts.</x:v>
      </x:c>
      <x:c r="G56" s="28" t="str">
        <x:v>Subscription / purchase</x:v>
      </x:c>
      <x:c r="H56" s="28" t="str">
        <x:v>Active</x:v>
      </x:c>
      <x:c r="I56" s="28" t="str">
        <x:v>Approved</x:v>
      </x:c>
      <x:c r="J56" s="28" t="e">
        <x:f>HYPERLINK("https://ieeexplore.ieee.org/servlet/opac?punumber=8694193","Open IEEE Xplore")</x:f>
        <x:v>HYPERLINK is not implemented. linkLocation=https://ieeexplore.ieee.org/servlet/opac?punumber=8694193, friendlyName=Open IEEE Xplore</x:v>
      </x:c>
      <x:c r="K56" s="28" t="str">
        <x:v>—</x:v>
      </x:c>
      <x:c r="L56" s="28" t="str">
        <x:v>https://ieeexplore.ieee.org/servlet/opac?punumber=8694193</x:v>
      </x:c>
      <x:c r="M56" s="28" t="str"/>
    </x:row>
    <x:row r="57">
      <x:c r="A57" s="28" t="str">
        <x:v>EE 351</x:v>
      </x:c>
      <x:c r="B57" s="28" t="str">
        <x:v>Communication Systems</x:v>
      </x:c>
      <x:c r="C57" s="28" t="str">
        <x:v>Advanced</x:v>
      </x:c>
      <x:c r="D57" s="28" t="str">
        <x:v>802.3-2022</x:v>
      </x:c>
      <x:c r="E57" s="28" t="str">
        <x:v>802.3-2022 - IEEE Standard for Ethernet</x:v>
      </x:c>
      <x:c r="F57" s="28" t="str">
        <x:v>Provide a wired-communications reference point when comparing physical-layer system requirements.</x:v>
      </x:c>
      <x:c r="G57" s="28" t="str">
        <x:v>Free — IEEE GET</x:v>
      </x:c>
      <x:c r="H57" s="28" t="str">
        <x:v>Active</x:v>
      </x:c>
      <x:c r="I57" s="28" t="str">
        <x:v>Approved</x:v>
      </x:c>
      <x:c r="J57" s="28" t="e">
        <x:f>HYPERLINK("https://ieeexplore.ieee.org/servlet/opac?punumber=9844414","Open IEEE Xplore")</x:f>
        <x:v>HYPERLINK is not implemented. linkLocation=https://ieeexplore.ieee.org/servlet/opac?punumber=9844414, friendlyName=Open IEEE Xplore</x:v>
      </x:c>
      <x:c r="K57" s="28" t="e">
        <x:f>HYPERLINK("https://ieeexplore.ieee.org/browse/standards/get-program/page/series?id=68","Free via IEEE GET")</x:f>
        <x:v>HYPERLINK is not implemented. linkLocation=https://ieeexplore.ieee.org/browse/standards/get-program/page/series?id=68, friendlyName=Free via IEEE GET</x:v>
      </x:c>
      <x:c r="L57" s="28" t="str">
        <x:v>https://ieeexplore.ieee.org/servlet/opac?punumber=9844414</x:v>
      </x:c>
      <x:c r="M57" s="28" t="str">
        <x:v>https://ieeexplore.ieee.org/browse/standards/get-program/page/series?id=68</x:v>
      </x:c>
    </x:row>
    <x:row r="58">
      <x:c r="A58" s="28" t="str">
        <x:v>EE 305</x:v>
      </x:c>
      <x:c r="B58" s="28" t="str">
        <x:v>Power Electronics</x:v>
      </x:c>
      <x:c r="C58" s="28" t="str">
        <x:v>Core</x:v>
      </x:c>
      <x:c r="D58" s="28" t="str">
        <x:v>1662-2023</x:v>
      </x:c>
      <x:c r="E58" s="28" t="str">
        <x:v>1662-2023 - IEEE Recommended Practice for the Design and Application of Power Electronics in Electrical Power Systems</x:v>
      </x:c>
      <x:c r="F58" s="28" t="str">
        <x:v>Use IEEE guidance for design and application of power electronics in electrical power systems.</x:v>
      </x:c>
      <x:c r="G58" s="28" t="str">
        <x:v>Subscription / purchase</x:v>
      </x:c>
      <x:c r="H58" s="28" t="str">
        <x:v>Active</x:v>
      </x:c>
      <x:c r="I58" s="28" t="str">
        <x:v>Approved</x:v>
      </x:c>
      <x:c r="J58" s="28" t="e">
        <x:f>HYPERLINK("https://ieeexplore.ieee.org/servlet/opac?punumber=10492706","Open IEEE Xplore")</x:f>
        <x:v>HYPERLINK is not implemented. linkLocation=https://ieeexplore.ieee.org/servlet/opac?punumber=10492706, friendlyName=Open IEEE Xplore</x:v>
      </x:c>
      <x:c r="K58" s="28" t="str">
        <x:v>—</x:v>
      </x:c>
      <x:c r="L58" s="28" t="str">
        <x:v>https://ieeexplore.ieee.org/servlet/opac?punumber=10492706</x:v>
      </x:c>
      <x:c r="M58" s="28" t="str"/>
    </x:row>
    <x:row r="59">
      <x:c r="A59" s="28" t="str">
        <x:v>EE 305</x:v>
      </x:c>
      <x:c r="B59" s="28" t="str">
        <x:v>Power Electronics</x:v>
      </x:c>
      <x:c r="C59" s="28" t="str">
        <x:v>Core</x:v>
      </x:c>
      <x:c r="D59" s="28" t="str">
        <x:v>519-2022</x:v>
      </x:c>
      <x:c r="E59" s="28" t="str">
        <x:v>519-2022 - IEEE Standard for Harmonic Control in Electric Power Systems</x:v>
      </x:c>
      <x:c r="F59" s="28" t="str">
        <x:v>Connect converter switching harmonics to system harmonic limits and power-quality requirements.</x:v>
      </x:c>
      <x:c r="G59" s="28" t="str">
        <x:v>Subscription / purchase</x:v>
      </x:c>
      <x:c r="H59" s="28" t="str">
        <x:v>Active</x:v>
      </x:c>
      <x:c r="I59" s="28" t="str">
        <x:v>Approved</x:v>
      </x:c>
      <x:c r="J59" s="28" t="e">
        <x:f>HYPERLINK("https://ieeexplore.ieee.org/servlet/opac?punumber=9848438","Open IEEE Xplore")</x:f>
        <x:v>HYPERLINK is not implemented. linkLocation=https://ieeexplore.ieee.org/servlet/opac?punumber=9848438, friendlyName=Open IEEE Xplore</x:v>
      </x:c>
      <x:c r="K59" s="28" t="str">
        <x:v>—</x:v>
      </x:c>
      <x:c r="L59" s="28" t="str">
        <x:v>https://ieeexplore.ieee.org/servlet/opac?punumber=9848438</x:v>
      </x:c>
      <x:c r="M59" s="28" t="str"/>
    </x:row>
    <x:row r="60">
      <x:c r="A60" s="28" t="str">
        <x:v>EE 305</x:v>
      </x:c>
      <x:c r="B60" s="28" t="str">
        <x:v>Power Electronics</x:v>
      </x:c>
      <x:c r="C60" s="28" t="str">
        <x:v>Useful</x:v>
      </x:c>
      <x:c r="D60" s="28" t="str">
        <x:v>1159-2019</x:v>
      </x:c>
      <x:c r="E60" s="28" t="str">
        <x:v>1159-2019 - IEEE Recommended Practice for Monitoring Electric Power Quality</x:v>
      </x:c>
      <x:c r="F60" s="28" t="str">
        <x:v>Relate converter disturbances to standardized power-quality monitoring terminology.</x:v>
      </x:c>
      <x:c r="G60" s="28" t="str">
        <x:v>Subscription / purchase</x:v>
      </x:c>
      <x:c r="H60" s="28" t="str">
        <x:v>Active</x:v>
      </x:c>
      <x:c r="I60" s="28" t="str">
        <x:v>Approved</x:v>
      </x:c>
      <x:c r="J60" s="28" t="e">
        <x:f>HYPERLINK("https://ieeexplore.ieee.org/servlet/opac?punumber=8796484","Open IEEE Xplore")</x:f>
        <x:v>HYPERLINK is not implemented. linkLocation=https://ieeexplore.ieee.org/servlet/opac?punumber=8796484, friendlyName=Open IEEE Xplore</x:v>
      </x:c>
      <x:c r="K60" s="28" t="str">
        <x:v>—</x:v>
      </x:c>
      <x:c r="L60" s="28" t="str">
        <x:v>https://ieeexplore.ieee.org/servlet/opac?punumber=8796484</x:v>
      </x:c>
      <x:c r="M60" s="28" t="str"/>
    </x:row>
    <x:row r="61">
      <x:c r="A61" s="28" t="str">
        <x:v>EE 305</x:v>
      </x:c>
      <x:c r="B61" s="28" t="str">
        <x:v>Power Electronics</x:v>
      </x:c>
      <x:c r="C61" s="28" t="str">
        <x:v>Useful</x:v>
      </x:c>
      <x:c r="D61" s="28" t="str">
        <x:v>1547-2018</x:v>
      </x:c>
      <x:c r="E61" s="28" t="str">
        <x:v>1547-2018 - IEEE Standard for Interconnection and Interoperability of Distributed Energy Resources with Associated Electric Power Systems Interfaces</x:v>
      </x:c>
      <x:c r="F61" s="28" t="str">
        <x:v>Use grid-connected converters/DER as an application of inverter control and interface requirements.</x:v>
      </x:c>
      <x:c r="G61" s="28" t="str">
        <x:v>Subscription / purchase</x:v>
      </x:c>
      <x:c r="H61" s="28" t="str">
        <x:v>Active</x:v>
      </x:c>
      <x:c r="I61" s="28" t="str">
        <x:v>Approved</x:v>
      </x:c>
      <x:c r="J61" s="28" t="e">
        <x:f>HYPERLINK("https://ieeexplore.ieee.org/servlet/opac?punumber=8332110","Open IEEE Xplore")</x:f>
        <x:v>HYPERLINK is not implemented. linkLocation=https://ieeexplore.ieee.org/servlet/opac?punumber=8332110, friendlyName=Open IEEE Xplore</x:v>
      </x:c>
      <x:c r="K61" s="28" t="str">
        <x:v>—</x:v>
      </x:c>
      <x:c r="L61" s="28" t="str">
        <x:v>https://ieeexplore.ieee.org/servlet/opac?punumber=8332110</x:v>
      </x:c>
      <x:c r="M61" s="28" t="str"/>
    </x:row>
    <x:row r="62">
      <x:c r="A62" s="28" t="str">
        <x:v>EE 305</x:v>
      </x:c>
      <x:c r="B62" s="28" t="str">
        <x:v>Power Electronics</x:v>
      </x:c>
      <x:c r="C62" s="28" t="str">
        <x:v>Useful</x:v>
      </x:c>
      <x:c r="D62" s="28" t="str">
        <x:v>3002.8-2018</x:v>
      </x:c>
      <x:c r="E62" s="28" t="str">
        <x:v>3002.8-2018 - IEEE Recommended Practice for Conducting Harmonic Studies and Analysis of Industrial and Commercial Power Systems</x:v>
      </x:c>
      <x:c r="F62" s="28" t="str">
        <x:v>Show how harmonic studies are performed for converter-rich industrial/commercial systems.</x:v>
      </x:c>
      <x:c r="G62" s="28" t="str">
        <x:v>Subscription / purchase</x:v>
      </x:c>
      <x:c r="H62" s="28" t="str">
        <x:v>Active</x:v>
      </x:c>
      <x:c r="I62" s="28" t="str">
        <x:v>Approved</x:v>
      </x:c>
      <x:c r="J62" s="28" t="e">
        <x:f>HYPERLINK("https://ieeexplore.ieee.org/servlet/opac?punumber=8479355","Open IEEE Xplore")</x:f>
        <x:v>HYPERLINK is not implemented. linkLocation=https://ieeexplore.ieee.org/servlet/opac?punumber=8479355, friendlyName=Open IEEE Xplore</x:v>
      </x:c>
      <x:c r="K62" s="28" t="str">
        <x:v>—</x:v>
      </x:c>
      <x:c r="L62" s="28" t="str">
        <x:v>https://ieeexplore.ieee.org/servlet/opac?punumber=8479355</x:v>
      </x:c>
      <x:c r="M62" s="28" t="str"/>
    </x:row>
    <x:row r="63">
      <x:c r="A63" s="28" t="str">
        <x:v>EE 305</x:v>
      </x:c>
      <x:c r="B63" s="28" t="str">
        <x:v>Power Electronics</x:v>
      </x:c>
      <x:c r="C63" s="28" t="str">
        <x:v>Advanced</x:v>
      </x:c>
      <x:c r="D63" s="28" t="str">
        <x:v>1547.1-2020</x:v>
      </x:c>
      <x:c r="E63" s="28" t="str">
        <x:v>1547.1-2020 - IEEE Standard Conformance Test Procedures for Equipment Interconnecting Distributed Energy Resources with Electric Power Systems and Associated Interfaces</x:v>
      </x:c>
      <x:c r="F63" s="28" t="str">
        <x:v>Show conformance testing of DER interconnection equipment.</x:v>
      </x:c>
      <x:c r="G63" s="28" t="str">
        <x:v>Subscription / purchase</x:v>
      </x:c>
      <x:c r="H63" s="28" t="str">
        <x:v>Active</x:v>
      </x:c>
      <x:c r="I63" s="28" t="str">
        <x:v>Approved</x:v>
      </x:c>
      <x:c r="J63" s="28" t="e">
        <x:f>HYPERLINK("https://ieeexplore.ieee.org/servlet/opac?punumber=9097532","Open IEEE Xplore")</x:f>
        <x:v>HYPERLINK is not implemented. linkLocation=https://ieeexplore.ieee.org/servlet/opac?punumber=9097532, friendlyName=Open IEEE Xplore</x:v>
      </x:c>
      <x:c r="K63" s="28" t="str">
        <x:v>—</x:v>
      </x:c>
      <x:c r="L63" s="28" t="str">
        <x:v>https://ieeexplore.ieee.org/servlet/opac?punumber=9097532</x:v>
      </x:c>
      <x:c r="M63" s="28" t="str"/>
    </x:row>
    <x:row r="64">
      <x:c r="A64" s="28" t="str">
        <x:v>EE 305</x:v>
      </x:c>
      <x:c r="B64" s="28" t="str">
        <x:v>Power Electronics</x:v>
      </x:c>
      <x:c r="C64" s="28" t="str">
        <x:v>Advanced</x:v>
      </x:c>
      <x:c r="D64" s="28" t="str">
        <x:v>2800-2022</x:v>
      </x:c>
      <x:c r="E64" s="28" t="str">
        <x:v>2800-2022 - IEEE Standard for Interconnection and Interoperability of Inverter-Based Resources (IBRs) Interconnecting with Associated Transmission Electric Power Systems</x:v>
      </x:c>
      <x:c r="F64" s="28" t="str">
        <x:v>Introduce requirements for transmission-connected inverter-based resources.</x:v>
      </x:c>
      <x:c r="G64" s="28" t="str">
        <x:v>Subscription / purchase</x:v>
      </x:c>
      <x:c r="H64" s="28" t="str">
        <x:v>Active</x:v>
      </x:c>
      <x:c r="I64" s="28" t="str">
        <x:v>Approved</x:v>
      </x:c>
      <x:c r="J64" s="28" t="e">
        <x:f>HYPERLINK("https://ieeexplore.ieee.org/servlet/opac?punumber=9762251","Open IEEE Xplore")</x:f>
        <x:v>HYPERLINK is not implemented. linkLocation=https://ieeexplore.ieee.org/servlet/opac?punumber=9762251, friendlyName=Open IEEE Xplore</x:v>
      </x:c>
      <x:c r="K64" s="28" t="str">
        <x:v>—</x:v>
      </x:c>
      <x:c r="L64" s="28" t="str">
        <x:v>https://ieeexplore.ieee.org/servlet/opac?punumber=9762251</x:v>
      </x:c>
      <x:c r="M64" s="28" t="str"/>
    </x:row>
    <x:row r="65">
      <x:c r="A65" s="28" t="str">
        <x:v>EE 304</x:v>
      </x:c>
      <x:c r="B65" s="28" t="str">
        <x:v>Electrical Machines</x:v>
      </x:c>
      <x:c r="C65" s="28" t="str">
        <x:v>Core</x:v>
      </x:c>
      <x:c r="D65" s="28" t="str">
        <x:v>112-2017</x:v>
      </x:c>
      <x:c r="E65" s="28" t="str">
        <x:v>112-2017 - IEEE Standard Test Procedure for Polyphase Induction Motors and Generators</x:v>
      </x:c>
      <x:c r="F65" s="28" t="str">
        <x:v>Use standardized test procedures for induction motors/generators to reinforce equivalent-circuit and performance analysis.</x:v>
      </x:c>
      <x:c r="G65" s="28" t="str">
        <x:v>Subscription / purchase</x:v>
      </x:c>
      <x:c r="H65" s="28" t="str">
        <x:v>Active</x:v>
      </x:c>
      <x:c r="I65" s="28" t="str">
        <x:v>Approved</x:v>
      </x:c>
      <x:c r="J65" s="28" t="e">
        <x:f>HYPERLINK("https://ieeexplore.ieee.org/servlet/opac?punumber=8291808","Open IEEE Xplore")</x:f>
        <x:v>HYPERLINK is not implemented. linkLocation=https://ieeexplore.ieee.org/servlet/opac?punumber=8291808, friendlyName=Open IEEE Xplore</x:v>
      </x:c>
      <x:c r="K65" s="28" t="str">
        <x:v>—</x:v>
      </x:c>
      <x:c r="L65" s="28" t="str">
        <x:v>https://ieeexplore.ieee.org/servlet/opac?punumber=8291808</x:v>
      </x:c>
      <x:c r="M65" s="28" t="str"/>
    </x:row>
    <x:row r="66">
      <x:c r="A66" s="28" t="str">
        <x:v>EE 304</x:v>
      </x:c>
      <x:c r="B66" s="28" t="str">
        <x:v>Electrical Machines</x:v>
      </x:c>
      <x:c r="C66" s="28" t="str">
        <x:v>Core</x:v>
      </x:c>
      <x:c r="D66" s="28" t="str">
        <x:v>115-2019</x:v>
      </x:c>
      <x:c r="E66" s="28" t="str">
        <x:v>115-2019 - IEEE Guide for Test Procedures for Synchronous Machines Including Acceptance and Performance Testing and Parameter Determination for Dynamic Analysis</x:v>
      </x:c>
      <x:c r="F66" s="28" t="str">
        <x:v>Use standardized synchronous-machine acceptance/performance tests and parameter determination.</x:v>
      </x:c>
      <x:c r="G66" s="28" t="str">
        <x:v>Subscription / purchase</x:v>
      </x:c>
      <x:c r="H66" s="28" t="str">
        <x:v>Active</x:v>
      </x:c>
      <x:c r="I66" s="28" t="str">
        <x:v>Approved</x:v>
      </x:c>
      <x:c r="J66" s="28" t="e">
        <x:f>HYPERLINK("https://ieeexplore.ieee.org/servlet/opac?punumber=9050932","Open IEEE Xplore")</x:f>
        <x:v>HYPERLINK is not implemented. linkLocation=https://ieeexplore.ieee.org/servlet/opac?punumber=9050932, friendlyName=Open IEEE Xplore</x:v>
      </x:c>
      <x:c r="K66" s="28" t="str">
        <x:v>—</x:v>
      </x:c>
      <x:c r="L66" s="28" t="str">
        <x:v>https://ieeexplore.ieee.org/servlet/opac?punumber=9050932</x:v>
      </x:c>
      <x:c r="M66" s="28" t="str"/>
    </x:row>
    <x:row r="67">
      <x:c r="A67" s="28" t="str">
        <x:v>EE 304</x:v>
      </x:c>
      <x:c r="B67" s="28" t="str">
        <x:v>Electrical Machines</x:v>
      </x:c>
      <x:c r="C67" s="28" t="str">
        <x:v>Useful</x:v>
      </x:c>
      <x:c r="D67" s="28" t="str">
        <x:v>3002.7-2018</x:v>
      </x:c>
      <x:c r="E67" s="28" t="str">
        <x:v>3002.7-2018 - IEEE Recommended Practice for Conducting Motor-Starting Studies and Analysis of Industrial and Commercial Power Systems</x:v>
      </x:c>
      <x:c r="F67" s="28" t="str">
        <x:v>Apply motor models to practical motor-starting studies.</x:v>
      </x:c>
      <x:c r="G67" s="28" t="str">
        <x:v>Subscription / purchase</x:v>
      </x:c>
      <x:c r="H67" s="28" t="str">
        <x:v>Active</x:v>
      </x:c>
      <x:c r="I67" s="28" t="str">
        <x:v>Approved</x:v>
      </x:c>
      <x:c r="J67" s="28" t="e">
        <x:f>HYPERLINK("https://ieeexplore.ieee.org/servlet/opac?punumber=8700698","Open IEEE Xplore")</x:f>
        <x:v>HYPERLINK is not implemented. linkLocation=https://ieeexplore.ieee.org/servlet/opac?punumber=8700698, friendlyName=Open IEEE Xplore</x:v>
      </x:c>
      <x:c r="K67" s="28" t="str">
        <x:v>—</x:v>
      </x:c>
      <x:c r="L67" s="28" t="str">
        <x:v>https://ieeexplore.ieee.org/servlet/opac?punumber=8700698</x:v>
      </x:c>
      <x:c r="M67" s="28" t="str"/>
    </x:row>
    <x:row r="68">
      <x:c r="A68" s="28" t="str">
        <x:v>EE 304</x:v>
      </x:c>
      <x:c r="B68" s="28" t="str">
        <x:v>Electrical Machines</x:v>
      </x:c>
      <x:c r="C68" s="28" t="str">
        <x:v>Useful</x:v>
      </x:c>
      <x:c r="D68" s="28" t="str">
        <x:v>3004.8-2016</x:v>
      </x:c>
      <x:c r="E68" s="28" t="str">
        <x:v>3004.8-2016 - IEEE Recommended Practice for Motor Protection in Industrial and Commercial Power Systems</x:v>
      </x:c>
      <x:c r="F68" s="28" t="str">
        <x:v>Introduce motor-protection requirements and coordination as an application of machine behavior.</x:v>
      </x:c>
      <x:c r="G68" s="28" t="str">
        <x:v>Subscription / purchase</x:v>
      </x:c>
      <x:c r="H68" s="28" t="str">
        <x:v>Active</x:v>
      </x:c>
      <x:c r="I68" s="28" t="str">
        <x:v>Approved</x:v>
      </x:c>
      <x:c r="J68" s="28" t="e">
        <x:f>HYPERLINK("https://ieeexplore.ieee.org/servlet/opac?punumber=7930538","Open IEEE Xplore")</x:f>
        <x:v>HYPERLINK is not implemented. linkLocation=https://ieeexplore.ieee.org/servlet/opac?punumber=7930538, friendlyName=Open IEEE Xplore</x:v>
      </x:c>
      <x:c r="K68" s="28" t="str">
        <x:v>—</x:v>
      </x:c>
      <x:c r="L68" s="28" t="str">
        <x:v>https://ieeexplore.ieee.org/servlet/opac?punumber=7930538</x:v>
      </x:c>
      <x:c r="M68" s="28" t="str"/>
    </x:row>
    <x:row r="69">
      <x:c r="A69" s="28" t="str">
        <x:v>EE 304</x:v>
      </x:c>
      <x:c r="B69" s="28" t="str">
        <x:v>Electrical Machines</x:v>
      </x:c>
      <x:c r="C69" s="28" t="str">
        <x:v>Useful</x:v>
      </x:c>
      <x:c r="D69" s="28" t="str">
        <x:v>841-2021</x:v>
      </x:c>
      <x:c r="E69" s="28" t="str">
        <x:v>841-2021 - IEEE Standard for Petroleum and Chemical Industry--Premium-Efficiency, Severe-Duty, Totally Enclosed Squirrel Cage Induction Motors from 0.75 kW to 370 kW (1 hp to 500 hp)</x:v>
      </x:c>
      <x:c r="F69" s="28" t="str">
        <x:v>Relate motor ratings, efficiency, construction, and severe-duty requirements to industrial motor specifications.</x:v>
      </x:c>
      <x:c r="G69" s="28" t="str">
        <x:v>Subscription / purchase</x:v>
      </x:c>
      <x:c r="H69" s="28" t="str">
        <x:v>Active</x:v>
      </x:c>
      <x:c r="I69" s="28" t="str">
        <x:v>Approved</x:v>
      </x:c>
      <x:c r="J69" s="28" t="e">
        <x:f>HYPERLINK("https://ieeexplore.ieee.org/servlet/opac?punumber=9444259","Open IEEE Xplore")</x:f>
        <x:v>HYPERLINK is not implemented. linkLocation=https://ieeexplore.ieee.org/servlet/opac?punumber=9444259, friendlyName=Open IEEE Xplore</x:v>
      </x:c>
      <x:c r="K69" s="28" t="str">
        <x:v>—</x:v>
      </x:c>
      <x:c r="L69" s="28" t="str">
        <x:v>https://ieeexplore.ieee.org/servlet/opac?punumber=9444259</x:v>
      </x:c>
      <x:c r="M69" s="28" t="str"/>
    </x:row>
    <x:row r="70">
      <x:c r="A70" s="28" t="str">
        <x:v>EE 304</x:v>
      </x:c>
      <x:c r="B70" s="28" t="str">
        <x:v>Electrical Machines</x:v>
      </x:c>
      <x:c r="C70" s="28" t="str">
        <x:v>Advanced</x:v>
      </x:c>
      <x:c r="D70" s="28" t="str">
        <x:v>1110-2019</x:v>
      </x:c>
      <x:c r="E70" s="28" t="str">
        <x:v>1110-2019 - IEEE Guide for Synchronous Generator Modeling Practices and Parameter Verification with Applications in Power System Stability Analyses</x:v>
      </x:c>
      <x:c r="F70" s="28" t="str">
        <x:v>Connect synchronous-machine models to power-system stability analysis.</x:v>
      </x:c>
      <x:c r="G70" s="28" t="str">
        <x:v>Subscription / purchase</x:v>
      </x:c>
      <x:c r="H70" s="28" t="str">
        <x:v>Active</x:v>
      </x:c>
      <x:c r="I70" s="28" t="str">
        <x:v>Approved</x:v>
      </x:c>
      <x:c r="J70" s="28" t="e">
        <x:f>HYPERLINK("https://ieeexplore.ieee.org/servlet/opac?punumber=9020272","Open IEEE Xplore")</x:f>
        <x:v>HYPERLINK is not implemented. linkLocation=https://ieeexplore.ieee.org/servlet/opac?punumber=9020272, friendlyName=Open IEEE Xplore</x:v>
      </x:c>
      <x:c r="K70" s="28" t="str">
        <x:v>—</x:v>
      </x:c>
      <x:c r="L70" s="28" t="str">
        <x:v>https://ieeexplore.ieee.org/servlet/opac?punumber=9020272</x:v>
      </x:c>
      <x:c r="M70" s="28" t="str"/>
    </x:row>
    <x:row r="71">
      <x:c r="A71" s="28" t="str">
        <x:v>EE 304</x:v>
      </x:c>
      <x:c r="B71" s="28" t="str">
        <x:v>Electrical Machines</x:v>
      </x:c>
      <x:c r="C71" s="28" t="str">
        <x:v>Advanced</x:v>
      </x:c>
      <x:c r="D71" s="28" t="str">
        <x:v>286-2024</x:v>
      </x:c>
      <x:c r="E71" s="28" t="str">
        <x:v>286-2024 - IEEE Recommended Practice for Measurement of Power Factor Tip-Up of Electric Machinery Stator Coil Insulation</x:v>
      </x:c>
      <x:c r="F71" s="28" t="str">
        <x:v>Show insulation condition measurement on electric machinery through power-factor tip-up testing.</x:v>
      </x:c>
      <x:c r="G71" s="28" t="str">
        <x:v>Subscription / purchase</x:v>
      </x:c>
      <x:c r="H71" s="28" t="str">
        <x:v>Active</x:v>
      </x:c>
      <x:c r="I71" s="28" t="str">
        <x:v>Approved</x:v>
      </x:c>
      <x:c r="J71" s="28" t="e">
        <x:f>HYPERLINK("https://ieeexplore.ieee.org/servlet/opac?punumber=10636030","Open IEEE Xplore")</x:f>
        <x:v>HYPERLINK is not implemented. linkLocation=https://ieeexplore.ieee.org/servlet/opac?punumber=10636030, friendlyName=Open IEEE Xplore</x:v>
      </x:c>
      <x:c r="K71" s="28" t="str">
        <x:v>—</x:v>
      </x:c>
      <x:c r="L71" s="28" t="str">
        <x:v>https://ieeexplore.ieee.org/servlet/opac?punumber=10636030</x:v>
      </x:c>
      <x:c r="M71" s="28" t="str"/>
    </x:row>
    <x:row r="72">
      <x:c r="A72" s="28" t="str">
        <x:v>EE 304</x:v>
      </x:c>
      <x:c r="B72" s="28" t="str">
        <x:v>Electrical Machines</x:v>
      </x:c>
      <x:c r="C72" s="28" t="str">
        <x:v>Advanced</x:v>
      </x:c>
      <x:c r="D72" s="28" t="str">
        <x:v>421.1-2021</x:v>
      </x:c>
      <x:c r="E72" s="28" t="str">
        <x:v>421.1-2021 - IEEE Standard Definitions for Excitation Systems for Synchronous Machines</x:v>
      </x:c>
      <x:c r="F72" s="28" t="str">
        <x:v>Introduce standardized excitation-system terminology for synchronous machines.</x:v>
      </x:c>
      <x:c r="G72" s="28" t="str">
        <x:v>Subscription / purchase</x:v>
      </x:c>
      <x:c r="H72" s="28" t="str">
        <x:v>Active</x:v>
      </x:c>
      <x:c r="I72" s="28" t="str">
        <x:v>Approved</x:v>
      </x:c>
      <x:c r="J72" s="28" t="e">
        <x:f>HYPERLINK("https://ieeexplore.ieee.org/servlet/opac?punumber=9737075","Open IEEE Xplore")</x:f>
        <x:v>HYPERLINK is not implemented. linkLocation=https://ieeexplore.ieee.org/servlet/opac?punumber=9737075, friendlyName=Open IEEE Xplore</x:v>
      </x:c>
      <x:c r="K72" s="28" t="str">
        <x:v>—</x:v>
      </x:c>
      <x:c r="L72" s="28" t="str">
        <x:v>https://ieeexplore.ieee.org/servlet/opac?punumber=9737075</x:v>
      </x:c>
      <x:c r="M72" s="28" t="str"/>
    </x:row>
    <x:row r="73">
      <x:c r="A73" s="28" t="str">
        <x:v>EE 403</x:v>
      </x:c>
      <x:c r="B73" s="28" t="str">
        <x:v>Power Systems</x:v>
      </x:c>
      <x:c r="C73" s="28" t="str">
        <x:v>Core</x:v>
      </x:c>
      <x:c r="D73" s="28" t="str">
        <x:v>1159-2019</x:v>
      </x:c>
      <x:c r="E73" s="28" t="str">
        <x:v>1159-2019 - IEEE Recommended Practice for Monitoring Electric Power Quality</x:v>
      </x:c>
      <x:c r="F73" s="28" t="str">
        <x:v>Use standardized power-quality monitoring terminology and event classification.</x:v>
      </x:c>
      <x:c r="G73" s="28" t="str">
        <x:v>Subscription / purchase</x:v>
      </x:c>
      <x:c r="H73" s="28" t="str">
        <x:v>Active</x:v>
      </x:c>
      <x:c r="I73" s="28" t="str">
        <x:v>Approved</x:v>
      </x:c>
      <x:c r="J73" s="28" t="e">
        <x:f>HYPERLINK("https://ieeexplore.ieee.org/servlet/opac?punumber=8796484","Open IEEE Xplore")</x:f>
        <x:v>HYPERLINK is not implemented. linkLocation=https://ieeexplore.ieee.org/servlet/opac?punumber=8796484, friendlyName=Open IEEE Xplore</x:v>
      </x:c>
      <x:c r="K73" s="28" t="str">
        <x:v>—</x:v>
      </x:c>
      <x:c r="L73" s="28" t="str">
        <x:v>https://ieeexplore.ieee.org/servlet/opac?punumber=8796484</x:v>
      </x:c>
      <x:c r="M73" s="28" t="str"/>
    </x:row>
    <x:row r="74">
      <x:c r="A74" s="28" t="str">
        <x:v>EE 403</x:v>
      </x:c>
      <x:c r="B74" s="28" t="str">
        <x:v>Power Systems</x:v>
      </x:c>
      <x:c r="C74" s="28" t="str">
        <x:v>Core</x:v>
      </x:c>
      <x:c r="D74" s="28" t="str">
        <x:v>3002.3-2018</x:v>
      </x:c>
      <x:c r="E74" s="28" t="str">
        <x:v>3002.3-2018 - IEEE Recommended Practice for Conducting Short-Circuit Studies and Analysis of Industrial and Commercial Power Systems</x:v>
      </x:c>
      <x:c r="F74" s="28" t="str">
        <x:v>Use standardized short-circuit study practice for fault calculations.</x:v>
      </x:c>
      <x:c r="G74" s="28" t="str">
        <x:v>Subscription / purchase</x:v>
      </x:c>
      <x:c r="H74" s="28" t="str">
        <x:v>Active</x:v>
      </x:c>
      <x:c r="I74" s="28" t="str">
        <x:v>Approved</x:v>
      </x:c>
      <x:c r="J74" s="28" t="e">
        <x:f>HYPERLINK("https://ieeexplore.ieee.org/servlet/opac?punumber=8672196","Open IEEE Xplore")</x:f>
        <x:v>HYPERLINK is not implemented. linkLocation=https://ieeexplore.ieee.org/servlet/opac?punumber=8672196, friendlyName=Open IEEE Xplore</x:v>
      </x:c>
      <x:c r="K74" s="28" t="str">
        <x:v>—</x:v>
      </x:c>
      <x:c r="L74" s="28" t="str">
        <x:v>https://ieeexplore.ieee.org/servlet/opac?punumber=8672196</x:v>
      </x:c>
      <x:c r="M74" s="28" t="str"/>
    </x:row>
    <x:row r="75">
      <x:c r="A75" s="28" t="str">
        <x:v>EE 403</x:v>
      </x:c>
      <x:c r="B75" s="28" t="str">
        <x:v>Power Systems</x:v>
      </x:c>
      <x:c r="C75" s="28" t="str">
        <x:v>Core</x:v>
      </x:c>
      <x:c r="D75" s="28" t="str">
        <x:v>3003.1-2019</x:v>
      </x:c>
      <x:c r="E75" s="28" t="str">
        <x:v>3003.1-2019 - IEEE Recommended Practice for System Grounding of Industrial and Commercial Power Systems</x:v>
      </x:c>
      <x:c r="F75" s="28" t="str">
        <x:v>Introduce system-grounding practice for industrial/commercial power systems.</x:v>
      </x:c>
      <x:c r="G75" s="28" t="str">
        <x:v>Subscription / purchase</x:v>
      </x:c>
      <x:c r="H75" s="28" t="str">
        <x:v>Active</x:v>
      </x:c>
      <x:c r="I75" s="28" t="str">
        <x:v>Approved</x:v>
      </x:c>
      <x:c r="J75" s="28" t="e">
        <x:f>HYPERLINK("https://ieeexplore.ieee.org/servlet/opac?punumber=8793245","Open IEEE Xplore")</x:f>
        <x:v>HYPERLINK is not implemented. linkLocation=https://ieeexplore.ieee.org/servlet/opac?punumber=8793245, friendlyName=Open IEEE Xplore</x:v>
      </x:c>
      <x:c r="K75" s="28" t="str">
        <x:v>—</x:v>
      </x:c>
      <x:c r="L75" s="28" t="str">
        <x:v>https://ieeexplore.ieee.org/servlet/opac?punumber=8793245</x:v>
      </x:c>
      <x:c r="M75" s="28" t="str"/>
    </x:row>
    <x:row r="76">
      <x:c r="A76" s="28" t="str">
        <x:v>EE 403</x:v>
      </x:c>
      <x:c r="B76" s="28" t="str">
        <x:v>Power Systems</x:v>
      </x:c>
      <x:c r="C76" s="28" t="str">
        <x:v>Core</x:v>
      </x:c>
      <x:c r="D76" s="28" t="str">
        <x:v>519-2022</x:v>
      </x:c>
      <x:c r="E76" s="28" t="str">
        <x:v>519-2022 - IEEE Standard for Harmonic Control in Electric Power Systems</x:v>
      </x:c>
      <x:c r="F76" s="28" t="str">
        <x:v>Teach harmonic-control requirements as part of power quality.</x:v>
      </x:c>
      <x:c r="G76" s="28" t="str">
        <x:v>Subscription / purchase</x:v>
      </x:c>
      <x:c r="H76" s="28" t="str">
        <x:v>Active</x:v>
      </x:c>
      <x:c r="I76" s="28" t="str">
        <x:v>Approved</x:v>
      </x:c>
      <x:c r="J76" s="28" t="e">
        <x:f>HYPERLINK("https://ieeexplore.ieee.org/servlet/opac?punumber=9848438","Open IEEE Xplore")</x:f>
        <x:v>HYPERLINK is not implemented. linkLocation=https://ieeexplore.ieee.org/servlet/opac?punumber=9848438, friendlyName=Open IEEE Xplore</x:v>
      </x:c>
      <x:c r="K76" s="28" t="str">
        <x:v>—</x:v>
      </x:c>
      <x:c r="L76" s="28" t="str">
        <x:v>https://ieeexplore.ieee.org/servlet/opac?punumber=9848438</x:v>
      </x:c>
      <x:c r="M76" s="28" t="str"/>
    </x:row>
    <x:row r="77">
      <x:c r="A77" s="28" t="str">
        <x:v>EE 403</x:v>
      </x:c>
      <x:c r="B77" s="28" t="str">
        <x:v>Power Systems</x:v>
      </x:c>
      <x:c r="C77" s="28" t="str">
        <x:v>Core</x:v>
      </x:c>
      <x:c r="D77" s="28" t="str">
        <x:v>C57.12.00-2021</x:v>
      </x:c>
      <x:c r="E77" s="28" t="str">
        <x:v>C57.12.00-2021 - IEEE Standard for General Requirements for Liquid-Immersed Distribution, Power, and Regulating Transformers</x:v>
      </x:c>
      <x:c r="F77" s="28" t="str">
        <x:v>Use general transformer requirements as a practical reference for ratings and applications.</x:v>
      </x:c>
      <x:c r="G77" s="28" t="str">
        <x:v>Subscription / purchase</x:v>
      </x:c>
      <x:c r="H77" s="28" t="str">
        <x:v>Active</x:v>
      </x:c>
      <x:c r="I77" s="28" t="str">
        <x:v>Approved</x:v>
      </x:c>
      <x:c r="J77" s="28" t="e">
        <x:f>HYPERLINK("https://ieeexplore.ieee.org/servlet/opac?punumber=9690122","Open IEEE Xplore")</x:f>
        <x:v>HYPERLINK is not implemented. linkLocation=https://ieeexplore.ieee.org/servlet/opac?punumber=9690122, friendlyName=Open IEEE Xplore</x:v>
      </x:c>
      <x:c r="K77" s="28" t="str">
        <x:v>—</x:v>
      </x:c>
      <x:c r="L77" s="28" t="str">
        <x:v>https://ieeexplore.ieee.org/servlet/opac?punumber=9690122</x:v>
      </x:c>
      <x:c r="M77" s="28" t="str"/>
    </x:row>
    <x:row r="78">
      <x:c r="A78" s="28" t="str">
        <x:v>EE 403</x:v>
      </x:c>
      <x:c r="B78" s="28" t="str">
        <x:v>Power Systems</x:v>
      </x:c>
      <x:c r="C78" s="28" t="str">
        <x:v>Useful</x:v>
      </x:c>
      <x:c r="D78" s="28" t="str">
        <x:v>1547-2018</x:v>
      </x:c>
      <x:c r="E78" s="28" t="str">
        <x:v>1547-2018 - IEEE Standard for Interconnection and Interoperability of Distributed Energy Resources with Associated Electric Power Systems Interfaces</x:v>
      </x:c>
      <x:c r="F78" s="28" t="str">
        <x:v>Introduce DER interconnection and grid-interface requirements.</x:v>
      </x:c>
      <x:c r="G78" s="28" t="str">
        <x:v>Subscription / purchase</x:v>
      </x:c>
      <x:c r="H78" s="28" t="str">
        <x:v>Active</x:v>
      </x:c>
      <x:c r="I78" s="28" t="str">
        <x:v>Approved</x:v>
      </x:c>
      <x:c r="J78" s="28" t="e">
        <x:f>HYPERLINK("https://ieeexplore.ieee.org/servlet/opac?punumber=8332110","Open IEEE Xplore")</x:f>
        <x:v>HYPERLINK is not implemented. linkLocation=https://ieeexplore.ieee.org/servlet/opac?punumber=8332110, friendlyName=Open IEEE Xplore</x:v>
      </x:c>
      <x:c r="K78" s="28" t="str">
        <x:v>—</x:v>
      </x:c>
      <x:c r="L78" s="28" t="str">
        <x:v>https://ieeexplore.ieee.org/servlet/opac?punumber=8332110</x:v>
      </x:c>
      <x:c r="M78" s="28" t="str"/>
    </x:row>
    <x:row r="79">
      <x:c r="A79" s="28" t="str">
        <x:v>EE 403</x:v>
      </x:c>
      <x:c r="B79" s="28" t="str">
        <x:v>Power Systems</x:v>
      </x:c>
      <x:c r="C79" s="28" t="str">
        <x:v>Useful</x:v>
      </x:c>
      <x:c r="D79" s="28" t="str">
        <x:v>2800-2022</x:v>
      </x:c>
      <x:c r="E79" s="28" t="str">
        <x:v>2800-2022 - IEEE Standard for Interconnection and Interoperability of Inverter-Based Resources (IBRs) Interconnecting with Associated Transmission Electric Power Systems</x:v>
      </x:c>
      <x:c r="F79" s="28" t="str">
        <x:v>Extend interconnection concepts to transmission-connected inverter-based resources.</x:v>
      </x:c>
      <x:c r="G79" s="28" t="str">
        <x:v>Subscription / purchase</x:v>
      </x:c>
      <x:c r="H79" s="28" t="str">
        <x:v>Active</x:v>
      </x:c>
      <x:c r="I79" s="28" t="str">
        <x:v>Approved</x:v>
      </x:c>
      <x:c r="J79" s="28" t="e">
        <x:f>HYPERLINK("https://ieeexplore.ieee.org/servlet/opac?punumber=9762251","Open IEEE Xplore")</x:f>
        <x:v>HYPERLINK is not implemented. linkLocation=https://ieeexplore.ieee.org/servlet/opac?punumber=9762251, friendlyName=Open IEEE Xplore</x:v>
      </x:c>
      <x:c r="K79" s="28" t="str">
        <x:v>—</x:v>
      </x:c>
      <x:c r="L79" s="28" t="str">
        <x:v>https://ieeexplore.ieee.org/servlet/opac?punumber=9762251</x:v>
      </x:c>
      <x:c r="M79" s="28" t="str"/>
    </x:row>
    <x:row r="80">
      <x:c r="A80" s="28" t="str">
        <x:v>EE 403</x:v>
      </x:c>
      <x:c r="B80" s="28" t="str">
        <x:v>Power Systems</x:v>
      </x:c>
      <x:c r="C80" s="28" t="str">
        <x:v>Useful</x:v>
      </x:c>
      <x:c r="D80" s="28" t="str">
        <x:v>60255-118-1-2018</x:v>
      </x:c>
      <x:c r="E80" s="28" t="str">
        <x:v>60255-118-1-2018 - IEEE/IEC International Standard - Measuring relays and protection equipment - Part 118-1: Synchrophasor for power systems - Measurements</x:v>
      </x:c>
      <x:c r="F80" s="28" t="str">
        <x:v>Introduce synchrophasor measurement requirements used in modern power systems.</x:v>
      </x:c>
      <x:c r="G80" s="28" t="str">
        <x:v>Subscription / purchase</x:v>
      </x:c>
      <x:c r="H80" s="28" t="str">
        <x:v>Active</x:v>
      </x:c>
      <x:c r="I80" s="28" t="str">
        <x:v>Approved</x:v>
      </x:c>
      <x:c r="J80" s="28" t="e">
        <x:f>HYPERLINK("https://ieeexplore.ieee.org/servlet/opac?punumber=8577043","Open IEEE Xplore")</x:f>
        <x:v>HYPERLINK is not implemented. linkLocation=https://ieeexplore.ieee.org/servlet/opac?punumber=8577043, friendlyName=Open IEEE Xplore</x:v>
      </x:c>
      <x:c r="K80" s="28" t="str">
        <x:v>—</x:v>
      </x:c>
      <x:c r="L80" s="28" t="str">
        <x:v>https://ieeexplore.ieee.org/servlet/opac?punumber=8577043</x:v>
      </x:c>
      <x:c r="M80" s="28" t="str"/>
    </x:row>
    <x:row r="81">
      <x:c r="A81" s="28" t="str">
        <x:v>EE 403</x:v>
      </x:c>
      <x:c r="B81" s="28" t="str">
        <x:v>Power Systems</x:v>
      </x:c>
      <x:c r="C81" s="28" t="str">
        <x:v>Useful</x:v>
      </x:c>
      <x:c r="D81" s="28" t="str">
        <x:v>738-2023</x:v>
      </x:c>
      <x:c r="E81" s="28" t="str">
        <x:v>738-2023 - IEEE Standard for Calculating the Current-Temperature Relationship of Bare Overhead Conductors</x:v>
      </x:c>
      <x:c r="F81" s="28" t="str">
        <x:v>Connect transmission-line loading to conductor current-temperature relationships.</x:v>
      </x:c>
      <x:c r="G81" s="28" t="str">
        <x:v>Subscription / purchase</x:v>
      </x:c>
      <x:c r="H81" s="28" t="str">
        <x:v>Active</x:v>
      </x:c>
      <x:c r="I81" s="28" t="str">
        <x:v>Approved</x:v>
      </x:c>
      <x:c r="J81" s="28" t="e">
        <x:f>HYPERLINK("https://ieeexplore.ieee.org/servlet/opac?punumber=10382440","Open IEEE Xplore")</x:f>
        <x:v>HYPERLINK is not implemented. linkLocation=https://ieeexplore.ieee.org/servlet/opac?punumber=10382440, friendlyName=Open IEEE Xplore</x:v>
      </x:c>
      <x:c r="K81" s="28" t="str">
        <x:v>—</x:v>
      </x:c>
      <x:c r="L81" s="28" t="str">
        <x:v>https://ieeexplore.ieee.org/servlet/opac?punumber=10382440</x:v>
      </x:c>
      <x:c r="M81" s="28" t="str"/>
    </x:row>
    <x:row r="82">
      <x:c r="A82" s="28" t="str">
        <x:v>EE 403</x:v>
      </x:c>
      <x:c r="B82" s="28" t="str">
        <x:v>Power Systems</x:v>
      </x:c>
      <x:c r="C82" s="28" t="str">
        <x:v>Useful</x:v>
      </x:c>
      <x:c r="D82" s="28" t="str">
        <x:v>C57.105-2019</x:v>
      </x:c>
      <x:c r="E82" s="28" t="str">
        <x:v>C57.105-2019 - IEEE Guide for Application of Transformer Connections in Three-Phase Electrical Systems</x:v>
      </x:c>
      <x:c r="F82" s="28" t="str">
        <x:v>Use transformer connection guidance in three-phase system analysis.</x:v>
      </x:c>
      <x:c r="G82" s="28" t="str">
        <x:v>Subscription / purchase</x:v>
      </x:c>
      <x:c r="H82" s="28" t="str">
        <x:v>Active</x:v>
      </x:c>
      <x:c r="I82" s="28" t="str">
        <x:v>Approved</x:v>
      </x:c>
      <x:c r="J82" s="28" t="e">
        <x:f>HYPERLINK("https://ieeexplore.ieee.org/servlet/opac?punumber=9052771","Open IEEE Xplore")</x:f>
        <x:v>HYPERLINK is not implemented. linkLocation=https://ieeexplore.ieee.org/servlet/opac?punumber=9052771, friendlyName=Open IEEE Xplore</x:v>
      </x:c>
      <x:c r="K82" s="28" t="str">
        <x:v>—</x:v>
      </x:c>
      <x:c r="L82" s="28" t="str">
        <x:v>https://ieeexplore.ieee.org/servlet/opac?punumber=9052771</x:v>
      </x:c>
      <x:c r="M82" s="28" t="str"/>
    </x:row>
    <x:row r="83">
      <x:c r="A83" s="28" t="str">
        <x:v>EE 403</x:v>
      </x:c>
      <x:c r="B83" s="28" t="str">
        <x:v>Power Systems</x:v>
      </x:c>
      <x:c r="C83" s="28" t="str">
        <x:v>Advanced</x:v>
      </x:c>
      <x:c r="D83" s="28" t="str">
        <x:v>837-2024</x:v>
      </x:c>
      <x:c r="E83" s="28" t="str">
        <x:v>837-2024 - IEEE Standard for Qualifying Permanent Connections Used in Substation Grounding</x:v>
      </x:c>
      <x:c r="F83" s="28" t="str">
        <x:v>Use permanent substation-grounding connections as a practical grounding example.</x:v>
      </x:c>
      <x:c r="G83" s="28" t="str">
        <x:v>Subscription / purchase</x:v>
      </x:c>
      <x:c r="H83" s="28" t="str">
        <x:v>Active</x:v>
      </x:c>
      <x:c r="I83" s="28" t="str">
        <x:v>Approved</x:v>
      </x:c>
      <x:c r="J83" s="28" t="e">
        <x:f>HYPERLINK("https://ieeexplore.ieee.org/servlet/opac?punumber=10964114","Open IEEE Xplore")</x:f>
        <x:v>HYPERLINK is not implemented. linkLocation=https://ieeexplore.ieee.org/servlet/opac?punumber=10964114, friendlyName=Open IEEE Xplore</x:v>
      </x:c>
      <x:c r="K83" s="28" t="str">
        <x:v>—</x:v>
      </x:c>
      <x:c r="L83" s="28" t="str">
        <x:v>https://ieeexplore.ieee.org/servlet/opac?punumber=10964114</x:v>
      </x:c>
      <x:c r="M83" s="28" t="str"/>
    </x:row>
    <x:row r="84">
      <x:c r="A84" s="28" t="str">
        <x:v>EE 403</x:v>
      </x:c>
      <x:c r="B84" s="28" t="str">
        <x:v>Power Systems</x:v>
      </x:c>
      <x:c r="C84" s="28" t="str">
        <x:v>Advanced</x:v>
      </x:c>
      <x:c r="D84" s="28" t="str">
        <x:v>C37.113-2025</x:v>
      </x:c>
      <x:c r="E84" s="28" t="str">
        <x:v>C37.113-2025 - IEEE Guide for Protective Relay Applications to Transmission Lines</x:v>
      </x:c>
      <x:c r="F84" s="28" t="str">
        <x:v>Introduce transmission-line protective-relay application practice.</x:v>
      </x:c>
      <x:c r="G84" s="28" t="str">
        <x:v>Subscription / purchase</x:v>
      </x:c>
      <x:c r="H84" s="28" t="str">
        <x:v>Active</x:v>
      </x:c>
      <x:c r="I84" s="28" t="str">
        <x:v>Approved</x:v>
      </x:c>
      <x:c r="J84" s="28" t="e">
        <x:f>HYPERLINK("https://ieeexplore.ieee.org/servlet/opac?punumber=11503181","Open IEEE Xplore")</x:f>
        <x:v>HYPERLINK is not implemented. linkLocation=https://ieeexplore.ieee.org/servlet/opac?punumber=11503181, friendlyName=Open IEEE Xplore</x:v>
      </x:c>
      <x:c r="K84" s="28" t="str">
        <x:v>—</x:v>
      </x:c>
      <x:c r="L84" s="28" t="str">
        <x:v>https://ieeexplore.ieee.org/servlet/opac?punumber=11503181</x:v>
      </x:c>
      <x:c r="M84" s="28" t="str"/>
    </x:row>
    <x:row r="85">
      <x:c r="A85" s="28" t="str">
        <x:v>EE 403</x:v>
      </x:c>
      <x:c r="B85" s="28" t="str">
        <x:v>Power Systems</x:v>
      </x:c>
      <x:c r="C85" s="28" t="str">
        <x:v>Advanced</x:v>
      </x:c>
      <x:c r="D85" s="28" t="str">
        <x:v>C37.118.2-2024</x:v>
      </x:c>
      <x:c r="E85" s="28" t="str">
        <x:v>C37.118.2-2024 - IEEE Standard for Synchrophasor Data Transfer for Power Systems</x:v>
      </x:c>
      <x:c r="F85" s="28" t="str">
        <x:v>Show standardized synchrophasor data transfer between power-system devices.</x:v>
      </x:c>
      <x:c r="G85" s="28" t="str">
        <x:v>Subscription / purchase</x:v>
      </x:c>
      <x:c r="H85" s="28" t="str">
        <x:v>Active</x:v>
      </x:c>
      <x:c r="I85" s="28" t="str">
        <x:v>Approved</x:v>
      </x:c>
      <x:c r="J85" s="28" t="e">
        <x:f>HYPERLINK("https://ieeexplore.ieee.org/servlet/opac?punumber=10794633","Open IEEE Xplore")</x:f>
        <x:v>HYPERLINK is not implemented. linkLocation=https://ieeexplore.ieee.org/servlet/opac?punumber=10794633, friendlyName=Open IEEE Xplore</x:v>
      </x:c>
      <x:c r="K85" s="28" t="str">
        <x:v>—</x:v>
      </x:c>
      <x:c r="L85" s="28" t="str">
        <x:v>https://ieeexplore.ieee.org/servlet/opac?punumber=10794633</x:v>
      </x:c>
      <x:c r="M85" s="28" t="str"/>
    </x:row>
    <x:row r="86">
      <x:c r="A86" s="28" t="str">
        <x:v>EE 403</x:v>
      </x:c>
      <x:c r="B86" s="28" t="str">
        <x:v>Power Systems</x:v>
      </x:c>
      <x:c r="C86" s="28" t="str">
        <x:v>Advanced</x:v>
      </x:c>
      <x:c r="D86" s="28" t="str">
        <x:v>C37.91-2021</x:v>
      </x:c>
      <x:c r="E86" s="28" t="str">
        <x:v>C37.91-2021 - IEEE Guide for Protecting Power Transformers</x:v>
      </x:c>
      <x:c r="F86" s="28" t="str">
        <x:v>Introduce power-transformer protection practice.</x:v>
      </x:c>
      <x:c r="G86" s="28" t="str">
        <x:v>Subscription / purchase</x:v>
      </x:c>
      <x:c r="H86" s="28" t="str">
        <x:v>Active</x:v>
      </x:c>
      <x:c r="I86" s="28" t="str">
        <x:v>Approved</x:v>
      </x:c>
      <x:c r="J86" s="28" t="e">
        <x:f>HYPERLINK("https://ieeexplore.ieee.org/servlet/opac?punumber=9471043","Open IEEE Xplore")</x:f>
        <x:v>HYPERLINK is not implemented. linkLocation=https://ieeexplore.ieee.org/servlet/opac?punumber=9471043, friendlyName=Open IEEE Xplore</x:v>
      </x:c>
      <x:c r="K86" s="28" t="str">
        <x:v>—</x:v>
      </x:c>
      <x:c r="L86" s="28" t="str">
        <x:v>https://ieeexplore.ieee.org/servlet/opac?punumber=9471043</x:v>
      </x:c>
      <x:c r="M86" s="28" t="str"/>
    </x:row>
    <x:row r="87">
      <x:c r="A87" s="28" t="str">
        <x:v>EE 490</x:v>
      </x:c>
      <x:c r="B87" s="28" t="str">
        <x:v>Senior Design Project</x:v>
      </x:c>
      <x:c r="C87" s="28" t="str">
        <x:v>Core</x:v>
      </x:c>
      <x:c r="D87" s="28" t="str">
        <x:v>1012-2024</x:v>
      </x:c>
      <x:c r="E87" s="28" t="str">
        <x:v>1012-2024 - IEEE Standard for System, Software, and Hardware Verification and Validation</x:v>
      </x:c>
      <x:c r="F87" s="28" t="str">
        <x:v>Plan verification and validation evidence for hardware/software/system deliverables.</x:v>
      </x:c>
      <x:c r="G87" s="28" t="str">
        <x:v>Subscription / purchase</x:v>
      </x:c>
      <x:c r="H87" s="28" t="str">
        <x:v>Active</x:v>
      </x:c>
      <x:c r="I87" s="28" t="str">
        <x:v>Approved</x:v>
      </x:c>
      <x:c r="J87" s="28" t="e">
        <x:f>HYPERLINK("https://ieeexplore.ieee.org/servlet/opac?punumber=11134778","Open IEEE Xplore")</x:f>
        <x:v>HYPERLINK is not implemented. linkLocation=https://ieeexplore.ieee.org/servlet/opac?punumber=11134778, friendlyName=Open IEEE Xplore</x:v>
      </x:c>
      <x:c r="K87" s="28" t="str">
        <x:v>—</x:v>
      </x:c>
      <x:c r="L87" s="28" t="str">
        <x:v>https://ieeexplore.ieee.org/servlet/opac?punumber=11134778</x:v>
      </x:c>
      <x:c r="M87" s="28" t="str"/>
    </x:row>
    <x:row r="88">
      <x:c r="A88" s="28" t="str">
        <x:v>EE 490</x:v>
      </x:c>
      <x:c r="B88" s="28" t="str">
        <x:v>Senior Design Project</x:v>
      </x:c>
      <x:c r="C88" s="28" t="str">
        <x:v>Core</x:v>
      </x:c>
      <x:c r="D88" s="28" t="str">
        <x:v>15288-2023</x:v>
      </x:c>
      <x:c r="E88" s="28" t="str">
        <x:v>15288-2023 - ISO/IEC/IEEE International Standard - Systems and software engineering--System life cycle processes</x:v>
      </x:c>
      <x:c r="F88" s="28" t="str">
        <x:v>Structure the project around system life-cycle processes: definition, realization, verification, validation, and transition.</x:v>
      </x:c>
      <x:c r="G88" s="28" t="str">
        <x:v>Subscription / purchase</x:v>
      </x:c>
      <x:c r="H88" s="28" t="str">
        <x:v>Active</x:v>
      </x:c>
      <x:c r="I88" s="28" t="str">
        <x:v>Approved</x:v>
      </x:c>
      <x:c r="J88" s="28" t="e">
        <x:f>HYPERLINK("https://ieeexplore.ieee.org/servlet/opac?punumber=10123345","Open IEEE Xplore")</x:f>
        <x:v>HYPERLINK is not implemented. linkLocation=https://ieeexplore.ieee.org/servlet/opac?punumber=10123345, friendlyName=Open IEEE Xplore</x:v>
      </x:c>
      <x:c r="K88" s="28" t="str">
        <x:v>—</x:v>
      </x:c>
      <x:c r="L88" s="28" t="str">
        <x:v>https://ieeexplore.ieee.org/servlet/opac?punumber=10123345</x:v>
      </x:c>
      <x:c r="M88" s="28" t="str"/>
    </x:row>
    <x:row r="89">
      <x:c r="A89" s="28" t="str">
        <x:v>EE 490</x:v>
      </x:c>
      <x:c r="B89" s="28" t="str">
        <x:v>Senior Design Project</x:v>
      </x:c>
      <x:c r="C89" s="28" t="str">
        <x:v>Core</x:v>
      </x:c>
      <x:c r="D89" s="28" t="str">
        <x:v>16085-2020</x:v>
      </x:c>
      <x:c r="E89" s="28" t="str">
        <x:v>16085-2020 - ISO/IEC/IEEE International Standard - Systems and software engineering -- Life cycle processes -- Risk management</x:v>
      </x:c>
      <x:c r="F89" s="28" t="str">
        <x:v>Use a formal risk-management process for technical, schedule, safety, and project risks.</x:v>
      </x:c>
      <x:c r="G89" s="28" t="str">
        <x:v>Subscription / purchase</x:v>
      </x:c>
      <x:c r="H89" s="28" t="str">
        <x:v>Active</x:v>
      </x:c>
      <x:c r="I89" s="28" t="str">
        <x:v>Approved</x:v>
      </x:c>
      <x:c r="J89" s="28" t="e">
        <x:f>HYPERLINK("https://ieeexplore.ieee.org/servlet/opac?punumber=9325906","Open IEEE Xplore")</x:f>
        <x:v>HYPERLINK is not implemented. linkLocation=https://ieeexplore.ieee.org/servlet/opac?punumber=9325906, friendlyName=Open IEEE Xplore</x:v>
      </x:c>
      <x:c r="K89" s="28" t="str">
        <x:v>—</x:v>
      </x:c>
      <x:c r="L89" s="28" t="str">
        <x:v>https://ieeexplore.ieee.org/servlet/opac?punumber=9325906</x:v>
      </x:c>
      <x:c r="M89" s="28" t="str"/>
    </x:row>
    <x:row r="90">
      <x:c r="A90" s="28" t="str">
        <x:v>EE 490</x:v>
      </x:c>
      <x:c r="B90" s="28" t="str">
        <x:v>Senior Design Project</x:v>
      </x:c>
      <x:c r="C90" s="28" t="str">
        <x:v>Core</x:v>
      </x:c>
      <x:c r="D90" s="28" t="str">
        <x:v>29148-2018</x:v>
      </x:c>
      <x:c r="E90" s="28" t="str">
        <x:v>29148-2018 - ISO/IEC/IEEE International Standard - Systems and software engineering -- Life cycle processes -- Requirements engineering</x:v>
      </x:c>
      <x:c r="F90" s="28" t="str">
        <x:v>Require clear, testable engineering requirements and traceability before design decisions.</x:v>
      </x:c>
      <x:c r="G90" s="28" t="str">
        <x:v>Subscription / purchase</x:v>
      </x:c>
      <x:c r="H90" s="28" t="str">
        <x:v>Active</x:v>
      </x:c>
      <x:c r="I90" s="28" t="str">
        <x:v>Approved</x:v>
      </x:c>
      <x:c r="J90" s="28" t="e">
        <x:f>HYPERLINK("https://ieeexplore.ieee.org/servlet/opac?punumber=8559684","Open IEEE Xplore")</x:f>
        <x:v>HYPERLINK is not implemented. linkLocation=https://ieeexplore.ieee.org/servlet/opac?punumber=8559684, friendlyName=Open IEEE Xplore</x:v>
      </x:c>
      <x:c r="K90" s="28" t="str">
        <x:v>—</x:v>
      </x:c>
      <x:c r="L90" s="28" t="str">
        <x:v>https://ieeexplore.ieee.org/servlet/opac?punumber=8559684</x:v>
      </x:c>
      <x:c r="M90" s="28" t="str"/>
    </x:row>
    <x:row r="91">
      <x:c r="A91" s="28" t="str">
        <x:v>EE 490</x:v>
      </x:c>
      <x:c r="B91" s="28" t="str">
        <x:v>Senior Design Project</x:v>
      </x:c>
      <x:c r="C91" s="28" t="str">
        <x:v>Core</x:v>
      </x:c>
      <x:c r="D91" s="28" t="str">
        <x:v>7000-2021</x:v>
      </x:c>
      <x:c r="E91" s="28" t="str">
        <x:v>7000-2021 - IEEE Standard Model Process for Addressing Ethical Concerns during System Design</x:v>
      </x:c>
      <x:c r="F91" s="28" t="str">
        <x:v>Address ethical concerns explicitly during system design and stakeholder decision-making.</x:v>
      </x:c>
      <x:c r="G91" s="28" t="str">
        <x:v>Free — IEEE GET</x:v>
      </x:c>
      <x:c r="H91" s="28" t="str">
        <x:v>Active</x:v>
      </x:c>
      <x:c r="I91" s="28" t="str">
        <x:v>Approved</x:v>
      </x:c>
      <x:c r="J91" s="28" t="e">
        <x:f>HYPERLINK("https://ieeexplore.ieee.org/servlet/opac?punumber=9536677","Open IEEE Xplore")</x:f>
        <x:v>HYPERLINK is not implemented. linkLocation=https://ieeexplore.ieee.org/servlet/opac?punumber=9536677, friendlyName=Open IEEE Xplore</x:v>
      </x:c>
      <x:c r="K91" s="28" t="e">
        <x:f>HYPERLINK("https://ieeexplore.ieee.org/browse/standards/get-program/page/series?id=93","Free via IEEE GET")</x:f>
        <x:v>HYPERLINK is not implemented. linkLocation=https://ieeexplore.ieee.org/browse/standards/get-program/page/series?id=93, friendlyName=Free via IEEE GET</x:v>
      </x:c>
      <x:c r="L91" s="28" t="str">
        <x:v>https://ieeexplore.ieee.org/servlet/opac?punumber=9536677</x:v>
      </x:c>
      <x:c r="M91" s="28" t="str">
        <x:v>https://ieeexplore.ieee.org/browse/standards/get-program/page/series?id=93</x:v>
      </x:c>
    </x:row>
    <x:row r="92">
      <x:c r="A92" s="28" t="str">
        <x:v>EE 490</x:v>
      </x:c>
      <x:c r="B92" s="28" t="str">
        <x:v>Senior Design Project</x:v>
      </x:c>
      <x:c r="C92" s="28" t="str">
        <x:v>Useful</x:v>
      </x:c>
      <x:c r="D92" s="28" t="str">
        <x:v>24748-2-2024</x:v>
      </x:c>
      <x:c r="E92" s="28" t="str">
        <x:v>24748-2-2024 - ISO/IEC/IEEE International Standard - Systems and software engineering--Life cycle management--Part 2: Guidelines for the application of ISO/IEC/IEEE 15288 (System life cycle processes)</x:v>
      </x:c>
      <x:c r="F92" s="28" t="str">
        <x:v>Provide practical guidance for applying the 15288 system life-cycle process.</x:v>
      </x:c>
      <x:c r="G92" s="28" t="str">
        <x:v>Subscription / purchase</x:v>
      </x:c>
      <x:c r="H92" s="28" t="str">
        <x:v>Active</x:v>
      </x:c>
      <x:c r="I92" s="28" t="str">
        <x:v>Approved</x:v>
      </x:c>
      <x:c r="J92" s="28" t="e">
        <x:f>HYPERLINK("https://ieeexplore.ieee.org/servlet/opac?punumber=10476371","Open IEEE Xplore")</x:f>
        <x:v>HYPERLINK is not implemented. linkLocation=https://ieeexplore.ieee.org/servlet/opac?punumber=10476371, friendlyName=Open IEEE Xplore</x:v>
      </x:c>
      <x:c r="K92" s="28" t="str">
        <x:v>—</x:v>
      </x:c>
      <x:c r="L92" s="28" t="str">
        <x:v>https://ieeexplore.ieee.org/servlet/opac?punumber=10476371</x:v>
      </x:c>
      <x:c r="M92" s="28" t="str"/>
    </x:row>
    <x:row r="93">
      <x:c r="A93" s="28" t="str">
        <x:v>EE 490</x:v>
      </x:c>
      <x:c r="B93" s="28" t="str">
        <x:v>Senior Design Project</x:v>
      </x:c>
      <x:c r="C93" s="28" t="str">
        <x:v>Useful</x:v>
      </x:c>
      <x:c r="D93" s="28" t="str">
        <x:v>24748-4-2025</x:v>
      </x:c>
      <x:c r="E93" s="28" t="str">
        <x:v>24748-4-2025 - ISO/IEC/IEEE International Standard - Systems and Software Engineering -- Life Cycle Management -- Part 4: Systems Engineering Management Planning</x:v>
      </x:c>
      <x:c r="F93" s="28" t="str">
        <x:v>Use systems-engineering management planning for project organization, reviews, and evidence.</x:v>
      </x:c>
      <x:c r="G93" s="28" t="str">
        <x:v>Subscription / purchase</x:v>
      </x:c>
      <x:c r="H93" s="28" t="str">
        <x:v>Active</x:v>
      </x:c>
      <x:c r="I93" s="28" t="str">
        <x:v>Approved</x:v>
      </x:c>
      <x:c r="J93" s="28" t="e">
        <x:f>HYPERLINK("https://ieeexplore.ieee.org/servlet/opac?punumber=11396462","Open IEEE Xplore")</x:f>
        <x:v>HYPERLINK is not implemented. linkLocation=https://ieeexplore.ieee.org/servlet/opac?punumber=11396462, friendlyName=Open IEEE Xplore</x:v>
      </x:c>
      <x:c r="K93" s="28" t="str">
        <x:v>—</x:v>
      </x:c>
      <x:c r="L93" s="28" t="str">
        <x:v>https://ieeexplore.ieee.org/servlet/opac?punumber=11396462</x:v>
      </x:c>
      <x:c r="M93" s="28" t="str"/>
    </x:row>
    <x:row r="94">
      <x:c r="A94" s="28" t="str">
        <x:v>EE 490</x:v>
      </x:c>
      <x:c r="B94" s="28" t="str">
        <x:v>Senior Design Project</x:v>
      </x:c>
      <x:c r="C94" s="28" t="str">
        <x:v>Advanced</x:v>
      </x:c>
      <x:c r="D94" s="28" t="str">
        <x:v>24748-7000-2022</x:v>
      </x:c>
      <x:c r="E94" s="28" t="str">
        <x:v>24748-7000-2022 - IEEE/ISO/IEC International Standard--Systems and software engineering--Life cycle management--Part 7000: Standard model process for addressing ethical concerns during system design</x:v>
      </x:c>
      <x:c r="F94" s="28" t="str">
        <x:v>Integrate ethical-system-design activities with life-cycle management.</x:v>
      </x:c>
      <x:c r="G94" s="28" t="str">
        <x:v>Free — IEEE GET</x:v>
      </x:c>
      <x:c r="H94" s="28" t="str">
        <x:v>Active</x:v>
      </x:c>
      <x:c r="I94" s="28" t="str">
        <x:v>Approved</x:v>
      </x:c>
      <x:c r="J94" s="28" t="e">
        <x:f>HYPERLINK("https://ieeexplore.ieee.org/servlet/opac?punumber=9967785","Open IEEE Xplore")</x:f>
        <x:v>HYPERLINK is not implemented. linkLocation=https://ieeexplore.ieee.org/servlet/opac?punumber=9967785, friendlyName=Open IEEE Xplore</x:v>
      </x:c>
      <x:c r="K94" s="28" t="e">
        <x:f>HYPERLINK("https://ieeexplore.ieee.org/browse/standards/get-program/page/series?id=93","Free via IEEE GET")</x:f>
        <x:v>HYPERLINK is not implemented. linkLocation=https://ieeexplore.ieee.org/browse/standards/get-program/page/series?id=93, friendlyName=Free via IEEE GET</x:v>
      </x:c>
      <x:c r="L94" s="28" t="str">
        <x:v>https://ieeexplore.ieee.org/servlet/opac?punumber=9967785</x:v>
      </x:c>
      <x:c r="M94" s="28" t="str">
        <x:v>https://ieeexplore.ieee.org/browse/standards/get-program/page/series?id=93</x:v>
      </x:c>
    </x:row>
  </x:sheetData>
  <x:mergeCells>
    <x:mergeCell ref="A1:M1"/>
    <x:mergeCell ref="A2:M2"/>
  </x:mergeCells>
  <x:conditionalFormatting sqref="C5:C94">
    <x:cfRule type="expression" dxfId="0" priority="1">
      <x:formula>C5="Core"</x:formula>
    </x:cfRule>
    <x:cfRule type="expression" dxfId="1" priority="2">
      <x:formula>C5="Useful"</x:formula>
    </x:cfRule>
    <x:cfRule type="expression" dxfId="2" priority="3">
      <x:formula>C5="Advanced"</x:formula>
    </x:cfRule>
  </x:conditionalFormatting>
  <x:conditionalFormatting sqref="G5:G94">
    <x:cfRule type="expression" dxfId="3" priority="4">
      <x:formula>G5="Free — IEEE GET"</x:formula>
    </x:cfRule>
    <x:cfRule type="expression" dxfId="4" priority="5">
      <x:formula>G5="Subscription / purchase"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13d9621fe6c4bd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3" max="3" width="14" hidden="0" customWidth="1"/>
    <x:col min="4" max="4" width="30" hidden="0" customWidth="1"/>
    <x:col min="5" max="5" width="23" hidden="0" customWidth="1"/>
    <x:col min="6" max="6" width="10" hidden="0" customWidth="1"/>
    <x:col min="7" max="7" width="12" hidden="0" customWidth="1"/>
    <x:col min="8" max="8" width="18" hidden="0" customWidth="1"/>
    <x:col min="9" max="9" width="18" hidden="0" customWidth="1"/>
    <x:col min="10" max="10" width="44" hidden="0" customWidth="1"/>
    <x:col min="11" max="11" width="44" hidden="0" customWidth="1"/>
  </x:cols>
  <x:sheetData>
    <x:row r="1" ht="30" customHeight="1">
      <x:c r="A1" s="5" t="str">
        <x:v>Selected IEEE Standards — Unique Master 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0" customHeight="1">
      <x:c r="A2" s="30" t="str">
        <x:v>66 unique standards. Free-access classification is based on the IEEE GET Program; 11 are currently available at no cost through IEEE GET.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</x:row>
    <x:row r="4" ht="26" customHeight="1">
      <x:c r="A4" s="20" t="str">
        <x:v>Standard</x:v>
      </x:c>
      <x:c r="B4" s="20" t="str">
        <x:v>IEEE Title</x:v>
      </x:c>
      <x:c r="C4" s="20" t="str">
        <x:v>Highest Priority</x:v>
      </x:c>
      <x:c r="D4" s="20" t="str">
        <x:v>Relevant Core Courses</x:v>
      </x:c>
      <x:c r="E4" s="20" t="str">
        <x:v>Access Type</x:v>
      </x:c>
      <x:c r="F4" s="20" t="str">
        <x:v>Status</x:v>
      </x:c>
      <x:c r="G4" s="20" t="str">
        <x:v>Modifier</x:v>
      </x:c>
      <x:c r="H4" s="20" t="str">
        <x:v>IEEE Xplore</x:v>
      </x:c>
      <x:c r="I4" s="20" t="str">
        <x:v>GET Access</x:v>
      </x:c>
      <x:c r="J4" s="20" t="str">
        <x:v>IEEE Xplore URL</x:v>
      </x:c>
      <x:c r="K4" s="20" t="str">
        <x:v>GET URL</x:v>
      </x:c>
    </x:row>
    <x:row r="5">
      <x:c r="A5" s="28" t="str">
        <x:v>1012-2024</x:v>
      </x:c>
      <x:c r="B5" s="28" t="str">
        <x:v>1012-2024 - IEEE Standard for System, Software, and Hardware Verification and Validation</x:v>
      </x:c>
      <x:c r="C5" s="28" t="str">
        <x:v>Core</x:v>
      </x:c>
      <x:c r="D5" s="28" t="str">
        <x:v>EE 490</x:v>
      </x:c>
      <x:c r="E5" s="28" t="str">
        <x:v>Subscription / purchase</x:v>
      </x:c>
      <x:c r="F5" s="28" t="str">
        <x:v>Active</x:v>
      </x:c>
      <x:c r="G5" s="28" t="str">
        <x:v>Approved</x:v>
      </x:c>
      <x:c r="H5" s="28" t="e">
        <x:f>HYPERLINK("https://ieeexplore.ieee.org/servlet/opac?punumber=11134778","Open IEEE Xplore")</x:f>
        <x:v>HYPERLINK is not implemented. linkLocation=https://ieeexplore.ieee.org/servlet/opac?punumber=11134778, friendlyName=Open IEEE Xplore</x:v>
      </x:c>
      <x:c r="I5" s="28" t="str">
        <x:v>—</x:v>
      </x:c>
      <x:c r="J5" s="28" t="str">
        <x:v>https://ieeexplore.ieee.org/servlet/opac?punumber=11134778</x:v>
      </x:c>
      <x:c r="K5" s="28" t="str"/>
    </x:row>
    <x:row r="6">
      <x:c r="A6" s="28" t="str">
        <x:v>1057-2017</x:v>
      </x:c>
      <x:c r="B6" s="28" t="str">
        <x:v>1057-2017 - IEEE Standard for Digitizing Waveform Recorders</x:v>
      </x:c>
      <x:c r="C6" s="28" t="str">
        <x:v>Core</x:v>
      </x:c>
      <x:c r="D6" s="28" t="str">
        <x:v>EE 201, EE 231</x:v>
      </x:c>
      <x:c r="E6" s="28" t="str">
        <x:v>Subscription / purchase</x:v>
      </x:c>
      <x:c r="F6" s="28" t="str">
        <x:v>Active</x:v>
      </x:c>
      <x:c r="G6" s="28" t="str">
        <x:v>Approved</x:v>
      </x:c>
      <x:c r="H6" s="28" t="e">
        <x:f>HYPERLINK("https://ieeexplore.ieee.org/servlet/opac?punumber=8291739","Open IEEE Xplore")</x:f>
        <x:v>HYPERLINK is not implemented. linkLocation=https://ieeexplore.ieee.org/servlet/opac?punumber=8291739, friendlyName=Open IEEE Xplore</x:v>
      </x:c>
      <x:c r="I6" s="28" t="str">
        <x:v>—</x:v>
      </x:c>
      <x:c r="J6" s="28" t="str">
        <x:v>https://ieeexplore.ieee.org/servlet/opac?punumber=8291739</x:v>
      </x:c>
      <x:c r="K6" s="28" t="str"/>
    </x:row>
    <x:row r="7">
      <x:c r="A7" s="28" t="str">
        <x:v>1076-2019</x:v>
      </x:c>
      <x:c r="B7" s="28" t="str">
        <x:v>1076-2019 - IEEE Standard for VHDL Language Reference Manual</x:v>
      </x:c>
      <x:c r="C7" s="28" t="str">
        <x:v>Core</x:v>
      </x:c>
      <x:c r="D7" s="28" t="str">
        <x:v>EE 221, EE 322</x:v>
      </x:c>
      <x:c r="E7" s="28" t="str">
        <x:v>Subscription / purchase</x:v>
      </x:c>
      <x:c r="F7" s="28" t="str">
        <x:v>Active</x:v>
      </x:c>
      <x:c r="G7" s="28" t="str">
        <x:v>Approved</x:v>
      </x:c>
      <x:c r="H7" s="28" t="e">
        <x:f>HYPERLINK("https://ieeexplore.ieee.org/servlet/opac?punumber=8938194","Open IEEE Xplore")</x:f>
        <x:v>HYPERLINK is not implemented. linkLocation=https://ieeexplore.ieee.org/servlet/opac?punumber=8938194, friendlyName=Open IEEE Xplore</x:v>
      </x:c>
      <x:c r="I7" s="28" t="str">
        <x:v>—</x:v>
      </x:c>
      <x:c r="J7" s="28" t="str">
        <x:v>https://ieeexplore.ieee.org/servlet/opac?punumber=8938194</x:v>
      </x:c>
      <x:c r="K7" s="28" t="str"/>
    </x:row>
    <x:row r="8">
      <x:c r="A8" s="28" t="str">
        <x:v>1110-2019</x:v>
      </x:c>
      <x:c r="B8" s="28" t="str">
        <x:v>1110-2019 - IEEE Guide for Synchronous Generator Modeling Practices and Parameter Verification with Applications in Power System Stability Analyses</x:v>
      </x:c>
      <x:c r="C8" s="28" t="str">
        <x:v>Advanced</x:v>
      </x:c>
      <x:c r="D8" s="28" t="str">
        <x:v>EE 304</x:v>
      </x:c>
      <x:c r="E8" s="28" t="str">
        <x:v>Subscription / purchase</x:v>
      </x:c>
      <x:c r="F8" s="28" t="str">
        <x:v>Active</x:v>
      </x:c>
      <x:c r="G8" s="28" t="str">
        <x:v>Approved</x:v>
      </x:c>
      <x:c r="H8" s="28" t="e">
        <x:f>HYPERLINK("https://ieeexplore.ieee.org/servlet/opac?punumber=9020272","Open IEEE Xplore")</x:f>
        <x:v>HYPERLINK is not implemented. linkLocation=https://ieeexplore.ieee.org/servlet/opac?punumber=9020272, friendlyName=Open IEEE Xplore</x:v>
      </x:c>
      <x:c r="I8" s="28" t="str">
        <x:v>—</x:v>
      </x:c>
      <x:c r="J8" s="28" t="str">
        <x:v>https://ieeexplore.ieee.org/servlet/opac?punumber=9020272</x:v>
      </x:c>
      <x:c r="K8" s="28" t="str"/>
    </x:row>
    <x:row r="9">
      <x:c r="A9" s="28" t="str">
        <x:v>112-2017</x:v>
      </x:c>
      <x:c r="B9" s="28" t="str">
        <x:v>112-2017 - IEEE Standard Test Procedure for Polyphase Induction Motors and Generators</x:v>
      </x:c>
      <x:c r="C9" s="28" t="str">
        <x:v>Core</x:v>
      </x:c>
      <x:c r="D9" s="28" t="str">
        <x:v>EE 304</x:v>
      </x:c>
      <x:c r="E9" s="28" t="str">
        <x:v>Subscription / purchase</x:v>
      </x:c>
      <x:c r="F9" s="28" t="str">
        <x:v>Active</x:v>
      </x:c>
      <x:c r="G9" s="28" t="str">
        <x:v>Approved</x:v>
      </x:c>
      <x:c r="H9" s="28" t="e">
        <x:f>HYPERLINK("https://ieeexplore.ieee.org/servlet/opac?punumber=8291808","Open IEEE Xplore")</x:f>
        <x:v>HYPERLINK is not implemented. linkLocation=https://ieeexplore.ieee.org/servlet/opac?punumber=8291808, friendlyName=Open IEEE Xplore</x:v>
      </x:c>
      <x:c r="I9" s="28" t="str">
        <x:v>—</x:v>
      </x:c>
      <x:c r="J9" s="28" t="str">
        <x:v>https://ieeexplore.ieee.org/servlet/opac?punumber=8291808</x:v>
      </x:c>
      <x:c r="K9" s="28" t="str"/>
    </x:row>
    <x:row r="10">
      <x:c r="A10" s="28" t="str">
        <x:v>1149.7-2022</x:v>
      </x:c>
      <x:c r="B10" s="28" t="str">
        <x:v>1149.7-2022 - IEEE Standard for Reduced-Pin and Enhanced-Functionality Test Access Port and Boundary-Scan Architecture</x:v>
      </x:c>
      <x:c r="C10" s="28" t="str">
        <x:v>Advanced</x:v>
      </x:c>
      <x:c r="D10" s="28" t="str">
        <x:v>EE 221, EE 322</x:v>
      </x:c>
      <x:c r="E10" s="28" t="str">
        <x:v>Subscription / purchase</x:v>
      </x:c>
      <x:c r="F10" s="28" t="str">
        <x:v>Active</x:v>
      </x:c>
      <x:c r="G10" s="28" t="str">
        <x:v>Approved</x:v>
      </x:c>
      <x:c r="H10" s="28" t="e">
        <x:f>HYPERLINK("https://ieeexplore.ieee.org/servlet/opac?punumber=9919138","Open IEEE Xplore")</x:f>
        <x:v>HYPERLINK is not implemented. linkLocation=https://ieeexplore.ieee.org/servlet/opac?punumber=9919138, friendlyName=Open IEEE Xplore</x:v>
      </x:c>
      <x:c r="I10" s="28" t="str">
        <x:v>—</x:v>
      </x:c>
      <x:c r="J10" s="28" t="str">
        <x:v>https://ieeexplore.ieee.org/servlet/opac?punumber=9919138</x:v>
      </x:c>
      <x:c r="K10" s="28" t="str"/>
    </x:row>
    <x:row r="11">
      <x:c r="A11" s="28" t="str">
        <x:v>115-2019</x:v>
      </x:c>
      <x:c r="B11" s="28" t="str">
        <x:v>115-2019 - IEEE Guide for Test Procedures for Synchronous Machines Including Acceptance and Performance Testing and Parameter Determination for Dynamic Analysis</x:v>
      </x:c>
      <x:c r="C11" s="28" t="str">
        <x:v>Core</x:v>
      </x:c>
      <x:c r="D11" s="28" t="str">
        <x:v>EE 304</x:v>
      </x:c>
      <x:c r="E11" s="28" t="str">
        <x:v>Subscription / purchase</x:v>
      </x:c>
      <x:c r="F11" s="28" t="str">
        <x:v>Active</x:v>
      </x:c>
      <x:c r="G11" s="28" t="str">
        <x:v>Approved</x:v>
      </x:c>
      <x:c r="H11" s="28" t="e">
        <x:f>HYPERLINK("https://ieeexplore.ieee.org/servlet/opac?punumber=9050932","Open IEEE Xplore")</x:f>
        <x:v>HYPERLINK is not implemented. linkLocation=https://ieeexplore.ieee.org/servlet/opac?punumber=9050932, friendlyName=Open IEEE Xplore</x:v>
      </x:c>
      <x:c r="I11" s="28" t="str">
        <x:v>—</x:v>
      </x:c>
      <x:c r="J11" s="28" t="str">
        <x:v>https://ieeexplore.ieee.org/servlet/opac?punumber=9050932</x:v>
      </x:c>
      <x:c r="K11" s="28" t="str"/>
    </x:row>
    <x:row r="12">
      <x:c r="A12" s="28" t="str">
        <x:v>1159-2019</x:v>
      </x:c>
      <x:c r="B12" s="28" t="str">
        <x:v>1159-2019 - IEEE Recommended Practice for Monitoring Electric Power Quality</x:v>
      </x:c>
      <x:c r="C12" s="28" t="str">
        <x:v>Core</x:v>
      </x:c>
      <x:c r="D12" s="28" t="str">
        <x:v>EE 202, EE 305, EE 403</x:v>
      </x:c>
      <x:c r="E12" s="28" t="str">
        <x:v>Subscription / purchase</x:v>
      </x:c>
      <x:c r="F12" s="28" t="str">
        <x:v>Active</x:v>
      </x:c>
      <x:c r="G12" s="28" t="str">
        <x:v>Approved</x:v>
      </x:c>
      <x:c r="H12" s="28" t="e">
        <x:f>HYPERLINK("https://ieeexplore.ieee.org/servlet/opac?punumber=8796484","Open IEEE Xplore")</x:f>
        <x:v>HYPERLINK is not implemented. linkLocation=https://ieeexplore.ieee.org/servlet/opac?punumber=8796484, friendlyName=Open IEEE Xplore</x:v>
      </x:c>
      <x:c r="I12" s="28" t="str">
        <x:v>—</x:v>
      </x:c>
      <x:c r="J12" s="28" t="str">
        <x:v>https://ieeexplore.ieee.org/servlet/opac?punumber=8796484</x:v>
      </x:c>
      <x:c r="K12" s="28" t="str"/>
    </x:row>
    <x:row r="13">
      <x:c r="A13" s="28" t="str">
        <x:v>120-2023</x:v>
      </x:c>
      <x:c r="B13" s="28" t="str">
        <x:v>120-2023 - IEEE Master Test Guide for Electrical Measurements in Power Circuits</x:v>
      </x:c>
      <x:c r="C13" s="28" t="str">
        <x:v>Useful</x:v>
      </x:c>
      <x:c r="D13" s="28" t="str">
        <x:v>EE 201, EE 202</x:v>
      </x:c>
      <x:c r="E13" s="28" t="str">
        <x:v>Subscription / purchase</x:v>
      </x:c>
      <x:c r="F13" s="28" t="str">
        <x:v>Active</x:v>
      </x:c>
      <x:c r="G13" s="28" t="str">
        <x:v>Approved</x:v>
      </x:c>
      <x:c r="H13" s="28" t="e">
        <x:f>HYPERLINK("https://ieeexplore.ieee.org/servlet/opac?punumber=10552206","Open IEEE Xplore")</x:f>
        <x:v>HYPERLINK is not implemented. linkLocation=https://ieeexplore.ieee.org/servlet/opac?punumber=10552206, friendlyName=Open IEEE Xplore</x:v>
      </x:c>
      <x:c r="I13" s="28" t="str">
        <x:v>—</x:v>
      </x:c>
      <x:c r="J13" s="28" t="str">
        <x:v>https://ieeexplore.ieee.org/servlet/opac?punumber=10552206</x:v>
      </x:c>
      <x:c r="K13" s="28" t="str"/>
    </x:row>
    <x:row r="14">
      <x:c r="A14" s="28" t="str">
        <x:v>1241-2023</x:v>
      </x:c>
      <x:c r="B14" s="28" t="str">
        <x:v>1241-2023 - IEEE Standard for Terminology and Test Methods for Analog-to-Digital Converters</x:v>
      </x:c>
      <x:c r="C14" s="28" t="str">
        <x:v>Core</x:v>
      </x:c>
      <x:c r="D14" s="28" t="str">
        <x:v>EE 231</x:v>
      </x:c>
      <x:c r="E14" s="28" t="str">
        <x:v>Subscription / purchase</x:v>
      </x:c>
      <x:c r="F14" s="28" t="str">
        <x:v>Active</x:v>
      </x:c>
      <x:c r="G14" s="28" t="str">
        <x:v>Approved</x:v>
      </x:c>
      <x:c r="H14" s="28" t="e">
        <x:f>HYPERLINK("https://ieeexplore.ieee.org/servlet/opac?punumber=10269813","Open IEEE Xplore")</x:f>
        <x:v>HYPERLINK is not implemented. linkLocation=https://ieeexplore.ieee.org/servlet/opac?punumber=10269813, friendlyName=Open IEEE Xplore</x:v>
      </x:c>
      <x:c r="I14" s="28" t="str">
        <x:v>—</x:v>
      </x:c>
      <x:c r="J14" s="28" t="str">
        <x:v>https://ieeexplore.ieee.org/servlet/opac?punumber=10269813</x:v>
      </x:c>
      <x:c r="K14" s="28" t="str"/>
    </x:row>
    <x:row r="15">
      <x:c r="A15" s="28" t="str">
        <x:v>145-2025</x:v>
      </x:c>
      <x:c r="B15" s="28" t="str">
        <x:v>145-2025 - IEEE Standard for Definitions of Terms for Antennas</x:v>
      </x:c>
      <x:c r="C15" s="28" t="str">
        <x:v>Useful</x:v>
      </x:c>
      <x:c r="D15" s="28" t="str">
        <x:v>EE 341</x:v>
      </x:c>
      <x:c r="E15" s="28" t="str">
        <x:v>Subscription / purchase</x:v>
      </x:c>
      <x:c r="F15" s="28" t="str">
        <x:v>Active</x:v>
      </x:c>
      <x:c r="G15" s="28" t="str">
        <x:v>Approved</x:v>
      </x:c>
      <x:c r="H15" s="28" t="e">
        <x:f>HYPERLINK("https://ieeexplore.ieee.org/servlet/opac?punumber=11459443","Open IEEE Xplore")</x:f>
        <x:v>HYPERLINK is not implemented. linkLocation=https://ieeexplore.ieee.org/servlet/opac?punumber=11459443, friendlyName=Open IEEE Xplore</x:v>
      </x:c>
      <x:c r="I15" s="28" t="str">
        <x:v>—</x:v>
      </x:c>
      <x:c r="J15" s="28" t="str">
        <x:v>https://ieeexplore.ieee.org/servlet/opac?punumber=11459443</x:v>
      </x:c>
      <x:c r="K15" s="28" t="str"/>
    </x:row>
    <x:row r="16">
      <x:c r="A16" s="28" t="str">
        <x:v>1451.0-2024</x:v>
      </x:c>
      <x:c r="B16" s="28" t="str">
        <x:v>1451.0-2024 - IEEE Standard for a Smart Transducer Interface for Sensors and Actuators--Common Functions, Communication Protocols, and Transducer Electronic Data Sheet (TEDS) Formats</x:v>
      </x:c>
      <x:c r="C16" s="28" t="str">
        <x:v>Useful</x:v>
      </x:c>
      <x:c r="D16" s="28" t="str">
        <x:v>EE 322, EE 332</x:v>
      </x:c>
      <x:c r="E16" s="28" t="str">
        <x:v>Subscription / purchase</x:v>
      </x:c>
      <x:c r="F16" s="28" t="str">
        <x:v>Active</x:v>
      </x:c>
      <x:c r="G16" s="28" t="str">
        <x:v>Approved</x:v>
      </x:c>
      <x:c r="H16" s="28" t="e">
        <x:f>HYPERLINK("https://ieeexplore.ieee.org/servlet/opac?punumber=10571826","Open IEEE Xplore")</x:f>
        <x:v>HYPERLINK is not implemented. linkLocation=https://ieeexplore.ieee.org/servlet/opac?punumber=10571826, friendlyName=Open IEEE Xplore</x:v>
      </x:c>
      <x:c r="I16" s="28" t="str">
        <x:v>—</x:v>
      </x:c>
      <x:c r="J16" s="28" t="str">
        <x:v>https://ieeexplore.ieee.org/servlet/opac?punumber=10571826</x:v>
      </x:c>
      <x:c r="K16" s="28" t="str"/>
    </x:row>
    <x:row r="17">
      <x:c r="A17" s="28" t="str">
        <x:v>149-2021</x:v>
      </x:c>
      <x:c r="B17" s="28" t="str">
        <x:v>149-2021 - IEEE Recommended Practice for Antenna Measurements</x:v>
      </x:c>
      <x:c r="C17" s="28" t="str">
        <x:v>Advanced</x:v>
      </x:c>
      <x:c r="D17" s="28" t="str">
        <x:v>EE 341</x:v>
      </x:c>
      <x:c r="E17" s="28" t="str">
        <x:v>Subscription / purchase</x:v>
      </x:c>
      <x:c r="F17" s="28" t="str">
        <x:v>Active</x:v>
      </x:c>
      <x:c r="G17" s="28" t="str">
        <x:v>Approved</x:v>
      </x:c>
      <x:c r="H17" s="28" t="e">
        <x:f>HYPERLINK("https://ieeexplore.ieee.org/servlet/opac?punumber=9714426","Open IEEE Xplore")</x:f>
        <x:v>HYPERLINK is not implemented. linkLocation=https://ieeexplore.ieee.org/servlet/opac?punumber=9714426, friendlyName=Open IEEE Xplore</x:v>
      </x:c>
      <x:c r="I17" s="28" t="str">
        <x:v>—</x:v>
      </x:c>
      <x:c r="J17" s="28" t="str">
        <x:v>https://ieeexplore.ieee.org/servlet/opac?punumber=9714426</x:v>
      </x:c>
      <x:c r="K17" s="28" t="str"/>
    </x:row>
    <x:row r="18">
      <x:c r="A18" s="28" t="str">
        <x:v>1500-2022</x:v>
      </x:c>
      <x:c r="B18" s="28" t="str">
        <x:v>1500-2022 - IEEE Standard Testability Method for Embedded Core-based Integrated Circuits</x:v>
      </x:c>
      <x:c r="C18" s="28" t="str">
        <x:v>Useful</x:v>
      </x:c>
      <x:c r="D18" s="28" t="str">
        <x:v>EE 211, EE 221, EE 312, EE 322</x:v>
      </x:c>
      <x:c r="E18" s="28" t="str">
        <x:v>Subscription / purchase</x:v>
      </x:c>
      <x:c r="F18" s="28" t="str">
        <x:v>Active</x:v>
      </x:c>
      <x:c r="G18" s="28" t="str">
        <x:v>Approved</x:v>
      </x:c>
      <x:c r="H18" s="28" t="e">
        <x:f>HYPERLINK("https://ieeexplore.ieee.org/servlet/opac?punumber=9916219","Open IEEE Xplore")</x:f>
        <x:v>HYPERLINK is not implemented. linkLocation=https://ieeexplore.ieee.org/servlet/opac?punumber=9916219, friendlyName=Open IEEE Xplore</x:v>
      </x:c>
      <x:c r="I18" s="28" t="str">
        <x:v>—</x:v>
      </x:c>
      <x:c r="J18" s="28" t="str">
        <x:v>https://ieeexplore.ieee.org/servlet/opac?punumber=9916219</x:v>
      </x:c>
      <x:c r="K18" s="28" t="str"/>
    </x:row>
    <x:row r="19">
      <x:c r="A19" s="28" t="str">
        <x:v>15288-2023</x:v>
      </x:c>
      <x:c r="B19" s="28" t="str">
        <x:v>15288-2023 - ISO/IEC/IEEE International Standard - Systems and software engineering--System life cycle processes</x:v>
      </x:c>
      <x:c r="C19" s="28" t="str">
        <x:v>Core</x:v>
      </x:c>
      <x:c r="D19" s="28" t="str">
        <x:v>EE 490</x:v>
      </x:c>
      <x:c r="E19" s="28" t="str">
        <x:v>Subscription / purchase</x:v>
      </x:c>
      <x:c r="F19" s="28" t="str">
        <x:v>Active</x:v>
      </x:c>
      <x:c r="G19" s="28" t="str">
        <x:v>Approved</x:v>
      </x:c>
      <x:c r="H19" s="28" t="e">
        <x:f>HYPERLINK("https://ieeexplore.ieee.org/servlet/opac?punumber=10123345","Open IEEE Xplore")</x:f>
        <x:v>HYPERLINK is not implemented. linkLocation=https://ieeexplore.ieee.org/servlet/opac?punumber=10123345, friendlyName=Open IEEE Xplore</x:v>
      </x:c>
      <x:c r="I19" s="28" t="str">
        <x:v>—</x:v>
      </x:c>
      <x:c r="J19" s="28" t="str">
        <x:v>https://ieeexplore.ieee.org/servlet/opac?punumber=10123345</x:v>
      </x:c>
      <x:c r="K19" s="28" t="str"/>
    </x:row>
    <x:row r="20">
      <x:c r="A20" s="28" t="str">
        <x:v>1547-2018</x:v>
      </x:c>
      <x:c r="B20" s="28" t="str">
        <x:v>1547-2018 - IEEE Standard for Interconnection and Interoperability of Distributed Energy Resources with Associated Electric Power Systems Interfaces</x:v>
      </x:c>
      <x:c r="C20" s="28" t="str">
        <x:v>Useful</x:v>
      </x:c>
      <x:c r="D20" s="28" t="str">
        <x:v>EE 305, EE 403</x:v>
      </x:c>
      <x:c r="E20" s="28" t="str">
        <x:v>Subscription / purchase</x:v>
      </x:c>
      <x:c r="F20" s="28" t="str">
        <x:v>Active</x:v>
      </x:c>
      <x:c r="G20" s="28" t="str">
        <x:v>Approved</x:v>
      </x:c>
      <x:c r="H20" s="28" t="e">
        <x:f>HYPERLINK("https://ieeexplore.ieee.org/servlet/opac?punumber=8332110","Open IEEE Xplore")</x:f>
        <x:v>HYPERLINK is not implemented. linkLocation=https://ieeexplore.ieee.org/servlet/opac?punumber=8332110, friendlyName=Open IEEE Xplore</x:v>
      </x:c>
      <x:c r="I20" s="28" t="str">
        <x:v>—</x:v>
      </x:c>
      <x:c r="J20" s="28" t="str">
        <x:v>https://ieeexplore.ieee.org/servlet/opac?punumber=8332110</x:v>
      </x:c>
      <x:c r="K20" s="28" t="str"/>
    </x:row>
    <x:row r="21">
      <x:c r="A21" s="28" t="str">
        <x:v>1547.1-2020</x:v>
      </x:c>
      <x:c r="B21" s="28" t="str">
        <x:v>1547.1-2020 - IEEE Standard Conformance Test Procedures for Equipment Interconnecting Distributed Energy Resources with Electric Power Systems and Associated Interfaces</x:v>
      </x:c>
      <x:c r="C21" s="28" t="str">
        <x:v>Advanced</x:v>
      </x:c>
      <x:c r="D21" s="28" t="str">
        <x:v>EE 305</x:v>
      </x:c>
      <x:c r="E21" s="28" t="str">
        <x:v>Subscription / purchase</x:v>
      </x:c>
      <x:c r="F21" s="28" t="str">
        <x:v>Active</x:v>
      </x:c>
      <x:c r="G21" s="28" t="str">
        <x:v>Approved</x:v>
      </x:c>
      <x:c r="H21" s="28" t="e">
        <x:f>HYPERLINK("https://ieeexplore.ieee.org/servlet/opac?punumber=9097532","Open IEEE Xplore")</x:f>
        <x:v>HYPERLINK is not implemented. linkLocation=https://ieeexplore.ieee.org/servlet/opac?punumber=9097532, friendlyName=Open IEEE Xplore</x:v>
      </x:c>
      <x:c r="I21" s="28" t="str">
        <x:v>—</x:v>
      </x:c>
      <x:c r="J21" s="28" t="str">
        <x:v>https://ieeexplore.ieee.org/servlet/opac?punumber=9097532</x:v>
      </x:c>
      <x:c r="K21" s="28" t="str"/>
    </x:row>
    <x:row r="22">
      <x:c r="A22" s="28" t="str">
        <x:v>1573-2021</x:v>
      </x:c>
      <x:c r="B22" s="28" t="str">
        <x:v>1573-2021 - IEEE Recommended Practice for Electronic Power Subsystems: Parameters, Interfaces, Elements, and Performance</x:v>
      </x:c>
      <x:c r="C22" s="28" t="str">
        <x:v>Useful</x:v>
      </x:c>
      <x:c r="D22" s="28" t="str">
        <x:v>EE 211, EE 312</x:v>
      </x:c>
      <x:c r="E22" s="28" t="str">
        <x:v>Subscription / purchase</x:v>
      </x:c>
      <x:c r="F22" s="28" t="str">
        <x:v>Active</x:v>
      </x:c>
      <x:c r="G22" s="28" t="str">
        <x:v>Approved</x:v>
      </x:c>
      <x:c r="H22" s="28" t="e">
        <x:f>HYPERLINK("https://ieeexplore.ieee.org/servlet/opac?punumber=9775770","Open IEEE Xplore")</x:f>
        <x:v>HYPERLINK is not implemented. linkLocation=https://ieeexplore.ieee.org/servlet/opac?punumber=9775770, friendlyName=Open IEEE Xplore</x:v>
      </x:c>
      <x:c r="I22" s="28" t="str">
        <x:v>—</x:v>
      </x:c>
      <x:c r="J22" s="28" t="str">
        <x:v>https://ieeexplore.ieee.org/servlet/opac?punumber=9775770</x:v>
      </x:c>
      <x:c r="K22" s="28" t="str"/>
    </x:row>
    <x:row r="23">
      <x:c r="A23" s="28" t="str">
        <x:v>1588-2019</x:v>
      </x:c>
      <x:c r="B23" s="28" t="str">
        <x:v>1588-2019 - IEEE Standard for a Precision Clock Synchronization Protocol for Networked Measurement and Control Systems</x:v>
      </x:c>
      <x:c r="C23" s="28" t="str">
        <x:v>Useful</x:v>
      </x:c>
      <x:c r="D23" s="28" t="str">
        <x:v>EE 332</x:v>
      </x:c>
      <x:c r="E23" s="28" t="str">
        <x:v>Subscription / purchase</x:v>
      </x:c>
      <x:c r="F23" s="28" t="str">
        <x:v>Active</x:v>
      </x:c>
      <x:c r="G23" s="28" t="str">
        <x:v>Approved</x:v>
      </x:c>
      <x:c r="H23" s="28" t="e">
        <x:f>HYPERLINK("https://ieeexplore.ieee.org/servlet/opac?punumber=9120374","Open IEEE Xplore")</x:f>
        <x:v>HYPERLINK is not implemented. linkLocation=https://ieeexplore.ieee.org/servlet/opac?punumber=9120374, friendlyName=Open IEEE Xplore</x:v>
      </x:c>
      <x:c r="I23" s="28" t="str">
        <x:v>—</x:v>
      </x:c>
      <x:c r="J23" s="28" t="str">
        <x:v>https://ieeexplore.ieee.org/servlet/opac?punumber=9120374</x:v>
      </x:c>
      <x:c r="K23" s="28" t="str"/>
    </x:row>
    <x:row r="24">
      <x:c r="A24" s="28" t="str">
        <x:v>1597.1-2022</x:v>
      </x:c>
      <x:c r="B24" s="28" t="str">
        <x:v>1597.1-2022 - IEEE Standard for Validation of Computational Electromagnetics Computer Modeling and Simulations</x:v>
      </x:c>
      <x:c r="C24" s="28" t="str">
        <x:v>Useful</x:v>
      </x:c>
      <x:c r="D24" s="28" t="str">
        <x:v>EE 341</x:v>
      </x:c>
      <x:c r="E24" s="28" t="str">
        <x:v>Subscription / purchase</x:v>
      </x:c>
      <x:c r="F24" s="28" t="str">
        <x:v>Active</x:v>
      </x:c>
      <x:c r="G24" s="28" t="str">
        <x:v>Approved</x:v>
      </x:c>
      <x:c r="H24" s="28" t="e">
        <x:f>HYPERLINK("https://ieeexplore.ieee.org/servlet/opac?punumber=10251757","Open IEEE Xplore")</x:f>
        <x:v>HYPERLINK is not implemented. linkLocation=https://ieeexplore.ieee.org/servlet/opac?punumber=10251757, friendlyName=Open IEEE Xplore</x:v>
      </x:c>
      <x:c r="I24" s="28" t="str">
        <x:v>—</x:v>
      </x:c>
      <x:c r="J24" s="28" t="str">
        <x:v>https://ieeexplore.ieee.org/servlet/opac?punumber=10251757</x:v>
      </x:c>
      <x:c r="K24" s="28" t="str"/>
    </x:row>
    <x:row r="25">
      <x:c r="A25" s="28" t="str">
        <x:v>16085-2020</x:v>
      </x:c>
      <x:c r="B25" s="28" t="str">
        <x:v>16085-2020 - ISO/IEC/IEEE International Standard - Systems and software engineering -- Life cycle processes -- Risk management</x:v>
      </x:c>
      <x:c r="C25" s="28" t="str">
        <x:v>Core</x:v>
      </x:c>
      <x:c r="D25" s="28" t="str">
        <x:v>EE 490</x:v>
      </x:c>
      <x:c r="E25" s="28" t="str">
        <x:v>Subscription / purchase</x:v>
      </x:c>
      <x:c r="F25" s="28" t="str">
        <x:v>Active</x:v>
      </x:c>
      <x:c r="G25" s="28" t="str">
        <x:v>Approved</x:v>
      </x:c>
      <x:c r="H25" s="28" t="e">
        <x:f>HYPERLINK("https://ieeexplore.ieee.org/servlet/opac?punumber=9325906","Open IEEE Xplore")</x:f>
        <x:v>HYPERLINK is not implemented. linkLocation=https://ieeexplore.ieee.org/servlet/opac?punumber=9325906, friendlyName=Open IEEE Xplore</x:v>
      </x:c>
      <x:c r="I25" s="28" t="str">
        <x:v>—</x:v>
      </x:c>
      <x:c r="J25" s="28" t="str">
        <x:v>https://ieeexplore.ieee.org/servlet/opac?punumber=9325906</x:v>
      </x:c>
      <x:c r="K25" s="28" t="str"/>
    </x:row>
    <x:row r="26">
      <x:c r="A26" s="28" t="str">
        <x:v>1662-2023</x:v>
      </x:c>
      <x:c r="B26" s="28" t="str">
        <x:v>1662-2023 - IEEE Recommended Practice for the Design and Application of Power Electronics in Electrical Power Systems</x:v>
      </x:c>
      <x:c r="C26" s="28" t="str">
        <x:v>Core</x:v>
      </x:c>
      <x:c r="D26" s="28" t="str">
        <x:v>EE 305</x:v>
      </x:c>
      <x:c r="E26" s="28" t="str">
        <x:v>Subscription / purchase</x:v>
      </x:c>
      <x:c r="F26" s="28" t="str">
        <x:v>Active</x:v>
      </x:c>
      <x:c r="G26" s="28" t="str">
        <x:v>Approved</x:v>
      </x:c>
      <x:c r="H26" s="28" t="e">
        <x:f>HYPERLINK("https://ieeexplore.ieee.org/servlet/opac?punumber=10492706","Open IEEE Xplore")</x:f>
        <x:v>HYPERLINK is not implemented. linkLocation=https://ieeexplore.ieee.org/servlet/opac?punumber=10492706, friendlyName=Open IEEE Xplore</x:v>
      </x:c>
      <x:c r="I26" s="28" t="str">
        <x:v>—</x:v>
      </x:c>
      <x:c r="J26" s="28" t="str">
        <x:v>https://ieeexplore.ieee.org/servlet/opac?punumber=10492706</x:v>
      </x:c>
      <x:c r="K26" s="28" t="str"/>
    </x:row>
    <x:row r="27">
      <x:c r="A27" s="28" t="str">
        <x:v>1685-2022</x:v>
      </x:c>
      <x:c r="B27" s="28" t="str">
        <x:v>1685-2022 - IEEE Standard for IP-XACT, Standard Structure for Packaging, Integrating, and Reusing IP within Tool Flows</x:v>
      </x:c>
      <x:c r="C27" s="28" t="str">
        <x:v>Useful</x:v>
      </x:c>
      <x:c r="D27" s="28" t="str">
        <x:v>EE 221, EE 322</x:v>
      </x:c>
      <x:c r="E27" s="28" t="str">
        <x:v>Free — IEEE GET</x:v>
      </x:c>
      <x:c r="F27" s="28" t="str">
        <x:v>Active</x:v>
      </x:c>
      <x:c r="G27" s="28" t="str">
        <x:v>Approved</x:v>
      </x:c>
      <x:c r="H27" s="28" t="e">
        <x:f>HYPERLINK("https://ieeexplore.ieee.org/servlet/opac?punumber=10054518","Open IEEE Xplore")</x:f>
        <x:v>HYPERLINK is not implemented. linkLocation=https://ieeexplore.ieee.org/servlet/opac?punumber=10054518, friendlyName=Open IEEE Xplore</x:v>
      </x:c>
      <x:c r="I27" s="28" t="e">
        <x:f>HYPERLINK("https://ieeexplore.ieee.org/browse/standards/get-program/page/series?id=80","Free via IEEE GET")</x:f>
        <x:v>HYPERLINK is not implemented. linkLocation=https://ieeexplore.ieee.org/browse/standards/get-program/page/series?id=80, friendlyName=Free via IEEE GET</x:v>
      </x:c>
      <x:c r="J27" s="28" t="str">
        <x:v>https://ieeexplore.ieee.org/servlet/opac?punumber=10054518</x:v>
      </x:c>
      <x:c r="K27" s="28" t="str">
        <x:v>https://ieeexplore.ieee.org/browse/standards/get-program/page/series?id=80</x:v>
      </x:c>
    </x:row>
    <x:row r="28">
      <x:c r="A28" s="28" t="str">
        <x:v>1735-2023</x:v>
      </x:c>
      <x:c r="B28" s="28" t="str">
        <x:v>1735-2023 - IEEE Recommended Practice for Encryption and Management of Electronic Design Intellectual Property (IP)</x:v>
      </x:c>
      <x:c r="C28" s="28" t="str">
        <x:v>Advanced</x:v>
      </x:c>
      <x:c r="D28" s="28" t="str">
        <x:v>EE 221, EE 312, EE 322</x:v>
      </x:c>
      <x:c r="E28" s="28" t="str">
        <x:v>Free — IEEE GET</x:v>
      </x:c>
      <x:c r="F28" s="28" t="str">
        <x:v>Active</x:v>
      </x:c>
      <x:c r="G28" s="28" t="str">
        <x:v>Approved</x:v>
      </x:c>
      <x:c r="H28" s="28" t="e">
        <x:f>HYPERLINK("https://ieeexplore.ieee.org/servlet/opac?punumber=10328534","Open IEEE Xplore")</x:f>
        <x:v>HYPERLINK is not implemented. linkLocation=https://ieeexplore.ieee.org/servlet/opac?punumber=10328534, friendlyName=Open IEEE Xplore</x:v>
      </x:c>
      <x:c r="I28" s="28" t="e">
        <x:f>HYPERLINK("https://ieeexplore.ieee.org/browse/standards/get-program/page/series?id=80","Free via IEEE GET")</x:f>
        <x:v>HYPERLINK is not implemented. linkLocation=https://ieeexplore.ieee.org/browse/standards/get-program/page/series?id=80, friendlyName=Free via IEEE GET</x:v>
      </x:c>
      <x:c r="J28" s="28" t="str">
        <x:v>https://ieeexplore.ieee.org/servlet/opac?punumber=10328534</x:v>
      </x:c>
      <x:c r="K28" s="28" t="str">
        <x:v>https://ieeexplore.ieee.org/browse/standards/get-program/page/series?id=80</x:v>
      </x:c>
    </x:row>
    <x:row r="29">
      <x:c r="A29" s="28" t="str">
        <x:v>1765-2022</x:v>
      </x:c>
      <x:c r="B29" s="28" t="str">
        <x:v>1765-2022 - IEEE Recommended Practice for Estimating the Uncertainty in Error Vector Magnitude of Measured Digitally Modulated Signals for Wireless Communications</x:v>
      </x:c>
      <x:c r="C29" s="28" t="str">
        <x:v>Core</x:v>
      </x:c>
      <x:c r="D29" s="28" t="str">
        <x:v>EE 351</x:v>
      </x:c>
      <x:c r="E29" s="28" t="str">
        <x:v>Subscription / purchase</x:v>
      </x:c>
      <x:c r="F29" s="28" t="str">
        <x:v>Active</x:v>
      </x:c>
      <x:c r="G29" s="28" t="str">
        <x:v>Approved</x:v>
      </x:c>
      <x:c r="H29" s="28" t="e">
        <x:f>HYPERLINK("https://ieeexplore.ieee.org/servlet/opac?punumber=9942921","Open IEEE Xplore")</x:f>
        <x:v>HYPERLINK is not implemented. linkLocation=https://ieeexplore.ieee.org/servlet/opac?punumber=9942921, friendlyName=Open IEEE Xplore</x:v>
      </x:c>
      <x:c r="I29" s="28" t="str">
        <x:v>—</x:v>
      </x:c>
      <x:c r="J29" s="28" t="str">
        <x:v>https://ieeexplore.ieee.org/servlet/opac?punumber=9942921</x:v>
      </x:c>
      <x:c r="K29" s="28" t="str"/>
    </x:row>
    <x:row r="30">
      <x:c r="A30" s="28" t="str">
        <x:v>1800-2023</x:v>
      </x:c>
      <x:c r="B30" s="28" t="str">
        <x:v>1800-2023 - IEEE Standard for SystemVerilog--Unified Hardware Design, Specification, and Verification Language</x:v>
      </x:c>
      <x:c r="C30" s="28" t="str">
        <x:v>Useful</x:v>
      </x:c>
      <x:c r="D30" s="28" t="str">
        <x:v>EE 221, EE 322</x:v>
      </x:c>
      <x:c r="E30" s="28" t="str">
        <x:v>Free — IEEE GET</x:v>
      </x:c>
      <x:c r="F30" s="28" t="str">
        <x:v>Active</x:v>
      </x:c>
      <x:c r="G30" s="28" t="str">
        <x:v>Approved</x:v>
      </x:c>
      <x:c r="H30" s="28" t="e">
        <x:f>HYPERLINK("https://ieeexplore.ieee.org/servlet/opac?punumber=10458100","Open IEEE Xplore")</x:f>
        <x:v>HYPERLINK is not implemented. linkLocation=https://ieeexplore.ieee.org/servlet/opac?punumber=10458100, friendlyName=Open IEEE Xplore</x:v>
      </x:c>
      <x:c r="I30" s="28" t="e">
        <x:f>HYPERLINK("https://ieeexplore.ieee.org/browse/standards/get-program/page/series?id=80","Free via IEEE GET")</x:f>
        <x:v>HYPERLINK is not implemented. linkLocation=https://ieeexplore.ieee.org/browse/standards/get-program/page/series?id=80, friendlyName=Free via IEEE GET</x:v>
      </x:c>
      <x:c r="J30" s="28" t="str">
        <x:v>https://ieeexplore.ieee.org/servlet/opac?punumber=10458100</x:v>
      </x:c>
      <x:c r="K30" s="28" t="str">
        <x:v>https://ieeexplore.ieee.org/browse/standards/get-program/page/series?id=80</x:v>
      </x:c>
    </x:row>
    <x:row r="31">
      <x:c r="A31" s="28" t="str">
        <x:v>1801-2024</x:v>
      </x:c>
      <x:c r="B31" s="28" t="str">
        <x:v>1801-2024 - IEEE Standard for Design and Verification of Low-Power Energy-Aware Electronic Systems</x:v>
      </x:c>
      <x:c r="C31" s="28" t="str">
        <x:v>Useful</x:v>
      </x:c>
      <x:c r="D31" s="28" t="str">
        <x:v>EE 211, EE 312</x:v>
      </x:c>
      <x:c r="E31" s="28" t="str">
        <x:v>Free — IEEE GET</x:v>
      </x:c>
      <x:c r="F31" s="28" t="str">
        <x:v>Active</x:v>
      </x:c>
      <x:c r="G31" s="28" t="str">
        <x:v>Approved</x:v>
      </x:c>
      <x:c r="H31" s="28" t="e">
        <x:f>HYPERLINK("https://ieeexplore.ieee.org/servlet/opac?punumber=10910080","Open IEEE Xplore")</x:f>
        <x:v>HYPERLINK is not implemented. linkLocation=https://ieeexplore.ieee.org/servlet/opac?punumber=10910080, friendlyName=Open IEEE Xplore</x:v>
      </x:c>
      <x:c r="I31" s="28" t="e">
        <x:f>HYPERLINK("https://ieeexplore.ieee.org/browse/standards/get-program/page/series?id=80","Free via IEEE GET")</x:f>
        <x:v>HYPERLINK is not implemented. linkLocation=https://ieeexplore.ieee.org/browse/standards/get-program/page/series?id=80, friendlyName=Free via IEEE GET</x:v>
      </x:c>
      <x:c r="J31" s="28" t="str">
        <x:v>https://ieeexplore.ieee.org/servlet/opac?punumber=10910080</x:v>
      </x:c>
      <x:c r="K31" s="28" t="str">
        <x:v>https://ieeexplore.ieee.org/browse/standards/get-program/page/series?id=80</x:v>
      </x:c>
    </x:row>
    <x:row r="32">
      <x:c r="A32" s="28" t="str">
        <x:v>187-2018</x:v>
      </x:c>
      <x:c r="B32" s="28" t="str">
        <x:v>187-2018 - IEEE Standard for Measurement of Emissions from FM and Television Broadcast Receivers in the Frequency Range of 9 kHz to 40 GHz</x:v>
      </x:c>
      <x:c r="C32" s="28" t="str">
        <x:v>Advanced</x:v>
      </x:c>
      <x:c r="D32" s="28" t="str">
        <x:v>EE 351</x:v>
      </x:c>
      <x:c r="E32" s="28" t="str">
        <x:v>Subscription / purchase</x:v>
      </x:c>
      <x:c r="F32" s="28" t="str">
        <x:v>Active</x:v>
      </x:c>
      <x:c r="G32" s="28" t="str">
        <x:v>Approved</x:v>
      </x:c>
      <x:c r="H32" s="28" t="e">
        <x:f>HYPERLINK("https://ieeexplore.ieee.org/servlet/opac?punumber=8370301","Open IEEE Xplore")</x:f>
        <x:v>HYPERLINK is not implemented. linkLocation=https://ieeexplore.ieee.org/servlet/opac?punumber=8370301, friendlyName=Open IEEE Xplore</x:v>
      </x:c>
      <x:c r="I32" s="28" t="str">
        <x:v>—</x:v>
      </x:c>
      <x:c r="J32" s="28" t="str">
        <x:v>https://ieeexplore.ieee.org/servlet/opac?punumber=8370301</x:v>
      </x:c>
      <x:c r="K32" s="28" t="str"/>
    </x:row>
    <x:row r="33">
      <x:c r="A33" s="28" t="str">
        <x:v>1900.1-2019</x:v>
      </x:c>
      <x:c r="B33" s="28" t="str">
        <x:v>1900.1-2019 - IEEE Standard for Definitions and Concepts for Dynamic Spectrum Access: Terminology Relating to Emerging Wireless Networks, System Functionality, and Spectrum Management</x:v>
      </x:c>
      <x:c r="C33" s="28" t="str">
        <x:v>Advanced</x:v>
      </x:c>
      <x:c r="D33" s="28" t="str">
        <x:v>EE 351</x:v>
      </x:c>
      <x:c r="E33" s="28" t="str">
        <x:v>Subscription / purchase</x:v>
      </x:c>
      <x:c r="F33" s="28" t="str">
        <x:v>Active</x:v>
      </x:c>
      <x:c r="G33" s="28" t="str">
        <x:v>Approved</x:v>
      </x:c>
      <x:c r="H33" s="28" t="e">
        <x:f>HYPERLINK("https://ieeexplore.ieee.org/servlet/opac?punumber=8694193","Open IEEE Xplore")</x:f>
        <x:v>HYPERLINK is not implemented. linkLocation=https://ieeexplore.ieee.org/servlet/opac?punumber=8694193, friendlyName=Open IEEE Xplore</x:v>
      </x:c>
      <x:c r="I33" s="28" t="str">
        <x:v>—</x:v>
      </x:c>
      <x:c r="J33" s="28" t="str">
        <x:v>https://ieeexplore.ieee.org/servlet/opac?punumber=8694193</x:v>
      </x:c>
      <x:c r="K33" s="28" t="str"/>
    </x:row>
    <x:row r="34">
      <x:c r="A34" s="28" t="str">
        <x:v>21451-001-2017</x:v>
      </x:c>
      <x:c r="B34" s="28" t="str">
        <x:v>21451-001-2017 - IEEE Recommended Practice for Signal Treatment Applied to Smart Transducers</x:v>
      </x:c>
      <x:c r="C34" s="28" t="str">
        <x:v>Advanced</x:v>
      </x:c>
      <x:c r="D34" s="28" t="str">
        <x:v>EE 332</x:v>
      </x:c>
      <x:c r="E34" s="28" t="str">
        <x:v>Subscription / purchase</x:v>
      </x:c>
      <x:c r="F34" s="28" t="str">
        <x:v>Active</x:v>
      </x:c>
      <x:c r="G34" s="28" t="str">
        <x:v>Approved</x:v>
      </x:c>
      <x:c r="H34" s="28" t="e">
        <x:f>HYPERLINK("https://ieeexplore.ieee.org/servlet/opac?punumber=8227037","Open IEEE Xplore")</x:f>
        <x:v>HYPERLINK is not implemented. linkLocation=https://ieeexplore.ieee.org/servlet/opac?punumber=8227037, friendlyName=Open IEEE Xplore</x:v>
      </x:c>
      <x:c r="I34" s="28" t="str">
        <x:v>—</x:v>
      </x:c>
      <x:c r="J34" s="28" t="str">
        <x:v>https://ieeexplore.ieee.org/servlet/opac?punumber=8227037</x:v>
      </x:c>
      <x:c r="K34" s="28" t="str"/>
    </x:row>
    <x:row r="35">
      <x:c r="A35" s="28" t="str">
        <x:v>24748-2-2024</x:v>
      </x:c>
      <x:c r="B35" s="28" t="str">
        <x:v>24748-2-2024 - ISO/IEC/IEEE International Standard - Systems and software engineering--Life cycle management--Part 2: Guidelines for the application of ISO/IEC/IEEE 15288 (System life cycle processes)</x:v>
      </x:c>
      <x:c r="C35" s="28" t="str">
        <x:v>Useful</x:v>
      </x:c>
      <x:c r="D35" s="28" t="str">
        <x:v>EE 490</x:v>
      </x:c>
      <x:c r="E35" s="28" t="str">
        <x:v>Subscription / purchase</x:v>
      </x:c>
      <x:c r="F35" s="28" t="str">
        <x:v>Active</x:v>
      </x:c>
      <x:c r="G35" s="28" t="str">
        <x:v>Approved</x:v>
      </x:c>
      <x:c r="H35" s="28" t="e">
        <x:f>HYPERLINK("https://ieeexplore.ieee.org/servlet/opac?punumber=10476371","Open IEEE Xplore")</x:f>
        <x:v>HYPERLINK is not implemented. linkLocation=https://ieeexplore.ieee.org/servlet/opac?punumber=10476371, friendlyName=Open IEEE Xplore</x:v>
      </x:c>
      <x:c r="I35" s="28" t="str">
        <x:v>—</x:v>
      </x:c>
      <x:c r="J35" s="28" t="str">
        <x:v>https://ieeexplore.ieee.org/servlet/opac?punumber=10476371</x:v>
      </x:c>
      <x:c r="K35" s="28" t="str"/>
    </x:row>
    <x:row r="36">
      <x:c r="A36" s="28" t="str">
        <x:v>24748-4-2025</x:v>
      </x:c>
      <x:c r="B36" s="28" t="str">
        <x:v>24748-4-2025 - ISO/IEC/IEEE International Standard - Systems and Software Engineering -- Life Cycle Management -- Part 4: Systems Engineering Management Planning</x:v>
      </x:c>
      <x:c r="C36" s="28" t="str">
        <x:v>Useful</x:v>
      </x:c>
      <x:c r="D36" s="28" t="str">
        <x:v>EE 490</x:v>
      </x:c>
      <x:c r="E36" s="28" t="str">
        <x:v>Subscription / purchase</x:v>
      </x:c>
      <x:c r="F36" s="28" t="str">
        <x:v>Active</x:v>
      </x:c>
      <x:c r="G36" s="28" t="str">
        <x:v>Approved</x:v>
      </x:c>
      <x:c r="H36" s="28" t="e">
        <x:f>HYPERLINK("https://ieeexplore.ieee.org/servlet/opac?punumber=11396462","Open IEEE Xplore")</x:f>
        <x:v>HYPERLINK is not implemented. linkLocation=https://ieeexplore.ieee.org/servlet/opac?punumber=11396462, friendlyName=Open IEEE Xplore</x:v>
      </x:c>
      <x:c r="I36" s="28" t="str">
        <x:v>—</x:v>
      </x:c>
      <x:c r="J36" s="28" t="str">
        <x:v>https://ieeexplore.ieee.org/servlet/opac?punumber=11396462</x:v>
      </x:c>
      <x:c r="K36" s="28" t="str"/>
    </x:row>
    <x:row r="37">
      <x:c r="A37" s="28" t="str">
        <x:v>24748-7000-2022</x:v>
      </x:c>
      <x:c r="B37" s="28" t="str">
        <x:v>24748-7000-2022 - IEEE/ISO/IEC International Standard--Systems and software engineering--Life cycle management--Part 7000: Standard model process for addressing ethical concerns during system design</x:v>
      </x:c>
      <x:c r="C37" s="28" t="str">
        <x:v>Advanced</x:v>
      </x:c>
      <x:c r="D37" s="28" t="str">
        <x:v>EE 490</x:v>
      </x:c>
      <x:c r="E37" s="28" t="str">
        <x:v>Free — IEEE GET</x:v>
      </x:c>
      <x:c r="F37" s="28" t="str">
        <x:v>Active</x:v>
      </x:c>
      <x:c r="G37" s="28" t="str">
        <x:v>Approved</x:v>
      </x:c>
      <x:c r="H37" s="28" t="e">
        <x:f>HYPERLINK("https://ieeexplore.ieee.org/servlet/opac?punumber=9967785","Open IEEE Xplore")</x:f>
        <x:v>HYPERLINK is not implemented. linkLocation=https://ieeexplore.ieee.org/servlet/opac?punumber=9967785, friendlyName=Open IEEE Xplore</x:v>
      </x:c>
      <x:c r="I37" s="28" t="e">
        <x:f>HYPERLINK("https://ieeexplore.ieee.org/browse/standards/get-program/page/series?id=93","Free via IEEE GET")</x:f>
        <x:v>HYPERLINK is not implemented. linkLocation=https://ieeexplore.ieee.org/browse/standards/get-program/page/series?id=93, friendlyName=Free via IEEE GET</x:v>
      </x:c>
      <x:c r="J37" s="28" t="str">
        <x:v>https://ieeexplore.ieee.org/servlet/opac?punumber=9967785</x:v>
      </x:c>
      <x:c r="K37" s="28" t="str">
        <x:v>https://ieeexplore.ieee.org/browse/standards/get-program/page/series?id=93</x:v>
      </x:c>
    </x:row>
    <x:row r="38">
      <x:c r="A38" s="28" t="str">
        <x:v>260.1-2024</x:v>
      </x:c>
      <x:c r="B38" s="28" t="str">
        <x:v>260.1-2024 - IEEE Standard for Letter Symbols for Measurement Units (SI and Other Common Units)</x:v>
      </x:c>
      <x:c r="C38" s="28" t="str">
        <x:v>Core</x:v>
      </x:c>
      <x:c r="D38" s="28" t="str">
        <x:v>EE 201</x:v>
      </x:c>
      <x:c r="E38" s="28" t="str">
        <x:v>Subscription / purchase</x:v>
      </x:c>
      <x:c r="F38" s="28" t="str">
        <x:v>Active</x:v>
      </x:c>
      <x:c r="G38" s="28" t="str">
        <x:v>Approved</x:v>
      </x:c>
      <x:c r="H38" s="28" t="e">
        <x:f>HYPERLINK("https://ieeexplore.ieee.org/servlet/opac?punumber=10530227","Open IEEE Xplore")</x:f>
        <x:v>HYPERLINK is not implemented. linkLocation=https://ieeexplore.ieee.org/servlet/opac?punumber=10530227, friendlyName=Open IEEE Xplore</x:v>
      </x:c>
      <x:c r="I38" s="28" t="str">
        <x:v>—</x:v>
      </x:c>
      <x:c r="J38" s="28" t="str">
        <x:v>https://ieeexplore.ieee.org/servlet/opac?punumber=10530227</x:v>
      </x:c>
      <x:c r="K38" s="28" t="str"/>
    </x:row>
    <x:row r="39">
      <x:c r="A39" s="28" t="str">
        <x:v>2700-2017</x:v>
      </x:c>
      <x:c r="B39" s="28" t="str">
        <x:v>2700-2017 - IEEE Standard for Sensor Performance Parameter Definitions</x:v>
      </x:c>
      <x:c r="C39" s="28" t="str">
        <x:v>Core</x:v>
      </x:c>
      <x:c r="D39" s="28" t="str">
        <x:v>EE 231, EE 332</x:v>
      </x:c>
      <x:c r="E39" s="28" t="str">
        <x:v>Subscription / purchase</x:v>
      </x:c>
      <x:c r="F39" s="28" t="str">
        <x:v>Active</x:v>
      </x:c>
      <x:c r="G39" s="28" t="str">
        <x:v>Approved</x:v>
      </x:c>
      <x:c r="H39" s="28" t="e">
        <x:f>HYPERLINK("https://ieeexplore.ieee.org/servlet/opac?punumber=8277145","Open IEEE Xplore")</x:f>
        <x:v>HYPERLINK is not implemented. linkLocation=https://ieeexplore.ieee.org/servlet/opac?punumber=8277145, friendlyName=Open IEEE Xplore</x:v>
      </x:c>
      <x:c r="I39" s="28" t="str">
        <x:v>—</x:v>
      </x:c>
      <x:c r="J39" s="28" t="str">
        <x:v>https://ieeexplore.ieee.org/servlet/opac?punumber=8277145</x:v>
      </x:c>
      <x:c r="K39" s="28" t="str"/>
    </x:row>
    <x:row r="40">
      <x:c r="A40" s="28" t="str">
        <x:v>280-2021</x:v>
      </x:c>
      <x:c r="B40" s="28" t="str">
        <x:v>280-2021 - IEEE Standard Letter Symbols for Quantities Used in Electrical Science and Electrical Engineering</x:v>
      </x:c>
      <x:c r="C40" s="28" t="str">
        <x:v>Core</x:v>
      </x:c>
      <x:c r="D40" s="28" t="str">
        <x:v>EE 201</x:v>
      </x:c>
      <x:c r="E40" s="28" t="str">
        <x:v>Subscription / purchase</x:v>
      </x:c>
      <x:c r="F40" s="28" t="str">
        <x:v>Active</x:v>
      </x:c>
      <x:c r="G40" s="28" t="str">
        <x:v>Approved</x:v>
      </x:c>
      <x:c r="H40" s="28" t="e">
        <x:f>HYPERLINK("https://ieeexplore.ieee.org/servlet/opac?punumber=9540822","Open IEEE Xplore")</x:f>
        <x:v>HYPERLINK is not implemented. linkLocation=https://ieeexplore.ieee.org/servlet/opac?punumber=9540822, friendlyName=Open IEEE Xplore</x:v>
      </x:c>
      <x:c r="I40" s="28" t="str">
        <x:v>—</x:v>
      </x:c>
      <x:c r="J40" s="28" t="str">
        <x:v>https://ieeexplore.ieee.org/servlet/opac?punumber=9540822</x:v>
      </x:c>
      <x:c r="K40" s="28" t="str"/>
    </x:row>
    <x:row r="41">
      <x:c r="A41" s="28" t="str">
        <x:v>2800-2022</x:v>
      </x:c>
      <x:c r="B41" s="28" t="str">
        <x:v>2800-2022 - IEEE Standard for Interconnection and Interoperability of Inverter-Based Resources (IBRs) Interconnecting with Associated Transmission Electric Power Systems</x:v>
      </x:c>
      <x:c r="C41" s="28" t="str">
        <x:v>Useful</x:v>
      </x:c>
      <x:c r="D41" s="28" t="str">
        <x:v>EE 305, EE 403</x:v>
      </x:c>
      <x:c r="E41" s="28" t="str">
        <x:v>Subscription / purchase</x:v>
      </x:c>
      <x:c r="F41" s="28" t="str">
        <x:v>Active</x:v>
      </x:c>
      <x:c r="G41" s="28" t="str">
        <x:v>Approved</x:v>
      </x:c>
      <x:c r="H41" s="28" t="e">
        <x:f>HYPERLINK("https://ieeexplore.ieee.org/servlet/opac?punumber=9762251","Open IEEE Xplore")</x:f>
        <x:v>HYPERLINK is not implemented. linkLocation=https://ieeexplore.ieee.org/servlet/opac?punumber=9762251, friendlyName=Open IEEE Xplore</x:v>
      </x:c>
      <x:c r="I41" s="28" t="str">
        <x:v>—</x:v>
      </x:c>
      <x:c r="J41" s="28" t="str">
        <x:v>https://ieeexplore.ieee.org/servlet/opac?punumber=9762251</x:v>
      </x:c>
      <x:c r="K41" s="28" t="str"/>
    </x:row>
    <x:row r="42">
      <x:c r="A42" s="28" t="str">
        <x:v>286-2024</x:v>
      </x:c>
      <x:c r="B42" s="28" t="str">
        <x:v>286-2024 - IEEE Recommended Practice for Measurement of Power Factor Tip-Up of Electric Machinery Stator Coil Insulation</x:v>
      </x:c>
      <x:c r="C42" s="28" t="str">
        <x:v>Advanced</x:v>
      </x:c>
      <x:c r="D42" s="28" t="str">
        <x:v>EE 304</x:v>
      </x:c>
      <x:c r="E42" s="28" t="str">
        <x:v>Subscription / purchase</x:v>
      </x:c>
      <x:c r="F42" s="28" t="str">
        <x:v>Active</x:v>
      </x:c>
      <x:c r="G42" s="28" t="str">
        <x:v>Approved</x:v>
      </x:c>
      <x:c r="H42" s="28" t="e">
        <x:f>HYPERLINK("https://ieeexplore.ieee.org/servlet/opac?punumber=10636030","Open IEEE Xplore")</x:f>
        <x:v>HYPERLINK is not implemented. linkLocation=https://ieeexplore.ieee.org/servlet/opac?punumber=10636030, friendlyName=Open IEEE Xplore</x:v>
      </x:c>
      <x:c r="I42" s="28" t="str">
        <x:v>—</x:v>
      </x:c>
      <x:c r="J42" s="28" t="str">
        <x:v>https://ieeexplore.ieee.org/servlet/opac?punumber=10636030</x:v>
      </x:c>
      <x:c r="K42" s="28" t="str"/>
    </x:row>
    <x:row r="43">
      <x:c r="A43" s="28" t="str">
        <x:v>29148-2018</x:v>
      </x:c>
      <x:c r="B43" s="28" t="str">
        <x:v>29148-2018 - ISO/IEC/IEEE International Standard - Systems and software engineering -- Life cycle processes -- Requirements engineering</x:v>
      </x:c>
      <x:c r="C43" s="28" t="str">
        <x:v>Core</x:v>
      </x:c>
      <x:c r="D43" s="28" t="str">
        <x:v>EE 490</x:v>
      </x:c>
      <x:c r="E43" s="28" t="str">
        <x:v>Subscription / purchase</x:v>
      </x:c>
      <x:c r="F43" s="28" t="str">
        <x:v>Active</x:v>
      </x:c>
      <x:c r="G43" s="28" t="str">
        <x:v>Approved</x:v>
      </x:c>
      <x:c r="H43" s="28" t="e">
        <x:f>HYPERLINK("https://ieeexplore.ieee.org/servlet/opac?punumber=8559684","Open IEEE Xplore")</x:f>
        <x:v>HYPERLINK is not implemented. linkLocation=https://ieeexplore.ieee.org/servlet/opac?punumber=8559684, friendlyName=Open IEEE Xplore</x:v>
      </x:c>
      <x:c r="I43" s="28" t="str">
        <x:v>—</x:v>
      </x:c>
      <x:c r="J43" s="28" t="str">
        <x:v>https://ieeexplore.ieee.org/servlet/opac?punumber=8559684</x:v>
      </x:c>
      <x:c r="K43" s="28" t="str"/>
    </x:row>
    <x:row r="44">
      <x:c r="A44" s="28" t="str">
        <x:v>3002.3-2018</x:v>
      </x:c>
      <x:c r="B44" s="28" t="str">
        <x:v>3002.3-2018 - IEEE Recommended Practice for Conducting Short-Circuit Studies and Analysis of Industrial and Commercial Power Systems</x:v>
      </x:c>
      <x:c r="C44" s="28" t="str">
        <x:v>Core</x:v>
      </x:c>
      <x:c r="D44" s="28" t="str">
        <x:v>EE 403</x:v>
      </x:c>
      <x:c r="E44" s="28" t="str">
        <x:v>Subscription / purchase</x:v>
      </x:c>
      <x:c r="F44" s="28" t="str">
        <x:v>Active</x:v>
      </x:c>
      <x:c r="G44" s="28" t="str">
        <x:v>Approved</x:v>
      </x:c>
      <x:c r="H44" s="28" t="e">
        <x:f>HYPERLINK("https://ieeexplore.ieee.org/servlet/opac?punumber=8672196","Open IEEE Xplore")</x:f>
        <x:v>HYPERLINK is not implemented. linkLocation=https://ieeexplore.ieee.org/servlet/opac?punumber=8672196, friendlyName=Open IEEE Xplore</x:v>
      </x:c>
      <x:c r="I44" s="28" t="str">
        <x:v>—</x:v>
      </x:c>
      <x:c r="J44" s="28" t="str">
        <x:v>https://ieeexplore.ieee.org/servlet/opac?punumber=8672196</x:v>
      </x:c>
      <x:c r="K44" s="28" t="str"/>
    </x:row>
    <x:row r="45">
      <x:c r="A45" s="28" t="str">
        <x:v>3002.7-2018</x:v>
      </x:c>
      <x:c r="B45" s="28" t="str">
        <x:v>3002.7-2018 - IEEE Recommended Practice for Conducting Motor-Starting Studies and Analysis of Industrial and Commercial Power Systems</x:v>
      </x:c>
      <x:c r="C45" s="28" t="str">
        <x:v>Useful</x:v>
      </x:c>
      <x:c r="D45" s="28" t="str">
        <x:v>EE 304</x:v>
      </x:c>
      <x:c r="E45" s="28" t="str">
        <x:v>Subscription / purchase</x:v>
      </x:c>
      <x:c r="F45" s="28" t="str">
        <x:v>Active</x:v>
      </x:c>
      <x:c r="G45" s="28" t="str">
        <x:v>Approved</x:v>
      </x:c>
      <x:c r="H45" s="28" t="e">
        <x:f>HYPERLINK("https://ieeexplore.ieee.org/servlet/opac?punumber=8700698","Open IEEE Xplore")</x:f>
        <x:v>HYPERLINK is not implemented. linkLocation=https://ieeexplore.ieee.org/servlet/opac?punumber=8700698, friendlyName=Open IEEE Xplore</x:v>
      </x:c>
      <x:c r="I45" s="28" t="str">
        <x:v>—</x:v>
      </x:c>
      <x:c r="J45" s="28" t="str">
        <x:v>https://ieeexplore.ieee.org/servlet/opac?punumber=8700698</x:v>
      </x:c>
      <x:c r="K45" s="28" t="str"/>
    </x:row>
    <x:row r="46">
      <x:c r="A46" s="28" t="str">
        <x:v>3002.8-2018</x:v>
      </x:c>
      <x:c r="B46" s="28" t="str">
        <x:v>3002.8-2018 - IEEE Recommended Practice for Conducting Harmonic Studies and Analysis of Industrial and Commercial Power Systems</x:v>
      </x:c>
      <x:c r="C46" s="28" t="str">
        <x:v>Useful</x:v>
      </x:c>
      <x:c r="D46" s="28" t="str">
        <x:v>EE 202, EE 305</x:v>
      </x:c>
      <x:c r="E46" s="28" t="str">
        <x:v>Subscription / purchase</x:v>
      </x:c>
      <x:c r="F46" s="28" t="str">
        <x:v>Active</x:v>
      </x:c>
      <x:c r="G46" s="28" t="str">
        <x:v>Approved</x:v>
      </x:c>
      <x:c r="H46" s="28" t="e">
        <x:f>HYPERLINK("https://ieeexplore.ieee.org/servlet/opac?punumber=8479355","Open IEEE Xplore")</x:f>
        <x:v>HYPERLINK is not implemented. linkLocation=https://ieeexplore.ieee.org/servlet/opac?punumber=8479355, friendlyName=Open IEEE Xplore</x:v>
      </x:c>
      <x:c r="I46" s="28" t="str">
        <x:v>—</x:v>
      </x:c>
      <x:c r="J46" s="28" t="str">
        <x:v>https://ieeexplore.ieee.org/servlet/opac?punumber=8479355</x:v>
      </x:c>
      <x:c r="K46" s="28" t="str"/>
    </x:row>
    <x:row r="47">
      <x:c r="A47" s="28" t="str">
        <x:v>3003.1-2019</x:v>
      </x:c>
      <x:c r="B47" s="28" t="str">
        <x:v>3003.1-2019 - IEEE Recommended Practice for System Grounding of Industrial and Commercial Power Systems</x:v>
      </x:c>
      <x:c r="C47" s="28" t="str">
        <x:v>Core</x:v>
      </x:c>
      <x:c r="D47" s="28" t="str">
        <x:v>EE 403</x:v>
      </x:c>
      <x:c r="E47" s="28" t="str">
        <x:v>Subscription / purchase</x:v>
      </x:c>
      <x:c r="F47" s="28" t="str">
        <x:v>Active</x:v>
      </x:c>
      <x:c r="G47" s="28" t="str">
        <x:v>Approved</x:v>
      </x:c>
      <x:c r="H47" s="28" t="e">
        <x:f>HYPERLINK("https://ieeexplore.ieee.org/servlet/opac?punumber=8793245","Open IEEE Xplore")</x:f>
        <x:v>HYPERLINK is not implemented. linkLocation=https://ieeexplore.ieee.org/servlet/opac?punumber=8793245, friendlyName=Open IEEE Xplore</x:v>
      </x:c>
      <x:c r="I47" s="28" t="str">
        <x:v>—</x:v>
      </x:c>
      <x:c r="J47" s="28" t="str">
        <x:v>https://ieeexplore.ieee.org/servlet/opac?punumber=8793245</x:v>
      </x:c>
      <x:c r="K47" s="28" t="str"/>
    </x:row>
    <x:row r="48">
      <x:c r="A48" s="28" t="str">
        <x:v>3004.8-2016</x:v>
      </x:c>
      <x:c r="B48" s="28" t="str">
        <x:v>3004.8-2016 - IEEE Recommended Practice for Motor Protection in Industrial and Commercial Power Systems</x:v>
      </x:c>
      <x:c r="C48" s="28" t="str">
        <x:v>Useful</x:v>
      </x:c>
      <x:c r="D48" s="28" t="str">
        <x:v>EE 304</x:v>
      </x:c>
      <x:c r="E48" s="28" t="str">
        <x:v>Subscription / purchase</x:v>
      </x:c>
      <x:c r="F48" s="28" t="str">
        <x:v>Active</x:v>
      </x:c>
      <x:c r="G48" s="28" t="str">
        <x:v>Approved</x:v>
      </x:c>
      <x:c r="H48" s="28" t="e">
        <x:f>HYPERLINK("https://ieeexplore.ieee.org/servlet/opac?punumber=7930538","Open IEEE Xplore")</x:f>
        <x:v>HYPERLINK is not implemented. linkLocation=https://ieeexplore.ieee.org/servlet/opac?punumber=7930538, friendlyName=Open IEEE Xplore</x:v>
      </x:c>
      <x:c r="I48" s="28" t="str">
        <x:v>—</x:v>
      </x:c>
      <x:c r="J48" s="28" t="str">
        <x:v>https://ieeexplore.ieee.org/servlet/opac?punumber=7930538</x:v>
      </x:c>
      <x:c r="K48" s="28" t="str"/>
    </x:row>
    <x:row r="49">
      <x:c r="A49" s="28" t="str">
        <x:v>421.1-2021</x:v>
      </x:c>
      <x:c r="B49" s="28" t="str">
        <x:v>421.1-2021 - IEEE Standard Definitions for Excitation Systems for Synchronous Machines</x:v>
      </x:c>
      <x:c r="C49" s="28" t="str">
        <x:v>Advanced</x:v>
      </x:c>
      <x:c r="D49" s="28" t="str">
        <x:v>EE 304</x:v>
      </x:c>
      <x:c r="E49" s="28" t="str">
        <x:v>Subscription / purchase</x:v>
      </x:c>
      <x:c r="F49" s="28" t="str">
        <x:v>Active</x:v>
      </x:c>
      <x:c r="G49" s="28" t="str">
        <x:v>Approved</x:v>
      </x:c>
      <x:c r="H49" s="28" t="e">
        <x:f>HYPERLINK("https://ieeexplore.ieee.org/servlet/opac?punumber=9737075","Open IEEE Xplore")</x:f>
        <x:v>HYPERLINK is not implemented. linkLocation=https://ieeexplore.ieee.org/servlet/opac?punumber=9737075, friendlyName=Open IEEE Xplore</x:v>
      </x:c>
      <x:c r="I49" s="28" t="str">
        <x:v>—</x:v>
      </x:c>
      <x:c r="J49" s="28" t="str">
        <x:v>https://ieeexplore.ieee.org/servlet/opac?punumber=9737075</x:v>
      </x:c>
      <x:c r="K49" s="28" t="str"/>
    </x:row>
    <x:row r="50">
      <x:c r="A50" s="28" t="str">
        <x:v>473-2025</x:v>
      </x:c>
      <x:c r="B50" s="28" t="str">
        <x:v>473-2025 - IEEE Recommended Practice for an Electromagnetic Site Survey (10 kHz to 40 GHz)</x:v>
      </x:c>
      <x:c r="C50" s="28" t="str">
        <x:v>Advanced</x:v>
      </x:c>
      <x:c r="D50" s="28" t="str">
        <x:v>EE 341</x:v>
      </x:c>
      <x:c r="E50" s="28" t="str">
        <x:v>Subscription / purchase</x:v>
      </x:c>
      <x:c r="F50" s="28" t="str">
        <x:v>Active</x:v>
      </x:c>
      <x:c r="G50" s="28" t="str">
        <x:v>Approved</x:v>
      </x:c>
      <x:c r="H50" s="28" t="e">
        <x:f>HYPERLINK("https://ieeexplore.ieee.org/servlet/opac?punumber=11223194","Open IEEE Xplore")</x:f>
        <x:v>HYPERLINK is not implemented. linkLocation=https://ieeexplore.ieee.org/servlet/opac?punumber=11223194, friendlyName=Open IEEE Xplore</x:v>
      </x:c>
      <x:c r="I50" s="28" t="str">
        <x:v>—</x:v>
      </x:c>
      <x:c r="J50" s="28" t="str">
        <x:v>https://ieeexplore.ieee.org/servlet/opac?punumber=11223194</x:v>
      </x:c>
      <x:c r="K50" s="28" t="str"/>
    </x:row>
    <x:row r="51">
      <x:c r="A51" s="28" t="str">
        <x:v>519-2022</x:v>
      </x:c>
      <x:c r="B51" s="28" t="str">
        <x:v>519-2022 - IEEE Standard for Harmonic Control in Electric Power Systems</x:v>
      </x:c>
      <x:c r="C51" s="28" t="str">
        <x:v>Core</x:v>
      </x:c>
      <x:c r="D51" s="28" t="str">
        <x:v>EE 202, EE 305, EE 403</x:v>
      </x:c>
      <x:c r="E51" s="28" t="str">
        <x:v>Subscription / purchase</x:v>
      </x:c>
      <x:c r="F51" s="28" t="str">
        <x:v>Active</x:v>
      </x:c>
      <x:c r="G51" s="28" t="str">
        <x:v>Approved</x:v>
      </x:c>
      <x:c r="H51" s="28" t="e">
        <x:f>HYPERLINK("https://ieeexplore.ieee.org/servlet/opac?punumber=9848438","Open IEEE Xplore")</x:f>
        <x:v>HYPERLINK is not implemented. linkLocation=https://ieeexplore.ieee.org/servlet/opac?punumber=9848438, friendlyName=Open IEEE Xplore</x:v>
      </x:c>
      <x:c r="I51" s="28" t="str">
        <x:v>—</x:v>
      </x:c>
      <x:c r="J51" s="28" t="str">
        <x:v>https://ieeexplore.ieee.org/servlet/opac?punumber=9848438</x:v>
      </x:c>
      <x:c r="K51" s="28" t="str"/>
    </x:row>
    <x:row r="52">
      <x:c r="A52" s="28" t="str">
        <x:v>60255-118-1-2018</x:v>
      </x:c>
      <x:c r="B52" s="28" t="str">
        <x:v>60255-118-1-2018 - IEEE/IEC International Standard - Measuring relays and protection equipment - Part 118-1: Synchrophasor for power systems - Measurements</x:v>
      </x:c>
      <x:c r="C52" s="28" t="str">
        <x:v>Useful</x:v>
      </x:c>
      <x:c r="D52" s="28" t="str">
        <x:v>EE 403</x:v>
      </x:c>
      <x:c r="E52" s="28" t="str">
        <x:v>Subscription / purchase</x:v>
      </x:c>
      <x:c r="F52" s="28" t="str">
        <x:v>Active</x:v>
      </x:c>
      <x:c r="G52" s="28" t="str">
        <x:v>Approved</x:v>
      </x:c>
      <x:c r="H52" s="28" t="e">
        <x:f>HYPERLINK("https://ieeexplore.ieee.org/servlet/opac?punumber=8577043","Open IEEE Xplore")</x:f>
        <x:v>HYPERLINK is not implemented. linkLocation=https://ieeexplore.ieee.org/servlet/opac?punumber=8577043, friendlyName=Open IEEE Xplore</x:v>
      </x:c>
      <x:c r="I52" s="28" t="str">
        <x:v>—</x:v>
      </x:c>
      <x:c r="J52" s="28" t="str">
        <x:v>https://ieeexplore.ieee.org/servlet/opac?punumber=8577043</x:v>
      </x:c>
      <x:c r="K52" s="28" t="str"/>
    </x:row>
    <x:row r="53">
      <x:c r="A53" s="28" t="str">
        <x:v>7000-2021</x:v>
      </x:c>
      <x:c r="B53" s="28" t="str">
        <x:v>7000-2021 - IEEE Standard Model Process for Addressing Ethical Concerns during System Design</x:v>
      </x:c>
      <x:c r="C53" s="28" t="str">
        <x:v>Core</x:v>
      </x:c>
      <x:c r="D53" s="28" t="str">
        <x:v>EE 490</x:v>
      </x:c>
      <x:c r="E53" s="28" t="str">
        <x:v>Free — IEEE GET</x:v>
      </x:c>
      <x:c r="F53" s="28" t="str">
        <x:v>Active</x:v>
      </x:c>
      <x:c r="G53" s="28" t="str">
        <x:v>Approved</x:v>
      </x:c>
      <x:c r="H53" s="28" t="e">
        <x:f>HYPERLINK("https://ieeexplore.ieee.org/servlet/opac?punumber=9536677","Open IEEE Xplore")</x:f>
        <x:v>HYPERLINK is not implemented. linkLocation=https://ieeexplore.ieee.org/servlet/opac?punumber=9536677, friendlyName=Open IEEE Xplore</x:v>
      </x:c>
      <x:c r="I53" s="28" t="e">
        <x:f>HYPERLINK("https://ieeexplore.ieee.org/browse/standards/get-program/page/series?id=93","Free via IEEE GET")</x:f>
        <x:v>HYPERLINK is not implemented. linkLocation=https://ieeexplore.ieee.org/browse/standards/get-program/page/series?id=93, friendlyName=Free via IEEE GET</x:v>
      </x:c>
      <x:c r="J53" s="28" t="str">
        <x:v>https://ieeexplore.ieee.org/servlet/opac?punumber=9536677</x:v>
      </x:c>
      <x:c r="K53" s="28" t="str">
        <x:v>https://ieeexplore.ieee.org/browse/standards/get-program/page/series?id=93</x:v>
      </x:c>
    </x:row>
    <x:row r="54">
      <x:c r="A54" s="28" t="str">
        <x:v>738-2023</x:v>
      </x:c>
      <x:c r="B54" s="28" t="str">
        <x:v>738-2023 - IEEE Standard for Calculating the Current-Temperature Relationship of Bare Overhead Conductors</x:v>
      </x:c>
      <x:c r="C54" s="28" t="str">
        <x:v>Useful</x:v>
      </x:c>
      <x:c r="D54" s="28" t="str">
        <x:v>EE 403</x:v>
      </x:c>
      <x:c r="E54" s="28" t="str">
        <x:v>Subscription / purchase</x:v>
      </x:c>
      <x:c r="F54" s="28" t="str">
        <x:v>Active</x:v>
      </x:c>
      <x:c r="G54" s="28" t="str">
        <x:v>Approved</x:v>
      </x:c>
      <x:c r="H54" s="28" t="e">
        <x:f>HYPERLINK("https://ieeexplore.ieee.org/servlet/opac?punumber=10382440","Open IEEE Xplore")</x:f>
        <x:v>HYPERLINK is not implemented. linkLocation=https://ieeexplore.ieee.org/servlet/opac?punumber=10382440, friendlyName=Open IEEE Xplore</x:v>
      </x:c>
      <x:c r="I54" s="28" t="str">
        <x:v>—</x:v>
      </x:c>
      <x:c r="J54" s="28" t="str">
        <x:v>https://ieeexplore.ieee.org/servlet/opac?punumber=10382440</x:v>
      </x:c>
      <x:c r="K54" s="28" t="str"/>
    </x:row>
    <x:row r="55">
      <x:c r="A55" s="28" t="str">
        <x:v>754-2019</x:v>
      </x:c>
      <x:c r="B55" s="28" t="str">
        <x:v>754-2019 - IEEE Standard for Floating-Point Arithmetic</x:v>
      </x:c>
      <x:c r="C55" s="28" t="str">
        <x:v>Useful</x:v>
      </x:c>
      <x:c r="D55" s="28" t="str">
        <x:v>EE 231, EE 322</x:v>
      </x:c>
      <x:c r="E55" s="28" t="str">
        <x:v>Subscription / purchase</x:v>
      </x:c>
      <x:c r="F55" s="28" t="str">
        <x:v>Active</x:v>
      </x:c>
      <x:c r="G55" s="28" t="str">
        <x:v>Approved</x:v>
      </x:c>
      <x:c r="H55" s="28" t="e">
        <x:f>HYPERLINK("https://ieeexplore.ieee.org/servlet/opac?punumber=8766227","Open IEEE Xplore")</x:f>
        <x:v>HYPERLINK is not implemented. linkLocation=https://ieeexplore.ieee.org/servlet/opac?punumber=8766227, friendlyName=Open IEEE Xplore</x:v>
      </x:c>
      <x:c r="I55" s="28" t="str">
        <x:v>—</x:v>
      </x:c>
      <x:c r="J55" s="28" t="str">
        <x:v>https://ieeexplore.ieee.org/servlet/opac?punumber=8766227</x:v>
      </x:c>
      <x:c r="K55" s="28" t="str"/>
    </x:row>
    <x:row r="56">
      <x:c r="A56" s="28" t="str">
        <x:v>802.11-2024</x:v>
      </x:c>
      <x:c r="B56" s="28" t="str">
        <x:v>802.11-2024 - IEEE Standard for Information Technology--Telecommunications and Information Exchange between Systems Local and Metropolitan Area Networks--Specific Requirements Part 11: Wireless LAN Medium Access Control (MAC) and Physical Layer (PHY) Specifications</x:v>
      </x:c>
      <x:c r="C56" s="28" t="str">
        <x:v>Useful</x:v>
      </x:c>
      <x:c r="D56" s="28" t="str">
        <x:v>EE 351</x:v>
      </x:c>
      <x:c r="E56" s="28" t="str">
        <x:v>Free — IEEE GET</x:v>
      </x:c>
      <x:c r="F56" s="28" t="str">
        <x:v>Active</x:v>
      </x:c>
      <x:c r="G56" s="28" t="str">
        <x:v>Approved</x:v>
      </x:c>
      <x:c r="H56" s="28" t="e">
        <x:f>HYPERLINK("https://ieeexplore.ieee.org/servlet/opac?punumber=10979689","Open IEEE Xplore")</x:f>
        <x:v>HYPERLINK is not implemented. linkLocation=https://ieeexplore.ieee.org/servlet/opac?punumber=10979689, friendlyName=Open IEEE Xplore</x:v>
      </x:c>
      <x:c r="I56" s="28" t="e">
        <x:f>HYPERLINK("https://ieeexplore.ieee.org/browse/standards/get-program/page/series?id=68","Free via IEEE GET")</x:f>
        <x:v>HYPERLINK is not implemented. linkLocation=https://ieeexplore.ieee.org/browse/standards/get-program/page/series?id=68, friendlyName=Free via IEEE GET</x:v>
      </x:c>
      <x:c r="J56" s="28" t="str">
        <x:v>https://ieeexplore.ieee.org/servlet/opac?punumber=10979689</x:v>
      </x:c>
      <x:c r="K56" s="28" t="str">
        <x:v>https://ieeexplore.ieee.org/browse/standards/get-program/page/series?id=68</x:v>
      </x:c>
    </x:row>
    <x:row r="57">
      <x:c r="A57" s="28" t="str">
        <x:v>802.15.4-2024</x:v>
      </x:c>
      <x:c r="B57" s="28" t="str">
        <x:v>802.15.4-2024 - IEEE Standard for Low‐Rate Wireless Networks</x:v>
      </x:c>
      <x:c r="C57" s="28" t="str">
        <x:v>Useful</x:v>
      </x:c>
      <x:c r="D57" s="28" t="str">
        <x:v>EE 351</x:v>
      </x:c>
      <x:c r="E57" s="28" t="str">
        <x:v>Free — IEEE GET</x:v>
      </x:c>
      <x:c r="F57" s="28" t="str">
        <x:v>Active</x:v>
      </x:c>
      <x:c r="G57" s="28" t="str">
        <x:v>Approved</x:v>
      </x:c>
      <x:c r="H57" s="28" t="e">
        <x:f>HYPERLINK("https://ieeexplore.ieee.org/servlet/opac?punumber=10794630","Open IEEE Xplore")</x:f>
        <x:v>HYPERLINK is not implemented. linkLocation=https://ieeexplore.ieee.org/servlet/opac?punumber=10794630, friendlyName=Open IEEE Xplore</x:v>
      </x:c>
      <x:c r="I57" s="28" t="e">
        <x:f>HYPERLINK("https://ieeexplore.ieee.org/browse/standards/get-program/page/series?id=68","Free via IEEE GET")</x:f>
        <x:v>HYPERLINK is not implemented. linkLocation=https://ieeexplore.ieee.org/browse/standards/get-program/page/series?id=68, friendlyName=Free via IEEE GET</x:v>
      </x:c>
      <x:c r="J57" s="28" t="str">
        <x:v>https://ieeexplore.ieee.org/servlet/opac?punumber=10794630</x:v>
      </x:c>
      <x:c r="K57" s="28" t="str">
        <x:v>https://ieeexplore.ieee.org/browse/standards/get-program/page/series?id=68</x:v>
      </x:c>
    </x:row>
    <x:row r="58">
      <x:c r="A58" s="28" t="str">
        <x:v>802.3-2022</x:v>
      </x:c>
      <x:c r="B58" s="28" t="str">
        <x:v>802.3-2022 - IEEE Standard for Ethernet</x:v>
      </x:c>
      <x:c r="C58" s="28" t="str">
        <x:v>Advanced</x:v>
      </x:c>
      <x:c r="D58" s="28" t="str">
        <x:v>EE 351</x:v>
      </x:c>
      <x:c r="E58" s="28" t="str">
        <x:v>Free — IEEE GET</x:v>
      </x:c>
      <x:c r="F58" s="28" t="str">
        <x:v>Active</x:v>
      </x:c>
      <x:c r="G58" s="28" t="str">
        <x:v>Approved</x:v>
      </x:c>
      <x:c r="H58" s="28" t="e">
        <x:f>HYPERLINK("https://ieeexplore.ieee.org/servlet/opac?punumber=9844414","Open IEEE Xplore")</x:f>
        <x:v>HYPERLINK is not implemented. linkLocation=https://ieeexplore.ieee.org/servlet/opac?punumber=9844414, friendlyName=Open IEEE Xplore</x:v>
      </x:c>
      <x:c r="I58" s="28" t="e">
        <x:f>HYPERLINK("https://ieeexplore.ieee.org/browse/standards/get-program/page/series?id=68","Free via IEEE GET")</x:f>
        <x:v>HYPERLINK is not implemented. linkLocation=https://ieeexplore.ieee.org/browse/standards/get-program/page/series?id=68, friendlyName=Free via IEEE GET</x:v>
      </x:c>
      <x:c r="J58" s="28" t="str">
        <x:v>https://ieeexplore.ieee.org/servlet/opac?punumber=9844414</x:v>
      </x:c>
      <x:c r="K58" s="28" t="str">
        <x:v>https://ieeexplore.ieee.org/browse/standards/get-program/page/series?id=68</x:v>
      </x:c>
    </x:row>
    <x:row r="59">
      <x:c r="A59" s="28" t="str">
        <x:v>837-2024</x:v>
      </x:c>
      <x:c r="B59" s="28" t="str">
        <x:v>837-2024 - IEEE Standard for Qualifying Permanent Connections Used in Substation Grounding</x:v>
      </x:c>
      <x:c r="C59" s="28" t="str">
        <x:v>Advanced</x:v>
      </x:c>
      <x:c r="D59" s="28" t="str">
        <x:v>EE 403</x:v>
      </x:c>
      <x:c r="E59" s="28" t="str">
        <x:v>Subscription / purchase</x:v>
      </x:c>
      <x:c r="F59" s="28" t="str">
        <x:v>Active</x:v>
      </x:c>
      <x:c r="G59" s="28" t="str">
        <x:v>Approved</x:v>
      </x:c>
      <x:c r="H59" s="28" t="e">
        <x:f>HYPERLINK("https://ieeexplore.ieee.org/servlet/opac?punumber=10964114","Open IEEE Xplore")</x:f>
        <x:v>HYPERLINK is not implemented. linkLocation=https://ieeexplore.ieee.org/servlet/opac?punumber=10964114, friendlyName=Open IEEE Xplore</x:v>
      </x:c>
      <x:c r="I59" s="28" t="str">
        <x:v>—</x:v>
      </x:c>
      <x:c r="J59" s="28" t="str">
        <x:v>https://ieeexplore.ieee.org/servlet/opac?punumber=10964114</x:v>
      </x:c>
      <x:c r="K59" s="28" t="str"/>
    </x:row>
    <x:row r="60">
      <x:c r="A60" s="28" t="str">
        <x:v>841-2021</x:v>
      </x:c>
      <x:c r="B60" s="28" t="str">
        <x:v>841-2021 - IEEE Standard for Petroleum and Chemical Industry--Premium-Efficiency, Severe-Duty, Totally Enclosed Squirrel Cage Induction Motors from 0.75 kW to 370 kW (1 hp to 500 hp)</x:v>
      </x:c>
      <x:c r="C60" s="28" t="str">
        <x:v>Useful</x:v>
      </x:c>
      <x:c r="D60" s="28" t="str">
        <x:v>EE 304</x:v>
      </x:c>
      <x:c r="E60" s="28" t="str">
        <x:v>Subscription / purchase</x:v>
      </x:c>
      <x:c r="F60" s="28" t="str">
        <x:v>Active</x:v>
      </x:c>
      <x:c r="G60" s="28" t="str">
        <x:v>Approved</x:v>
      </x:c>
      <x:c r="H60" s="28" t="e">
        <x:f>HYPERLINK("https://ieeexplore.ieee.org/servlet/opac?punumber=9444259","Open IEEE Xplore")</x:f>
        <x:v>HYPERLINK is not implemented. linkLocation=https://ieeexplore.ieee.org/servlet/opac?punumber=9444259, friendlyName=Open IEEE Xplore</x:v>
      </x:c>
      <x:c r="I60" s="28" t="str">
        <x:v>—</x:v>
      </x:c>
      <x:c r="J60" s="28" t="str">
        <x:v>https://ieeexplore.ieee.org/servlet/opac?punumber=9444259</x:v>
      </x:c>
      <x:c r="K60" s="28" t="str"/>
    </x:row>
    <x:row r="61">
      <x:c r="A61" s="28" t="str">
        <x:v>C37.113-2025</x:v>
      </x:c>
      <x:c r="B61" s="28" t="str">
        <x:v>C37.113-2025 - IEEE Guide for Protective Relay Applications to Transmission Lines</x:v>
      </x:c>
      <x:c r="C61" s="28" t="str">
        <x:v>Advanced</x:v>
      </x:c>
      <x:c r="D61" s="28" t="str">
        <x:v>EE 403</x:v>
      </x:c>
      <x:c r="E61" s="28" t="str">
        <x:v>Subscription / purchase</x:v>
      </x:c>
      <x:c r="F61" s="28" t="str">
        <x:v>Active</x:v>
      </x:c>
      <x:c r="G61" s="28" t="str">
        <x:v>Approved</x:v>
      </x:c>
      <x:c r="H61" s="28" t="e">
        <x:f>HYPERLINK("https://ieeexplore.ieee.org/servlet/opac?punumber=11503181","Open IEEE Xplore")</x:f>
        <x:v>HYPERLINK is not implemented. linkLocation=https://ieeexplore.ieee.org/servlet/opac?punumber=11503181, friendlyName=Open IEEE Xplore</x:v>
      </x:c>
      <x:c r="I61" s="28" t="str">
        <x:v>—</x:v>
      </x:c>
      <x:c r="J61" s="28" t="str">
        <x:v>https://ieeexplore.ieee.org/servlet/opac?punumber=11503181</x:v>
      </x:c>
      <x:c r="K61" s="28" t="str"/>
    </x:row>
    <x:row r="62">
      <x:c r="A62" s="28" t="str">
        <x:v>C37.118.2-2024</x:v>
      </x:c>
      <x:c r="B62" s="28" t="str">
        <x:v>C37.118.2-2024 - IEEE Standard for Synchrophasor Data Transfer for Power Systems</x:v>
      </x:c>
      <x:c r="C62" s="28" t="str">
        <x:v>Advanced</x:v>
      </x:c>
      <x:c r="D62" s="28" t="str">
        <x:v>EE 403</x:v>
      </x:c>
      <x:c r="E62" s="28" t="str">
        <x:v>Subscription / purchase</x:v>
      </x:c>
      <x:c r="F62" s="28" t="str">
        <x:v>Active</x:v>
      </x:c>
      <x:c r="G62" s="28" t="str">
        <x:v>Approved</x:v>
      </x:c>
      <x:c r="H62" s="28" t="e">
        <x:f>HYPERLINK("https://ieeexplore.ieee.org/servlet/opac?punumber=10794633","Open IEEE Xplore")</x:f>
        <x:v>HYPERLINK is not implemented. linkLocation=https://ieeexplore.ieee.org/servlet/opac?punumber=10794633, friendlyName=Open IEEE Xplore</x:v>
      </x:c>
      <x:c r="I62" s="28" t="str">
        <x:v>—</x:v>
      </x:c>
      <x:c r="J62" s="28" t="str">
        <x:v>https://ieeexplore.ieee.org/servlet/opac?punumber=10794633</x:v>
      </x:c>
      <x:c r="K62" s="28" t="str"/>
    </x:row>
    <x:row r="63">
      <x:c r="A63" s="28" t="str">
        <x:v>C37.91-2021</x:v>
      </x:c>
      <x:c r="B63" s="28" t="str">
        <x:v>C37.91-2021 - IEEE Guide for Protecting Power Transformers</x:v>
      </x:c>
      <x:c r="C63" s="28" t="str">
        <x:v>Advanced</x:v>
      </x:c>
      <x:c r="D63" s="28" t="str">
        <x:v>EE 403</x:v>
      </x:c>
      <x:c r="E63" s="28" t="str">
        <x:v>Subscription / purchase</x:v>
      </x:c>
      <x:c r="F63" s="28" t="str">
        <x:v>Active</x:v>
      </x:c>
      <x:c r="G63" s="28" t="str">
        <x:v>Approved</x:v>
      </x:c>
      <x:c r="H63" s="28" t="e">
        <x:f>HYPERLINK("https://ieeexplore.ieee.org/servlet/opac?punumber=9471043","Open IEEE Xplore")</x:f>
        <x:v>HYPERLINK is not implemented. linkLocation=https://ieeexplore.ieee.org/servlet/opac?punumber=9471043, friendlyName=Open IEEE Xplore</x:v>
      </x:c>
      <x:c r="I63" s="28" t="str">
        <x:v>—</x:v>
      </x:c>
      <x:c r="J63" s="28" t="str">
        <x:v>https://ieeexplore.ieee.org/servlet/opac?punumber=9471043</x:v>
      </x:c>
      <x:c r="K63" s="28" t="str"/>
    </x:row>
    <x:row r="64">
      <x:c r="A64" s="28" t="str">
        <x:v>C57.105-2019</x:v>
      </x:c>
      <x:c r="B64" s="28" t="str">
        <x:v>C57.105-2019 - IEEE Guide for Application of Transformer Connections in Three-Phase Electrical Systems</x:v>
      </x:c>
      <x:c r="C64" s="28" t="str">
        <x:v>Useful</x:v>
      </x:c>
      <x:c r="D64" s="28" t="str">
        <x:v>EE 403</x:v>
      </x:c>
      <x:c r="E64" s="28" t="str">
        <x:v>Subscription / purchase</x:v>
      </x:c>
      <x:c r="F64" s="28" t="str">
        <x:v>Active</x:v>
      </x:c>
      <x:c r="G64" s="28" t="str">
        <x:v>Approved</x:v>
      </x:c>
      <x:c r="H64" s="28" t="e">
        <x:f>HYPERLINK("https://ieeexplore.ieee.org/servlet/opac?punumber=9052771","Open IEEE Xplore")</x:f>
        <x:v>HYPERLINK is not implemented. linkLocation=https://ieeexplore.ieee.org/servlet/opac?punumber=9052771, friendlyName=Open IEEE Xplore</x:v>
      </x:c>
      <x:c r="I64" s="28" t="str">
        <x:v>—</x:v>
      </x:c>
      <x:c r="J64" s="28" t="str">
        <x:v>https://ieeexplore.ieee.org/servlet/opac?punumber=9052771</x:v>
      </x:c>
      <x:c r="K64" s="28" t="str"/>
    </x:row>
    <x:row r="65">
      <x:c r="A65" s="28" t="str">
        <x:v>C57.12.00-2021</x:v>
      </x:c>
      <x:c r="B65" s="28" t="str">
        <x:v>C57.12.00-2021 - IEEE Standard for General Requirements for Liquid-Immersed Distribution, Power, and Regulating Transformers</x:v>
      </x:c>
      <x:c r="C65" s="28" t="str">
        <x:v>Core</x:v>
      </x:c>
      <x:c r="D65" s="28" t="str">
        <x:v>EE 403</x:v>
      </x:c>
      <x:c r="E65" s="28" t="str">
        <x:v>Subscription / purchase</x:v>
      </x:c>
      <x:c r="F65" s="28" t="str">
        <x:v>Active</x:v>
      </x:c>
      <x:c r="G65" s="28" t="str">
        <x:v>Approved</x:v>
      </x:c>
      <x:c r="H65" s="28" t="e">
        <x:f>HYPERLINK("https://ieeexplore.ieee.org/servlet/opac?punumber=9690122","Open IEEE Xplore")</x:f>
        <x:v>HYPERLINK is not implemented. linkLocation=https://ieeexplore.ieee.org/servlet/opac?punumber=9690122, friendlyName=Open IEEE Xplore</x:v>
      </x:c>
      <x:c r="I65" s="28" t="str">
        <x:v>—</x:v>
      </x:c>
      <x:c r="J65" s="28" t="str">
        <x:v>https://ieeexplore.ieee.org/servlet/opac?punumber=9690122</x:v>
      </x:c>
      <x:c r="K65" s="28" t="str"/>
    </x:row>
    <x:row r="66">
      <x:c r="A66" s="28" t="str">
        <x:v>C63.16-2016</x:v>
      </x:c>
      <x:c r="B66" s="28" t="str">
        <x:v>C63.16-2016 - American National Standard Guide for Electrostatic Discharge Test Methodologies and Acceptance Criteria for Electronic Equipment</x:v>
      </x:c>
      <x:c r="C66" s="28" t="str">
        <x:v>Core</x:v>
      </x:c>
      <x:c r="D66" s="28" t="str">
        <x:v>EE 211, EE 312</x:v>
      </x:c>
      <x:c r="E66" s="28" t="str">
        <x:v>Subscription / purchase</x:v>
      </x:c>
      <x:c r="F66" s="28" t="str">
        <x:v>Active</x:v>
      </x:c>
      <x:c r="G66" s="28" t="str">
        <x:v>Approved</x:v>
      </x:c>
      <x:c r="H66" s="28" t="e">
        <x:f>HYPERLINK("https://ieeexplore.ieee.org/servlet/opac?punumber=7465682","Open IEEE Xplore")</x:f>
        <x:v>HYPERLINK is not implemented. linkLocation=https://ieeexplore.ieee.org/servlet/opac?punumber=7465682, friendlyName=Open IEEE Xplore</x:v>
      </x:c>
      <x:c r="I66" s="28" t="str">
        <x:v>—</x:v>
      </x:c>
      <x:c r="J66" s="28" t="str">
        <x:v>https://ieeexplore.ieee.org/servlet/opac?punumber=7465682</x:v>
      </x:c>
      <x:c r="K66" s="28" t="str"/>
    </x:row>
    <x:row r="67">
      <x:c r="A67" s="28" t="str">
        <x:v>C63.2-2023</x:v>
      </x:c>
      <x:c r="B67" s="28" t="str">
        <x:v>C63.2-2023 - American National Standard for Specifications of Electromagnetic Interference and Field Strength Measuring Instrumentation in the Frequency Range 9 kHz to 40 GHz</x:v>
      </x:c>
      <x:c r="C67" s="28" t="str">
        <x:v>Advanced</x:v>
      </x:c>
      <x:c r="D67" s="28" t="str">
        <x:v>EE 341</x:v>
      </x:c>
      <x:c r="E67" s="28" t="str">
        <x:v>Subscription / purchase</x:v>
      </x:c>
      <x:c r="F67" s="28" t="str">
        <x:v>Active</x:v>
      </x:c>
      <x:c r="G67" s="28" t="str">
        <x:v>Approved</x:v>
      </x:c>
      <x:c r="H67" s="28" t="e">
        <x:f>HYPERLINK("https://ieeexplore.ieee.org/servlet/opac?punumber=10285669","Open IEEE Xplore")</x:f>
        <x:v>HYPERLINK is not implemented. linkLocation=https://ieeexplore.ieee.org/servlet/opac?punumber=10285669, friendlyName=Open IEEE Xplore</x:v>
      </x:c>
      <x:c r="I67" s="28" t="str">
        <x:v>—</x:v>
      </x:c>
      <x:c r="J67" s="28" t="str">
        <x:v>https://ieeexplore.ieee.org/servlet/opac?punumber=10285669</x:v>
      </x:c>
      <x:c r="K67" s="28" t="str"/>
    </x:row>
    <x:row r="68">
      <x:c r="A68" s="28" t="str">
        <x:v>C63.5-2017</x:v>
      </x:c>
      <x:c r="B68" s="28" t="str">
        <x:v>C63.5-2017 - American National Standard for Electromagnetic Compatibility--Radiated Emission Measurements in Electromagnetic Interference (EMI) Control--Calibration and Qualification of Antennas (9 kHz to 40 GHz)</x:v>
      </x:c>
      <x:c r="C68" s="28" t="str">
        <x:v>Advanced</x:v>
      </x:c>
      <x:c r="D68" s="28" t="str">
        <x:v>EE 341</x:v>
      </x:c>
      <x:c r="E68" s="28" t="str">
        <x:v>Subscription / purchase</x:v>
      </x:c>
      <x:c r="F68" s="28" t="str">
        <x:v>Active</x:v>
      </x:c>
      <x:c r="G68" s="28" t="str">
        <x:v>Approved</x:v>
      </x:c>
      <x:c r="H68" s="28" t="e">
        <x:f>HYPERLINK("https://ieeexplore.ieee.org/servlet/opac?punumber=7920365","Open IEEE Xplore")</x:f>
        <x:v>HYPERLINK is not implemented. linkLocation=https://ieeexplore.ieee.org/servlet/opac?punumber=7920365, friendlyName=Open IEEE Xplore</x:v>
      </x:c>
      <x:c r="I68" s="28" t="str">
        <x:v>—</x:v>
      </x:c>
      <x:c r="J68" s="28" t="str">
        <x:v>https://ieeexplore.ieee.org/servlet/opac?punumber=7920365</x:v>
      </x:c>
      <x:c r="K68" s="28" t="str"/>
    </x:row>
    <x:row r="69">
      <x:c r="A69" s="28" t="str">
        <x:v>C95.1-2019</x:v>
      </x:c>
      <x:c r="B69" s="28" t="str">
        <x:v>C95.1-2019 - IEEE Standard for Safety Levels with Respect to Human Exposure to Electric, Magnetic, and Electromagnetic Fields, 0 Hz to 300 GHz</x:v>
      </x:c>
      <x:c r="C69" s="28" t="str">
        <x:v>Core</x:v>
      </x:c>
      <x:c r="D69" s="28" t="str">
        <x:v>EE 341</x:v>
      </x:c>
      <x:c r="E69" s="28" t="str">
        <x:v>Free — IEEE GET</x:v>
      </x:c>
      <x:c r="F69" s="28" t="str">
        <x:v>Active</x:v>
      </x:c>
      <x:c r="G69" s="28" t="str">
        <x:v>Approved</x:v>
      </x:c>
      <x:c r="H69" s="28" t="e">
        <x:f>HYPERLINK("https://ieeexplore.ieee.org/servlet/opac?punumber=8859677","Open IEEE Xplore")</x:f>
        <x:v>HYPERLINK is not implemented. linkLocation=https://ieeexplore.ieee.org/servlet/opac?punumber=8859677, friendlyName=Open IEEE Xplore</x:v>
      </x:c>
      <x:c r="I69" s="28" t="e">
        <x:f>HYPERLINK("https://ieeexplore.ieee.org/browse/standards/get-program/page/series?id=82","Free via IEEE GET")</x:f>
        <x:v>HYPERLINK is not implemented. linkLocation=https://ieeexplore.ieee.org/browse/standards/get-program/page/series?id=82, friendlyName=Free via IEEE GET</x:v>
      </x:c>
      <x:c r="J69" s="28" t="str">
        <x:v>https://ieeexplore.ieee.org/servlet/opac?punumber=8859677</x:v>
      </x:c>
      <x:c r="K69" s="28" t="str">
        <x:v>https://ieeexplore.ieee.org/browse/standards/get-program/page/series?id=82</x:v>
      </x:c>
    </x:row>
    <x:row r="70">
      <x:c r="A70" s="28" t="str">
        <x:v>C95.3-2021</x:v>
      </x:c>
      <x:c r="B70" s="28" t="str">
        <x:v>C95.3-2021 - IEEE Recommended Practice for Measurements and Computations of Electric, Magnetic, and Electromagnetic Fields with Respect to Human Exposure to Such Fields, 0 Hz to 300 GHz</x:v>
      </x:c>
      <x:c r="C70" s="28" t="str">
        <x:v>Core</x:v>
      </x:c>
      <x:c r="D70" s="28" t="str">
        <x:v>EE 341</x:v>
      </x:c>
      <x:c r="E70" s="28" t="str">
        <x:v>Free — IEEE GET</x:v>
      </x:c>
      <x:c r="F70" s="28" t="str">
        <x:v>Active</x:v>
      </x:c>
      <x:c r="G70" s="28" t="str">
        <x:v>Approved</x:v>
      </x:c>
      <x:c r="H70" s="28" t="e">
        <x:f>HYPERLINK("https://ieeexplore.ieee.org/servlet/opac?punumber=9444271","Open IEEE Xplore")</x:f>
        <x:v>HYPERLINK is not implemented. linkLocation=https://ieeexplore.ieee.org/servlet/opac?punumber=9444271, friendlyName=Open IEEE Xplore</x:v>
      </x:c>
      <x:c r="I70" s="28" t="e">
        <x:f>HYPERLINK("https://ieeexplore.ieee.org/browse/standards/get-program/page/series?id=82","Free via IEEE GET")</x:f>
        <x:v>HYPERLINK is not implemented. linkLocation=https://ieeexplore.ieee.org/browse/standards/get-program/page/series?id=82, friendlyName=Free via IEEE GET</x:v>
      </x:c>
      <x:c r="J70" s="28" t="str">
        <x:v>https://ieeexplore.ieee.org/servlet/opac?punumber=9444271</x:v>
      </x:c>
      <x:c r="K70" s="28" t="str">
        <x:v>https://ieeexplore.ieee.org/browse/standards/get-program/page/series?id=82</x:v>
      </x:c>
    </x:row>
  </x:sheetData>
  <x:mergeCells>
    <x:mergeCell ref="A1:K1"/>
    <x:mergeCell ref="A2:K2"/>
  </x:mergeCells>
  <x:conditionalFormatting sqref="E5:E70">
    <x:cfRule type="expression" dxfId="5" priority="1">
      <x:formula>E5="Free — IEEE GET"</x:formula>
    </x:cfRule>
    <x:cfRule type="expression" dxfId="6" priority="2">
      <x:formula>E5="Subscription / purchase"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6c0f255f322491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3" max="3" width="30" hidden="0" customWidth="1"/>
    <x:col min="4" max="4" width="14" hidden="0" customWidth="1"/>
    <x:col min="5" max="5" width="18" hidden="0" customWidth="1"/>
    <x:col min="6" max="6" width="20" hidden="0" customWidth="1"/>
    <x:col min="7" max="7" width="44" hidden="0" customWidth="1"/>
    <x:col min="8" max="8" width="44" hidden="0" customWidth="1"/>
  </x:cols>
  <x:sheetData>
    <x:row r="1" ht="30" customHeight="1">
      <x:c r="A1" s="5" t="str">
        <x:v>IEEE Standards in the Teaching Inventory Available Free via IEEE GET</x:v>
      </x:c>
      <x:c r="B1" s="5"/>
      <x:c r="C1" s="5"/>
      <x:c r="D1" s="5"/>
      <x:c r="E1" s="5"/>
      <x:c r="F1" s="5"/>
      <x:c r="G1" s="5"/>
      <x:c r="H1" s="5"/>
    </x:row>
    <x:row r="2" ht="34" customHeight="1">
      <x:c r="A2" s="33" t="str">
        <x:v>IEEE GET provides selected standards at no charge, but the documents remain copyrighted by IEEE and are not public-domain/open-license standards.</x:v>
      </x:c>
      <x:c r="B2" s="33"/>
      <x:c r="C2" s="33"/>
      <x:c r="D2" s="33"/>
      <x:c r="E2" s="33"/>
      <x:c r="F2" s="33"/>
      <x:c r="G2" s="33"/>
      <x:c r="H2" s="33"/>
    </x:row>
    <x:row r="4" ht="26" customHeight="1">
      <x:c r="A4" s="20" t="str">
        <x:v>Standard</x:v>
      </x:c>
      <x:c r="B4" s="20" t="str">
        <x:v>IEEE Title</x:v>
      </x:c>
      <x:c r="C4" s="20" t="str">
        <x:v>Relevant Core Courses</x:v>
      </x:c>
      <x:c r="D4" s="20" t="str">
        <x:v>Highest Priority</x:v>
      </x:c>
      <x:c r="E4" s="20" t="str">
        <x:v>IEEE Xplore</x:v>
      </x:c>
      <x:c r="F4" s="20" t="str">
        <x:v>Free GET Access</x:v>
      </x:c>
      <x:c r="G4" s="20" t="str">
        <x:v>IEEE Xplore URL</x:v>
      </x:c>
      <x:c r="H4" s="20" t="str">
        <x:v>GET URL</x:v>
      </x:c>
    </x:row>
    <x:row r="5">
      <x:c r="A5" s="28" t="str">
        <x:v>1685-2022</x:v>
      </x:c>
      <x:c r="B5" s="28" t="str">
        <x:v>1685-2022 - IEEE Standard for IP-XACT, Standard Structure for Packaging, Integrating, and Reusing IP within Tool Flows</x:v>
      </x:c>
      <x:c r="C5" s="28" t="str">
        <x:v>EE 221, EE 322</x:v>
      </x:c>
      <x:c r="D5" s="28" t="str">
        <x:v>Useful</x:v>
      </x:c>
      <x:c r="E5" s="28" t="e">
        <x:f>HYPERLINK("https://ieeexplore.ieee.org/servlet/opac?punumber=10054518","Open IEEE Xplore")</x:f>
        <x:v>HYPERLINK is not implemented. linkLocation=https://ieeexplore.ieee.org/servlet/opac?punumber=10054518, friendlyName=Open IEEE Xplore</x:v>
      </x:c>
      <x:c r="F5" s="28" t="e">
        <x:f>HYPERLINK("https://ieeexplore.ieee.org/browse/standards/get-program/page/series?id=80","Free via IEEE GET")</x:f>
        <x:v>HYPERLINK is not implemented. linkLocation=https://ieeexplore.ieee.org/browse/standards/get-program/page/series?id=80, friendlyName=Free via IEEE GET</x:v>
      </x:c>
      <x:c r="G5" s="28" t="str">
        <x:v>https://ieeexplore.ieee.org/servlet/opac?punumber=10054518</x:v>
      </x:c>
      <x:c r="H5" s="28" t="str">
        <x:v>https://ieeexplore.ieee.org/browse/standards/get-program/page/series?id=80</x:v>
      </x:c>
    </x:row>
    <x:row r="6">
      <x:c r="A6" s="28" t="str">
        <x:v>1735-2023</x:v>
      </x:c>
      <x:c r="B6" s="28" t="str">
        <x:v>1735-2023 - IEEE Recommended Practice for Encryption and Management of Electronic Design Intellectual Property (IP)</x:v>
      </x:c>
      <x:c r="C6" s="28" t="str">
        <x:v>EE 221, EE 312, EE 322</x:v>
      </x:c>
      <x:c r="D6" s="28" t="str">
        <x:v>Advanced</x:v>
      </x:c>
      <x:c r="E6" s="28" t="e">
        <x:f>HYPERLINK("https://ieeexplore.ieee.org/servlet/opac?punumber=10328534","Open IEEE Xplore")</x:f>
        <x:v>HYPERLINK is not implemented. linkLocation=https://ieeexplore.ieee.org/servlet/opac?punumber=10328534, friendlyName=Open IEEE Xplore</x:v>
      </x:c>
      <x:c r="F6" s="28" t="e">
        <x:f>HYPERLINK("https://ieeexplore.ieee.org/browse/standards/get-program/page/series?id=80","Free via IEEE GET")</x:f>
        <x:v>HYPERLINK is not implemented. linkLocation=https://ieeexplore.ieee.org/browse/standards/get-program/page/series?id=80, friendlyName=Free via IEEE GET</x:v>
      </x:c>
      <x:c r="G6" s="28" t="str">
        <x:v>https://ieeexplore.ieee.org/servlet/opac?punumber=10328534</x:v>
      </x:c>
      <x:c r="H6" s="28" t="str">
        <x:v>https://ieeexplore.ieee.org/browse/standards/get-program/page/series?id=80</x:v>
      </x:c>
    </x:row>
    <x:row r="7">
      <x:c r="A7" s="28" t="str">
        <x:v>1800-2023</x:v>
      </x:c>
      <x:c r="B7" s="28" t="str">
        <x:v>1800-2023 - IEEE Standard for SystemVerilog--Unified Hardware Design, Specification, and Verification Language</x:v>
      </x:c>
      <x:c r="C7" s="28" t="str">
        <x:v>EE 221, EE 322</x:v>
      </x:c>
      <x:c r="D7" s="28" t="str">
        <x:v>Useful</x:v>
      </x:c>
      <x:c r="E7" s="28" t="e">
        <x:f>HYPERLINK("https://ieeexplore.ieee.org/servlet/opac?punumber=10458100","Open IEEE Xplore")</x:f>
        <x:v>HYPERLINK is not implemented. linkLocation=https://ieeexplore.ieee.org/servlet/opac?punumber=10458100, friendlyName=Open IEEE Xplore</x:v>
      </x:c>
      <x:c r="F7" s="28" t="e">
        <x:f>HYPERLINK("https://ieeexplore.ieee.org/browse/standards/get-program/page/series?id=80","Free via IEEE GET")</x:f>
        <x:v>HYPERLINK is not implemented. linkLocation=https://ieeexplore.ieee.org/browse/standards/get-program/page/series?id=80, friendlyName=Free via IEEE GET</x:v>
      </x:c>
      <x:c r="G7" s="28" t="str">
        <x:v>https://ieeexplore.ieee.org/servlet/opac?punumber=10458100</x:v>
      </x:c>
      <x:c r="H7" s="28" t="str">
        <x:v>https://ieeexplore.ieee.org/browse/standards/get-program/page/series?id=80</x:v>
      </x:c>
    </x:row>
    <x:row r="8">
      <x:c r="A8" s="28" t="str">
        <x:v>1801-2024</x:v>
      </x:c>
      <x:c r="B8" s="28" t="str">
        <x:v>1801-2024 - IEEE Standard for Design and Verification of Low-Power Energy-Aware Electronic Systems</x:v>
      </x:c>
      <x:c r="C8" s="28" t="str">
        <x:v>EE 211, EE 312</x:v>
      </x:c>
      <x:c r="D8" s="28" t="str">
        <x:v>Useful</x:v>
      </x:c>
      <x:c r="E8" s="28" t="e">
        <x:f>HYPERLINK("https://ieeexplore.ieee.org/servlet/opac?punumber=10910080","Open IEEE Xplore")</x:f>
        <x:v>HYPERLINK is not implemented. linkLocation=https://ieeexplore.ieee.org/servlet/opac?punumber=10910080, friendlyName=Open IEEE Xplore</x:v>
      </x:c>
      <x:c r="F8" s="28" t="e">
        <x:f>HYPERLINK("https://ieeexplore.ieee.org/browse/standards/get-program/page/series?id=80","Free via IEEE GET")</x:f>
        <x:v>HYPERLINK is not implemented. linkLocation=https://ieeexplore.ieee.org/browse/standards/get-program/page/series?id=80, friendlyName=Free via IEEE GET</x:v>
      </x:c>
      <x:c r="G8" s="28" t="str">
        <x:v>https://ieeexplore.ieee.org/servlet/opac?punumber=10910080</x:v>
      </x:c>
      <x:c r="H8" s="28" t="str">
        <x:v>https://ieeexplore.ieee.org/browse/standards/get-program/page/series?id=80</x:v>
      </x:c>
    </x:row>
    <x:row r="9">
      <x:c r="A9" s="28" t="str">
        <x:v>24748-7000-2022</x:v>
      </x:c>
      <x:c r="B9" s="28" t="str">
        <x:v>24748-7000-2022 - IEEE/ISO/IEC International Standard--Systems and software engineering--Life cycle management--Part 7000: Standard model process for addressing ethical concerns during system design</x:v>
      </x:c>
      <x:c r="C9" s="28" t="str">
        <x:v>EE 490</x:v>
      </x:c>
      <x:c r="D9" s="28" t="str">
        <x:v>Advanced</x:v>
      </x:c>
      <x:c r="E9" s="28" t="e">
        <x:f>HYPERLINK("https://ieeexplore.ieee.org/servlet/opac?punumber=9967785","Open IEEE Xplore")</x:f>
        <x:v>HYPERLINK is not implemented. linkLocation=https://ieeexplore.ieee.org/servlet/opac?punumber=9967785, friendlyName=Open IEEE Xplore</x:v>
      </x:c>
      <x:c r="F9" s="28" t="e">
        <x:f>HYPERLINK("https://ieeexplore.ieee.org/browse/standards/get-program/page/series?id=93","Free via IEEE GET")</x:f>
        <x:v>HYPERLINK is not implemented. linkLocation=https://ieeexplore.ieee.org/browse/standards/get-program/page/series?id=93, friendlyName=Free via IEEE GET</x:v>
      </x:c>
      <x:c r="G9" s="28" t="str">
        <x:v>https://ieeexplore.ieee.org/servlet/opac?punumber=9967785</x:v>
      </x:c>
      <x:c r="H9" s="28" t="str">
        <x:v>https://ieeexplore.ieee.org/browse/standards/get-program/page/series?id=93</x:v>
      </x:c>
    </x:row>
    <x:row r="10">
      <x:c r="A10" s="28" t="str">
        <x:v>7000-2021</x:v>
      </x:c>
      <x:c r="B10" s="28" t="str">
        <x:v>7000-2021 - IEEE Standard Model Process for Addressing Ethical Concerns during System Design</x:v>
      </x:c>
      <x:c r="C10" s="28" t="str">
        <x:v>EE 490</x:v>
      </x:c>
      <x:c r="D10" s="28" t="str">
        <x:v>Core</x:v>
      </x:c>
      <x:c r="E10" s="28" t="e">
        <x:f>HYPERLINK("https://ieeexplore.ieee.org/servlet/opac?punumber=9536677","Open IEEE Xplore")</x:f>
        <x:v>HYPERLINK is not implemented. linkLocation=https://ieeexplore.ieee.org/servlet/opac?punumber=9536677, friendlyName=Open IEEE Xplore</x:v>
      </x:c>
      <x:c r="F10" s="28" t="e">
        <x:f>HYPERLINK("https://ieeexplore.ieee.org/browse/standards/get-program/page/series?id=93","Free via IEEE GET")</x:f>
        <x:v>HYPERLINK is not implemented. linkLocation=https://ieeexplore.ieee.org/browse/standards/get-program/page/series?id=93, friendlyName=Free via IEEE GET</x:v>
      </x:c>
      <x:c r="G10" s="28" t="str">
        <x:v>https://ieeexplore.ieee.org/servlet/opac?punumber=9536677</x:v>
      </x:c>
      <x:c r="H10" s="28" t="str">
        <x:v>https://ieeexplore.ieee.org/browse/standards/get-program/page/series?id=93</x:v>
      </x:c>
    </x:row>
    <x:row r="11">
      <x:c r="A11" s="28" t="str">
        <x:v>802.11-2024</x:v>
      </x:c>
      <x:c r="B11" s="28" t="str">
        <x:v>802.11-2024 - IEEE Standard for Information Technology--Telecommunications and Information Exchange between Systems Local and Metropolitan Area Networks--Specific Requirements Part 11: Wireless LAN Medium Access Control (MAC) and Physical Layer (PHY) Specifications</x:v>
      </x:c>
      <x:c r="C11" s="28" t="str">
        <x:v>EE 351</x:v>
      </x:c>
      <x:c r="D11" s="28" t="str">
        <x:v>Useful</x:v>
      </x:c>
      <x:c r="E11" s="28" t="e">
        <x:f>HYPERLINK("https://ieeexplore.ieee.org/servlet/opac?punumber=10979689","Open IEEE Xplore")</x:f>
        <x:v>HYPERLINK is not implemented. linkLocation=https://ieeexplore.ieee.org/servlet/opac?punumber=10979689, friendlyName=Open IEEE Xplore</x:v>
      </x:c>
      <x:c r="F11" s="28" t="e">
        <x:f>HYPERLINK("https://ieeexplore.ieee.org/browse/standards/get-program/page/series?id=68","Free via IEEE GET")</x:f>
        <x:v>HYPERLINK is not implemented. linkLocation=https://ieeexplore.ieee.org/browse/standards/get-program/page/series?id=68, friendlyName=Free via IEEE GET</x:v>
      </x:c>
      <x:c r="G11" s="28" t="str">
        <x:v>https://ieeexplore.ieee.org/servlet/opac?punumber=10979689</x:v>
      </x:c>
      <x:c r="H11" s="28" t="str">
        <x:v>https://ieeexplore.ieee.org/browse/standards/get-program/page/series?id=68</x:v>
      </x:c>
    </x:row>
    <x:row r="12">
      <x:c r="A12" s="28" t="str">
        <x:v>802.15.4-2024</x:v>
      </x:c>
      <x:c r="B12" s="28" t="str">
        <x:v>802.15.4-2024 - IEEE Standard for Low‐Rate Wireless Networks</x:v>
      </x:c>
      <x:c r="C12" s="28" t="str">
        <x:v>EE 351</x:v>
      </x:c>
      <x:c r="D12" s="28" t="str">
        <x:v>Useful</x:v>
      </x:c>
      <x:c r="E12" s="28" t="e">
        <x:f>HYPERLINK("https://ieeexplore.ieee.org/servlet/opac?punumber=10794630","Open IEEE Xplore")</x:f>
        <x:v>HYPERLINK is not implemented. linkLocation=https://ieeexplore.ieee.org/servlet/opac?punumber=10794630, friendlyName=Open IEEE Xplore</x:v>
      </x:c>
      <x:c r="F12" s="28" t="e">
        <x:f>HYPERLINK("https://ieeexplore.ieee.org/browse/standards/get-program/page/series?id=68","Free via IEEE GET")</x:f>
        <x:v>HYPERLINK is not implemented. linkLocation=https://ieeexplore.ieee.org/browse/standards/get-program/page/series?id=68, friendlyName=Free via IEEE GET</x:v>
      </x:c>
      <x:c r="G12" s="28" t="str">
        <x:v>https://ieeexplore.ieee.org/servlet/opac?punumber=10794630</x:v>
      </x:c>
      <x:c r="H12" s="28" t="str">
        <x:v>https://ieeexplore.ieee.org/browse/standards/get-program/page/series?id=68</x:v>
      </x:c>
    </x:row>
    <x:row r="13">
      <x:c r="A13" s="28" t="str">
        <x:v>802.3-2022</x:v>
      </x:c>
      <x:c r="B13" s="28" t="str">
        <x:v>802.3-2022 - IEEE Standard for Ethernet</x:v>
      </x:c>
      <x:c r="C13" s="28" t="str">
        <x:v>EE 351</x:v>
      </x:c>
      <x:c r="D13" s="28" t="str">
        <x:v>Advanced</x:v>
      </x:c>
      <x:c r="E13" s="28" t="e">
        <x:f>HYPERLINK("https://ieeexplore.ieee.org/servlet/opac?punumber=9844414","Open IEEE Xplore")</x:f>
        <x:v>HYPERLINK is not implemented. linkLocation=https://ieeexplore.ieee.org/servlet/opac?punumber=9844414, friendlyName=Open IEEE Xplore</x:v>
      </x:c>
      <x:c r="F13" s="28" t="e">
        <x:f>HYPERLINK("https://ieeexplore.ieee.org/browse/standards/get-program/page/series?id=68","Free via IEEE GET")</x:f>
        <x:v>HYPERLINK is not implemented. linkLocation=https://ieeexplore.ieee.org/browse/standards/get-program/page/series?id=68, friendlyName=Free via IEEE GET</x:v>
      </x:c>
      <x:c r="G13" s="28" t="str">
        <x:v>https://ieeexplore.ieee.org/servlet/opac?punumber=9844414</x:v>
      </x:c>
      <x:c r="H13" s="28" t="str">
        <x:v>https://ieeexplore.ieee.org/browse/standards/get-program/page/series?id=68</x:v>
      </x:c>
    </x:row>
    <x:row r="14">
      <x:c r="A14" s="28" t="str">
        <x:v>C95.1-2019</x:v>
      </x:c>
      <x:c r="B14" s="28" t="str">
        <x:v>C95.1-2019 - IEEE Standard for Safety Levels with Respect to Human Exposure to Electric, Magnetic, and Electromagnetic Fields, 0 Hz to 300 GHz</x:v>
      </x:c>
      <x:c r="C14" s="28" t="str">
        <x:v>EE 341</x:v>
      </x:c>
      <x:c r="D14" s="28" t="str">
        <x:v>Core</x:v>
      </x:c>
      <x:c r="E14" s="28" t="e">
        <x:f>HYPERLINK("https://ieeexplore.ieee.org/servlet/opac?punumber=8859677","Open IEEE Xplore")</x:f>
        <x:v>HYPERLINK is not implemented. linkLocation=https://ieeexplore.ieee.org/servlet/opac?punumber=8859677, friendlyName=Open IEEE Xplore</x:v>
      </x:c>
      <x:c r="F14" s="28" t="e">
        <x:f>HYPERLINK("https://ieeexplore.ieee.org/browse/standards/get-program/page/series?id=82","Free via IEEE GET")</x:f>
        <x:v>HYPERLINK is not implemented. linkLocation=https://ieeexplore.ieee.org/browse/standards/get-program/page/series?id=82, friendlyName=Free via IEEE GET</x:v>
      </x:c>
      <x:c r="G14" s="28" t="str">
        <x:v>https://ieeexplore.ieee.org/servlet/opac?punumber=8859677</x:v>
      </x:c>
      <x:c r="H14" s="28" t="str">
        <x:v>https://ieeexplore.ieee.org/browse/standards/get-program/page/series?id=82</x:v>
      </x:c>
    </x:row>
    <x:row r="15">
      <x:c r="A15" s="28" t="str">
        <x:v>C95.3-2021</x:v>
      </x:c>
      <x:c r="B15" s="28" t="str">
        <x:v>C95.3-2021 - IEEE Recommended Practice for Measurements and Computations of Electric, Magnetic, and Electromagnetic Fields with Respect to Human Exposure to Such Fields, 0 Hz to 300 GHz</x:v>
      </x:c>
      <x:c r="C15" s="28" t="str">
        <x:v>EE 341</x:v>
      </x:c>
      <x:c r="D15" s="28" t="str">
        <x:v>Core</x:v>
      </x:c>
      <x:c r="E15" s="28" t="e">
        <x:f>HYPERLINK("https://ieeexplore.ieee.org/servlet/opac?punumber=9444271","Open IEEE Xplore")</x:f>
        <x:v>HYPERLINK is not implemented. linkLocation=https://ieeexplore.ieee.org/servlet/opac?punumber=9444271, friendlyName=Open IEEE Xplore</x:v>
      </x:c>
      <x:c r="F15" s="28" t="e">
        <x:f>HYPERLINK("https://ieeexplore.ieee.org/browse/standards/get-program/page/series?id=82","Free via IEEE GET")</x:f>
        <x:v>HYPERLINK is not implemented. linkLocation=https://ieeexplore.ieee.org/browse/standards/get-program/page/series?id=82, friendlyName=Free via IEEE GET</x:v>
      </x:c>
      <x:c r="G15" s="28" t="str">
        <x:v>https://ieeexplore.ieee.org/servlet/opac?punumber=9444271</x:v>
      </x:c>
      <x:c r="H15" s="28" t="str">
        <x:v>https://ieeexplore.ieee.org/browse/standards/get-program/page/series?id=82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1f3a9dc38884a8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  <x:col min="4" max="4" width="28" hidden="0" customWidth="1"/>
    <x:col min="5" max="5" width="18" hidden="0" customWidth="1"/>
  </x:cols>
  <x:sheetData>
    <x:row r="1" ht="30" customHeight="1">
      <x:c r="A1" s="5" t="str">
        <x:v>Scope, Access Definitions, and Sources</x:v>
      </x:c>
      <x:c r="B1" s="5"/>
      <x:c r="C1" s="5"/>
      <x:c r="D1" s="5"/>
      <x:c r="E1" s="5"/>
      <x:c r="F1" s="5"/>
    </x:row>
    <x:row r="3" ht="26" customHeight="1">
      <x:c r="A3" s="20" t="str">
        <x:v>Item</x:v>
      </x:c>
      <x:c r="B3" s="20" t="str">
        <x:v>Details</x:v>
      </x:c>
      <x:c r="D3" s="20" t="str">
        <x:v>Metric</x:v>
      </x:c>
      <x:c r="E3" s="20" t="str">
        <x:v>Value</x:v>
      </x:c>
    </x:row>
    <x:row r="4">
      <x:c r="A4" s="38" t="str">
        <x:v>Master source</x:v>
      </x:c>
      <x:c r="B4" s="26" t="str">
        <x:v>Uploaded file: IEEEXplore_Global_All-Standards.xlsx</x:v>
      </x:c>
      <x:c r="D4" s="36" t="str">
        <x:v>Core courses</x:v>
      </x:c>
      <x:c r="E4" t="n">
        <x:v>14</x:v>
      </x:c>
    </x:row>
    <x:row r="5">
      <x:c r="A5" s="38" t="str">
        <x:v>Selection rule</x:v>
      </x:c>
      <x:c r="B5" s="26" t="str">
        <x:v>When duplicate draft/redline/superseded records exist, the active approved base publication is selected.</x:v>
      </x:c>
      <x:c r="D5" s="36" t="str">
        <x:v>Course-standard mappings</x:v>
      </x:c>
      <x:c r="E5" t="n">
        <x:v>90</x:v>
      </x:c>
    </x:row>
    <x:row r="6">
      <x:c r="A6" s="38" t="str">
        <x:v>Free — IEEE GET</x:v>
      </x:c>
      <x:c r="B6" s="26" t="str">
        <x:v>Selected standard is currently available at no cost through the IEEE GET Program. The document remains copyrighted by IEEE.</x:v>
      </x:c>
      <x:c r="D6" s="36" t="str">
        <x:v>Unique standards</x:v>
      </x:c>
      <x:c r="E6" t="n">
        <x:v>66</x:v>
      </x:c>
    </x:row>
    <x:row r="7">
      <x:c r="A7" s="38" t="str">
        <x:v>Subscription / purchase</x:v>
      </x:c>
      <x:c r="B7" s="26" t="str">
        <x:v>Not identified in the current GET set used for this inventory. Access may be available through PSU's IEEE Xplore subscription or by purchase.</x:v>
      </x:c>
      <x:c r="D7" s="36" t="str">
        <x:v>Free via IEEE GET</x:v>
      </x:c>
      <x:c r="E7" t="n">
        <x:v>11</x:v>
      </x:c>
    </x:row>
    <x:row r="8">
      <x:c r="A8" s="38" t="str">
        <x:v>Free count</x:v>
      </x:c>
      <x:c r="B8" s="26" t="str">
        <x:v>11 of 66 unique standards in this curated inventory.</x:v>
      </x:c>
    </x:row>
    <x:row r="9">
      <x:c r="A9" s="38" t="str">
        <x:v>GET Program</x:v>
      </x:c>
      <x:c r="B9" s="26" t="str">
        <x:v>https://standards.ieee.org/products-programs/ieee-get-program/</x:v>
      </x:c>
    </x:row>
    <x:row r="10">
      <x:c r="A10" s="38" t="str">
        <x:v>Verification date</x:v>
      </x:c>
      <x:c r="B10" s="26" t="str">
        <x:v>2026-09-25</x:v>
      </x:c>
    </x:row>
    <x:row r="11">
      <x:c r="A11" s="38" t="str">
        <x:v>Important</x:v>
      </x:c>
      <x:c r="B11" s="26" t="str">
        <x:v>Access sponsorship can change. Recheck the IEEE GET page before publishing the access classification as a permanent portal field.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7" hidden="0" customWidth="1"/>
    <x:col min="3" max="3" width="12" hidden="0" customWidth="1"/>
    <x:col min="4" max="4" width="11" hidden="0" customWidth="1"/>
    <x:col min="5" max="5" width="21" hidden="0" customWidth="1"/>
    <x:col min="6" max="6" width="58" hidden="0" customWidth="1"/>
    <x:col min="7" max="7" width="54" hidden="0" customWidth="1"/>
    <x:col min="8" max="8" width="18" hidden="0" customWidth="1"/>
    <x:col min="9" max="9" width="20" hidden="0" customWidth="1"/>
    <x:col min="10" max="10" width="18" hidden="0" customWidth="1"/>
    <x:col min="11" max="11" width="48" hidden="0" customWidth="1"/>
    <x:col min="12" max="12" width="40" hidden="0" customWidth="1"/>
  </x:cols>
  <x:sheetData>
    <x:row r="1" ht="30" customHeight="1">
      <x:c r="A1" s="43" t="str">
        <x:v>ITU-R and ETSI / 3GPP Standards for BSc EE Core Courses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</x:row>
    <x:row r="2" ht="36" customHeight="1">
      <x:c r="A2" s="46" t="str">
        <x:v>Curated teaching additions to the IEEE inventory. ITU-R Recommendations, ETSI standards, and 3GPP specifications listed here are available online free of charge from their official organizations. Verified 2026-09-25.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</x:row>
    <x:row r="4" ht="28" customHeight="1">
      <x:c r="A4" s="51" t="str">
        <x:v>Course</x:v>
      </x:c>
      <x:c r="B4" s="51" t="str">
        <x:v>Course Title</x:v>
      </x:c>
      <x:c r="C4" s="51" t="str">
        <x:v>Organization</x:v>
      </x:c>
      <x:c r="D4" s="51" t="str">
        <x:v>Priority</x:v>
      </x:c>
      <x:c r="E4" s="51" t="str">
        <x:v>Standard / Spec</x:v>
      </x:c>
      <x:c r="F4" s="51" t="str">
        <x:v>Title</x:v>
      </x:c>
      <x:c r="G4" s="51" t="str">
        <x:v>Suggested Teaching Use</x:v>
      </x:c>
      <x:c r="H4" s="51" t="str">
        <x:v>Access Type</x:v>
      </x:c>
      <x:c r="I4" s="51" t="str">
        <x:v>Status</x:v>
      </x:c>
      <x:c r="J4" s="51" t="str">
        <x:v>Official Link</x:v>
      </x:c>
      <x:c r="K4" s="51" t="str">
        <x:v>Official URL</x:v>
      </x:c>
      <x:c r="L4" s="51" t="str">
        <x:v>Access Note</x:v>
      </x:c>
    </x:row>
    <x:row r="5">
      <x:c r="A5" s="28" t="str">
        <x:v>EE 211</x:v>
      </x:c>
      <x:c r="B5" s="28" t="str">
        <x:v>Electronic Fundamentals</x:v>
      </x:c>
      <x:c r="C5" s="28" t="str">
        <x:v>ETSI</x:v>
      </x:c>
      <x:c r="D5" s="28" t="str">
        <x:v>Useful</x:v>
      </x:c>
      <x:c r="E5" s="28" t="str">
        <x:v>EN 301 489-1 V2.2.3</x:v>
      </x:c>
      <x:c r="F5" s="28" t="str">
        <x:v>ElectroMagnetic Compatibility (EMC) standard for radio equipment and services; Part 1: Common technical requirements</x:v>
      </x:c>
      <x:c r="G5" s="28" t="str">
        <x:v>Introduce product-level EMC requirements for radio/electronic equipment and connect circuit design to emissions/immunity testing.</x:v>
      </x:c>
      <x:c r="H5" s="28" t="str">
        <x:v>Free — ETSI</x:v>
      </x:c>
      <x:c r="I5" s="28" t="str">
        <x:v>Published</x:v>
      </x:c>
      <x:c r="J5" s="28" t="e">
        <x:f>HYPERLINK("https://www.etsi.org/deliver/etsi_EN/301400_301499/30148901/02.02.03_60/en_30148901v020203p.pdf","Open official source")</x:f>
        <x:v>HYPERLINK is not implemented. linkLocation=https://www.etsi.org/deliver/etsi_EN/301400_301499/30148901/02.02.03_60/en_30148901v020203p.pdf, friendlyName=Open official source</x:v>
      </x:c>
      <x:c r="K5" s="28" t="str">
        <x:v>https://www.etsi.org/deliver/etsi_EN/301400_301499/30148901/02.02.03_60/en_30148901v020203p.pdf</x:v>
      </x:c>
      <x:c r="L5" s="28" t="str">
        <x:v>ETSI standards are downloadable in PDF free of charge.</x:v>
      </x:c>
    </x:row>
    <x:row r="6">
      <x:c r="A6" s="28" t="str">
        <x:v>EE 312</x:v>
      </x:c>
      <x:c r="B6" s="28" t="str">
        <x:v>Electronic Engineering</x:v>
      </x:c>
      <x:c r="C6" s="28" t="str">
        <x:v>ETSI</x:v>
      </x:c>
      <x:c r="D6" s="28" t="str">
        <x:v>Useful</x:v>
      </x:c>
      <x:c r="E6" s="28" t="str">
        <x:v>EN 301 489-1 V2.2.3</x:v>
      </x:c>
      <x:c r="F6" s="28" t="str">
        <x:v>ElectroMagnetic Compatibility (EMC) standard for radio equipment and services; Part 1: Common technical requirements</x:v>
      </x:c>
      <x:c r="G6" s="28" t="str">
        <x:v>Use as a practical product-EMC reference when discussing amplifier/device robustness, RF susceptibility, and emissions.</x:v>
      </x:c>
      <x:c r="H6" s="28" t="str">
        <x:v>Free — ETSI</x:v>
      </x:c>
      <x:c r="I6" s="28" t="str">
        <x:v>Published</x:v>
      </x:c>
      <x:c r="J6" s="28" t="e">
        <x:f>HYPERLINK("https://www.etsi.org/deliver/etsi_EN/301400_301499/30148901/02.02.03_60/en_30148901v020203p.pdf","Open official source")</x:f>
        <x:v>HYPERLINK is not implemented. linkLocation=https://www.etsi.org/deliver/etsi_EN/301400_301499/30148901/02.02.03_60/en_30148901v020203p.pdf, friendlyName=Open official source</x:v>
      </x:c>
      <x:c r="K6" s="28" t="str">
        <x:v>https://www.etsi.org/deliver/etsi_EN/301400_301499/30148901/02.02.03_60/en_30148901v020203p.pdf</x:v>
      </x:c>
      <x:c r="L6" s="28" t="str">
        <x:v>ETSI standards are downloadable in PDF free of charge.</x:v>
      </x:c>
    </x:row>
    <x:row r="7">
      <x:c r="A7" s="28" t="str">
        <x:v>EE 341</x:v>
      </x:c>
      <x:c r="B7" s="28" t="str">
        <x:v>Electromagnetics Fundamental</x:v>
      </x:c>
      <x:c r="C7" s="28" t="str">
        <x:v>ITU-R</x:v>
      </x:c>
      <x:c r="D7" s="28" t="str">
        <x:v>Core</x:v>
      </x:c>
      <x:c r="E7" s="28" t="str">
        <x:v>P.525-5</x:v>
      </x:c>
      <x:c r="F7" s="28" t="str">
        <x:v>Calculation of free-space attenuation</x:v>
      </x:c>
      <x:c r="G7" s="28" t="str">
        <x:v>Connect field propagation and power density to the standard free-space path-loss model used in radio-link engineering.</x:v>
      </x:c>
      <x:c r="H7" s="28" t="str">
        <x:v>Free — ITU-R</x:v>
      </x:c>
      <x:c r="I7" s="28" t="str">
        <x:v>In force</x:v>
      </x:c>
      <x:c r="J7" s="28" t="e">
        <x:f>HYPERLINK("https://www.itu.int/rec/R-REC-P.525-5-202411-I/en","Open official source")</x:f>
        <x:v>HYPERLINK is not implemented. linkLocation=https://www.itu.int/rec/R-REC-P.525-5-202411-I/en, friendlyName=Open official source</x:v>
      </x:c>
      <x:c r="K7" s="28" t="str">
        <x:v>https://www.itu.int/rec/R-REC-P.525-5-202411-I/en</x:v>
      </x:c>
      <x:c r="L7" s="28" t="str">
        <x:v>Current ITU-R Recommendations are freely accessible online.</x:v>
      </x:c>
    </x:row>
    <x:row r="8">
      <x:c r="A8" s="28" t="str">
        <x:v>EE 341</x:v>
      </x:c>
      <x:c r="B8" s="28" t="str">
        <x:v>Electromagnetics Fundamental</x:v>
      </x:c>
      <x:c r="C8" s="28" t="str">
        <x:v>ITU-R</x:v>
      </x:c>
      <x:c r="D8" s="28" t="str">
        <x:v>Useful</x:v>
      </x:c>
      <x:c r="E8" s="28" t="str">
        <x:v>P.676-13</x:v>
      </x:c>
      <x:c r="F8" s="28" t="str">
        <x:v>Attenuation by atmospheric gases and related effects</x:v>
      </x:c>
      <x:c r="G8" s="28" t="str">
        <x:v>Extend electromagnetic-wave propagation to oxygen/water-vapour absorption and frequency-dependent atmospheric loss.</x:v>
      </x:c>
      <x:c r="H8" s="28" t="str">
        <x:v>Free — ITU-R</x:v>
      </x:c>
      <x:c r="I8" s="28" t="str">
        <x:v>In force</x:v>
      </x:c>
      <x:c r="J8" s="28" t="e">
        <x:f>HYPERLINK("https://www.itu.int/rec/R-REC-P.676-13-202208-I","Open official source")</x:f>
        <x:v>HYPERLINK is not implemented. linkLocation=https://www.itu.int/rec/R-REC-P.676-13-202208-I, friendlyName=Open official source</x:v>
      </x:c>
      <x:c r="K8" s="28" t="str">
        <x:v>https://www.itu.int/rec/R-REC-P.676-13-202208-I</x:v>
      </x:c>
      <x:c r="L8" s="28" t="str">
        <x:v>Current ITU-R Recommendations are freely accessible online.</x:v>
      </x:c>
    </x:row>
    <x:row r="9">
      <x:c r="A9" s="28" t="str">
        <x:v>EE 341</x:v>
      </x:c>
      <x:c r="B9" s="28" t="str">
        <x:v>Electromagnetics Fundamental</x:v>
      </x:c>
      <x:c r="C9" s="28" t="str">
        <x:v>ITU-R</x:v>
      </x:c>
      <x:c r="D9" s="28" t="str">
        <x:v>Useful</x:v>
      </x:c>
      <x:c r="E9" s="28" t="str">
        <x:v>P.838-3</x:v>
      </x:c>
      <x:c r="F9" s="28" t="str">
        <x:v>Specific attenuation model for rain for use in prediction methods</x:v>
      </x:c>
      <x:c r="G9" s="28" t="str">
        <x:v>Use as a standards-based application of polarization, wavelength, and propagation loss in microwave links.</x:v>
      </x:c>
      <x:c r="H9" s="28" t="str">
        <x:v>Free — ITU-R</x:v>
      </x:c>
      <x:c r="I9" s="28" t="str">
        <x:v>In force</x:v>
      </x:c>
      <x:c r="J9" s="28" t="e">
        <x:f>HYPERLINK("https://www.itu.int/rec/R-REC-P.838-3-200503-I","Open official source")</x:f>
        <x:v>HYPERLINK is not implemented. linkLocation=https://www.itu.int/rec/R-REC-P.838-3-200503-I, friendlyName=Open official source</x:v>
      </x:c>
      <x:c r="K9" s="28" t="str">
        <x:v>https://www.itu.int/rec/R-REC-P.838-3-200503-I</x:v>
      </x:c>
      <x:c r="L9" s="28" t="str">
        <x:v>Current ITU-R Recommendations are freely accessible online.</x:v>
      </x:c>
    </x:row>
    <x:row r="10">
      <x:c r="A10" s="28" t="str">
        <x:v>EE 341</x:v>
      </x:c>
      <x:c r="B10" s="28" t="str">
        <x:v>Electromagnetics Fundamental</x:v>
      </x:c>
      <x:c r="C10" s="28" t="str">
        <x:v>ITU-R</x:v>
      </x:c>
      <x:c r="D10" s="28" t="str">
        <x:v>Advanced</x:v>
      </x:c>
      <x:c r="E10" s="28" t="str">
        <x:v>P.1411-13</x:v>
      </x:c>
      <x:c r="F10" s="28" t="str">
        <x:v>Propagation data and prediction methods for the planning of short-range outdoor radiocommunication systems and radio local area networks in the frequency range 300 MHz to 300 GHz</x:v>
      </x:c>
      <x:c r="G10" s="28" t="str">
        <x:v>Show how reflection, diffraction, blockage, and urban propagation are handled in practical short-range radio planning.</x:v>
      </x:c>
      <x:c r="H10" s="28" t="str">
        <x:v>Free — ITU-R</x:v>
      </x:c>
      <x:c r="I10" s="28" t="str">
        <x:v>In force</x:v>
      </x:c>
      <x:c r="J10" s="28" t="e">
        <x:f>HYPERLINK("https://www.itu.int/rec/R-REC-P.1411-13-202509-I/en","Open official source")</x:f>
        <x:v>HYPERLINK is not implemented. linkLocation=https://www.itu.int/rec/R-REC-P.1411-13-202509-I/en, friendlyName=Open official source</x:v>
      </x:c>
      <x:c r="K10" s="28" t="str">
        <x:v>https://www.itu.int/rec/R-REC-P.1411-13-202509-I/en</x:v>
      </x:c>
      <x:c r="L10" s="28" t="str">
        <x:v>Current ITU-R Recommendations are freely accessible online.</x:v>
      </x:c>
    </x:row>
    <x:row r="11">
      <x:c r="A11" s="28" t="str">
        <x:v>EE 341</x:v>
      </x:c>
      <x:c r="B11" s="28" t="str">
        <x:v>Electromagnetics Fundamental</x:v>
      </x:c>
      <x:c r="C11" s="28" t="str">
        <x:v>ITU-R</x:v>
      </x:c>
      <x:c r="D11" s="28" t="str">
        <x:v>Advanced</x:v>
      </x:c>
      <x:c r="E11" s="28" t="str">
        <x:v>P.1812-8</x:v>
      </x:c>
      <x:c r="F11" s="28" t="str">
        <x:v>A path-specific propagation prediction method for point-to-area terrestrial services in the frequency range 30 MHz to 6 GHz</x:v>
      </x:c>
      <x:c r="G11" s="28" t="str">
        <x:v>Provide an advanced example of terrain- and path-specific terrestrial propagation prediction.</x:v>
      </x:c>
      <x:c r="H11" s="28" t="str">
        <x:v>Free — ITU-R</x:v>
      </x:c>
      <x:c r="I11" s="28" t="str">
        <x:v>In force</x:v>
      </x:c>
      <x:c r="J11" s="28" t="e">
        <x:f>HYPERLINK("https://www.itu.int/rec/R-REC-P.1812-8-202509-I/en","Open official source")</x:f>
        <x:v>HYPERLINK is not implemented. linkLocation=https://www.itu.int/rec/R-REC-P.1812-8-202509-I/en, friendlyName=Open official source</x:v>
      </x:c>
      <x:c r="K11" s="28" t="str">
        <x:v>https://www.itu.int/rec/R-REC-P.1812-8-202509-I/en</x:v>
      </x:c>
      <x:c r="L11" s="28" t="str">
        <x:v>Current ITU-R Recommendations are freely accessible online.</x:v>
      </x:c>
    </x:row>
    <x:row r="12">
      <x:c r="A12" s="28" t="str">
        <x:v>EE 341</x:v>
      </x:c>
      <x:c r="B12" s="28" t="str">
        <x:v>Electromagnetics Fundamental</x:v>
      </x:c>
      <x:c r="C12" s="28" t="str">
        <x:v>ETSI</x:v>
      </x:c>
      <x:c r="D12" s="28" t="str">
        <x:v>Useful</x:v>
      </x:c>
      <x:c r="E12" s="28" t="str">
        <x:v>EN 300 328 V2.2.2</x:v>
      </x:c>
      <x:c r="F12" s="28" t="str">
        <x:v>Wideband transmission systems; Data transmission equipment operating in the 2,4 GHz band; Harmonised Standard for access to radio spectrum</x:v>
      </x:c>
      <x:c r="G12" s="28" t="str">
        <x:v>Use Wi-Fi/Bluetooth-class equipment as a practical example of spectrum masks, transmitter characteristics, and receiver requirements.</x:v>
      </x:c>
      <x:c r="H12" s="28" t="str">
        <x:v>Free — ETSI</x:v>
      </x:c>
      <x:c r="I12" s="28" t="str">
        <x:v>Published / OJ cited</x:v>
      </x:c>
      <x:c r="J12" s="28" t="e">
        <x:f>HYPERLINK("https://www.etsi.org/standards/search?search=EN+300+328","Open official source")</x:f>
        <x:v>HYPERLINK is not implemented. linkLocation=https://www.etsi.org/standards/search?search=EN+300+328, friendlyName=Open official source</x:v>
      </x:c>
      <x:c r="K12" s="28" t="str">
        <x:v>https://www.etsi.org/standards/search?search=EN+300+328</x:v>
      </x:c>
      <x:c r="L12" s="28" t="str">
        <x:v>ETSI standards are downloadable in PDF free of charge.</x:v>
      </x:c>
    </x:row>
    <x:row r="13">
      <x:c r="A13" s="28" t="str">
        <x:v>EE 341</x:v>
      </x:c>
      <x:c r="B13" s="28" t="str">
        <x:v>Electromagnetics Fundamental</x:v>
      </x:c>
      <x:c r="C13" s="28" t="str">
        <x:v>ETSI</x:v>
      </x:c>
      <x:c r="D13" s="28" t="str">
        <x:v>Useful</x:v>
      </x:c>
      <x:c r="E13" s="28" t="str">
        <x:v>EN 301 893 V2.2.1</x:v>
      </x:c>
      <x:c r="F13" s="28" t="str">
        <x:v>5 GHz WAS/RLAN; Harmonised Standard for access to radio spectrum</x:v>
      </x:c>
      <x:c r="G13" s="28" t="str">
        <x:v>Use a current 5 GHz RLAN standard to connect antenna/propagation concepts to real radio equipment limits and test methods.</x:v>
      </x:c>
      <x:c r="H13" s="28" t="str">
        <x:v>Free — ETSI</x:v>
      </x:c>
      <x:c r="I13" s="28" t="str">
        <x:v>Published / OJ cited</x:v>
      </x:c>
      <x:c r="J13" s="28" t="e">
        <x:f>HYPERLINK("https://www.etsi.org/wp-content/uploads/en_301893v020201p.pdf","Open official source")</x:f>
        <x:v>HYPERLINK is not implemented. linkLocation=https://www.etsi.org/wp-content/uploads/en_301893v020201p.pdf, friendlyName=Open official source</x:v>
      </x:c>
      <x:c r="K13" s="28" t="str">
        <x:v>https://www.etsi.org/wp-content/uploads/en_301893v020201p.pdf</x:v>
      </x:c>
      <x:c r="L13" s="28" t="str">
        <x:v>ETSI standards are downloadable in PDF free of charge.</x:v>
      </x:c>
    </x:row>
    <x:row r="14">
      <x:c r="A14" s="28" t="str">
        <x:v>EE 341</x:v>
      </x:c>
      <x:c r="B14" s="28" t="str">
        <x:v>Electromagnetics Fundamental</x:v>
      </x:c>
      <x:c r="C14" s="28" t="str">
        <x:v>ETSI</x:v>
      </x:c>
      <x:c r="D14" s="28" t="str">
        <x:v>Advanced</x:v>
      </x:c>
      <x:c r="E14" s="28" t="str">
        <x:v>EN 301 489-17 V3.3.1</x:v>
      </x:c>
      <x:c r="F14" s="28" t="str">
        <x:v>ElectroMagnetic Compatibility (EMC) standard for radio equipment and services; Part 17: Specific conditions for Broadband and Wideband Data Transmission Systems</x:v>
      </x:c>
      <x:c r="G14" s="28" t="str">
        <x:v>Introduce practical EMC test conditions and performance criteria for broadband wireless equipment.</x:v>
      </x:c>
      <x:c r="H14" s="28" t="str">
        <x:v>Free — ETSI</x:v>
      </x:c>
      <x:c r="I14" s="28" t="str">
        <x:v>Published / OJ cited</x:v>
      </x:c>
      <x:c r="J14" s="28" t="e">
        <x:f>HYPERLINK("https://portal.etsi.org/webapp/ewp/copy_file.asp?wki_id=63623","Open official source")</x:f>
        <x:v>HYPERLINK is not implemented. linkLocation=https://portal.etsi.org/webapp/ewp/copy_file.asp?wki_id=63623, friendlyName=Open official source</x:v>
      </x:c>
      <x:c r="K14" s="28" t="str">
        <x:v>https://portal.etsi.org/webapp/ewp/copy_file.asp?wki_id=63623</x:v>
      </x:c>
      <x:c r="L14" s="28" t="str">
        <x:v>ETSI standards are downloadable in PDF free of charge.</x:v>
      </x:c>
    </x:row>
    <x:row r="15">
      <x:c r="A15" s="28" t="str">
        <x:v>EE 351</x:v>
      </x:c>
      <x:c r="B15" s="28" t="str">
        <x:v>Communication Systems</x:v>
      </x:c>
      <x:c r="C15" s="28" t="str">
        <x:v>ITU-R</x:v>
      </x:c>
      <x:c r="D15" s="28" t="str">
        <x:v>Core</x:v>
      </x:c>
      <x:c r="E15" s="28" t="str">
        <x:v>BS.450-4</x:v>
      </x:c>
      <x:c r="F15" s="28" t="str">
        <x:v>Transmission standards for FM sound broadcasting at VHF</x:v>
      </x:c>
      <x:c r="G15" s="28" t="str">
        <x:v>Teach FM deviation, pre-emphasis, stereo pilot-tone multiplexing, and supplementary-signal placement from the actual broadcast recommendation.</x:v>
      </x:c>
      <x:c r="H15" s="28" t="str">
        <x:v>Free — ITU-R</x:v>
      </x:c>
      <x:c r="I15" s="28" t="str">
        <x:v>In force</x:v>
      </x:c>
      <x:c r="J15" s="28" t="e">
        <x:f>HYPERLINK("https://www.itu.int/rec/R-REC-BS.450-4-201910-I","Open official source")</x:f>
        <x:v>HYPERLINK is not implemented. linkLocation=https://www.itu.int/rec/R-REC-BS.450-4-201910-I, friendlyName=Open official source</x:v>
      </x:c>
      <x:c r="K15" s="28" t="str">
        <x:v>https://www.itu.int/rec/R-REC-BS.450-4-201910-I</x:v>
      </x:c>
      <x:c r="L15" s="28" t="str">
        <x:v>Current ITU-R Recommendations are freely accessible online.</x:v>
      </x:c>
    </x:row>
    <x:row r="16">
      <x:c r="A16" s="28" t="str">
        <x:v>EE 351</x:v>
      </x:c>
      <x:c r="B16" s="28" t="str">
        <x:v>Communication Systems</x:v>
      </x:c>
      <x:c r="C16" s="28" t="str">
        <x:v>ITU-R</x:v>
      </x:c>
      <x:c r="D16" s="28" t="str">
        <x:v>Useful</x:v>
      </x:c>
      <x:c r="E16" s="28" t="str">
        <x:v>BS.412-9</x:v>
      </x:c>
      <x:c r="F16" s="28" t="str">
        <x:v>Planning standards for terrestrial FM sound broadcasting at VHF</x:v>
      </x:c>
      <x:c r="G16" s="28" t="str">
        <x:v>Use protection ratios, channel spacing, and planning concepts to connect FM theory to broadcast-system engineering.</x:v>
      </x:c>
      <x:c r="H16" s="28" t="str">
        <x:v>Free — ITU-R</x:v>
      </x:c>
      <x:c r="I16" s="28" t="str">
        <x:v>In force</x:v>
      </x:c>
      <x:c r="J16" s="28" t="e">
        <x:f>HYPERLINK("https://www.itu.int/rec/R-REC-BS.412-9-199812-I/en","Open official source")</x:f>
        <x:v>HYPERLINK is not implemented. linkLocation=https://www.itu.int/rec/R-REC-BS.412-9-199812-I/en, friendlyName=Open official source</x:v>
      </x:c>
      <x:c r="K16" s="28" t="str">
        <x:v>https://www.itu.int/rec/R-REC-BS.412-9-199812-I/en</x:v>
      </x:c>
      <x:c r="L16" s="28" t="str">
        <x:v>Current ITU-R Recommendations are freely accessible online.</x:v>
      </x:c>
    </x:row>
    <x:row r="17">
      <x:c r="A17" s="28" t="str">
        <x:v>EE 351</x:v>
      </x:c>
      <x:c r="B17" s="28" t="str">
        <x:v>Communication Systems</x:v>
      </x:c>
      <x:c r="C17" s="28" t="str">
        <x:v>ITU-R</x:v>
      </x:c>
      <x:c r="D17" s="28" t="str">
        <x:v>Useful</x:v>
      </x:c>
      <x:c r="E17" s="28" t="str">
        <x:v>BS.643-4</x:v>
      </x:c>
      <x:c r="F17" s="28" t="str">
        <x:v>Radio data system for automatic tuning and other applications in FM radio receivers for use with the pilot-tone system</x:v>
      </x:c>
      <x:c r="G17" s="28" t="str">
        <x:v>Teach RDS as a real supplementary-data system on the 57 kHz subcarrier of the FM stereo multiplex.</x:v>
      </x:c>
      <x:c r="H17" s="28" t="str">
        <x:v>Free — ITU-R</x:v>
      </x:c>
      <x:c r="I17" s="28" t="str">
        <x:v>In force</x:v>
      </x:c>
      <x:c r="J17" s="28" t="e">
        <x:f>HYPERLINK("https://www.itu.int/rec/R-REC-BS.643-4-202212-I","Open official source")</x:f>
        <x:v>HYPERLINK is not implemented. linkLocation=https://www.itu.int/rec/R-REC-BS.643-4-202212-I, friendlyName=Open official source</x:v>
      </x:c>
      <x:c r="K17" s="28" t="str">
        <x:v>https://www.itu.int/rec/R-REC-BS.643-4-202212-I</x:v>
      </x:c>
      <x:c r="L17" s="28" t="str">
        <x:v>Current ITU-R Recommendations are freely accessible online.</x:v>
      </x:c>
    </x:row>
    <x:row r="18">
      <x:c r="A18" s="28" t="str">
        <x:v>EE 351</x:v>
      </x:c>
      <x:c r="B18" s="28" t="str">
        <x:v>Communication Systems</x:v>
      </x:c>
      <x:c r="C18" s="28" t="str">
        <x:v>ITU-R</x:v>
      </x:c>
      <x:c r="D18" s="28" t="str">
        <x:v>Useful</x:v>
      </x:c>
      <x:c r="E18" s="28" t="str">
        <x:v>BS.1194-2</x:v>
      </x:c>
      <x:c r="F18" s="28" t="str">
        <x:v>System for multiplexing frequency modulation (FM) sound broadcasts with a sub-carrier data channel having a relatively large transmission capacity for stationary and mobile reception</x:v>
      </x:c>
      <x:c r="G18" s="28" t="str">
        <x:v>Use DARC as a higher-rate FM subcarrier-data example and compare it with RDS in multiplexing, modulation, and data capacity.</x:v>
      </x:c>
      <x:c r="H18" s="28" t="str">
        <x:v>Free — ITU-R</x:v>
      </x:c>
      <x:c r="I18" s="28" t="str">
        <x:v>In force</x:v>
      </x:c>
      <x:c r="J18" s="28" t="e">
        <x:f>HYPERLINK("https://www.itu.int/rec/R-REC-BS.1194-2-199812-I/en","Open official source")</x:f>
        <x:v>HYPERLINK is not implemented. linkLocation=https://www.itu.int/rec/R-REC-BS.1194-2-199812-I/en, friendlyName=Open official source</x:v>
      </x:c>
      <x:c r="K18" s="28" t="str">
        <x:v>https://www.itu.int/rec/R-REC-BS.1194-2-199812-I/en</x:v>
      </x:c>
      <x:c r="L18" s="28" t="str">
        <x:v>Current ITU-R Recommendations are freely accessible online.</x:v>
      </x:c>
    </x:row>
    <x:row r="19">
      <x:c r="A19" s="28" t="str">
        <x:v>EE 351</x:v>
      </x:c>
      <x:c r="B19" s="28" t="str">
        <x:v>Communication Systems</x:v>
      </x:c>
      <x:c r="C19" s="28" t="str">
        <x:v>ITU-R</x:v>
      </x:c>
      <x:c r="D19" s="28" t="str">
        <x:v>Useful</x:v>
      </x:c>
      <x:c r="E19" s="28" t="str">
        <x:v>SM.329-13</x:v>
      </x:c>
      <x:c r="F19" s="28" t="str">
        <x:v>Unwanted emissions in the spurious domain</x:v>
      </x:c>
      <x:c r="G19" s="28" t="str">
        <x:v>Introduce transmitter spectral purity, spurious emissions, measurement bandwidths, and regulatory emission limits.</x:v>
      </x:c>
      <x:c r="H19" s="28" t="str">
        <x:v>Free — ITU-R</x:v>
      </x:c>
      <x:c r="I19" s="28" t="str">
        <x:v>In force</x:v>
      </x:c>
      <x:c r="J19" s="28" t="e">
        <x:f>HYPERLINK("https://www.itu.int/rec/R-REC-SM.329","Open official source")</x:f>
        <x:v>HYPERLINK is not implemented. linkLocation=https://www.itu.int/rec/R-REC-SM.329, friendlyName=Open official source</x:v>
      </x:c>
      <x:c r="K19" s="28" t="str">
        <x:v>https://www.itu.int/rec/R-REC-SM.329</x:v>
      </x:c>
      <x:c r="L19" s="28" t="str">
        <x:v>Current ITU-R Recommendations are freely accessible online.</x:v>
      </x:c>
    </x:row>
    <x:row r="20">
      <x:c r="A20" s="28" t="str">
        <x:v>EE 351</x:v>
      </x:c>
      <x:c r="B20" s="28" t="str">
        <x:v>Communication Systems</x:v>
      </x:c>
      <x:c r="C20" s="28" t="str">
        <x:v>ITU-R</x:v>
      </x:c>
      <x:c r="D20" s="28" t="str">
        <x:v>Useful</x:v>
      </x:c>
      <x:c r="E20" s="28" t="str">
        <x:v>SM.1541-7</x:v>
      </x:c>
      <x:c r="F20" s="28" t="str">
        <x:v>Unwanted emissions in the out-of-band domain</x:v>
      </x:c>
      <x:c r="G20" s="28" t="str">
        <x:v>Relate modulation bandwidth and filtering to out-of-band emissions and spectrum masks.</x:v>
      </x:c>
      <x:c r="H20" s="28" t="str">
        <x:v>Free — ITU-R</x:v>
      </x:c>
      <x:c r="I20" s="28" t="str">
        <x:v>In force</x:v>
      </x:c>
      <x:c r="J20" s="28" t="e">
        <x:f>HYPERLINK("https://www.itu.int/rec/R-REC-SM.1541/en","Open official source")</x:f>
        <x:v>HYPERLINK is not implemented. linkLocation=https://www.itu.int/rec/R-REC-SM.1541/en, friendlyName=Open official source</x:v>
      </x:c>
      <x:c r="K20" s="28" t="str">
        <x:v>https://www.itu.int/rec/R-REC-SM.1541/en</x:v>
      </x:c>
      <x:c r="L20" s="28" t="str">
        <x:v>Current ITU-R Recommendations are freely accessible online.</x:v>
      </x:c>
    </x:row>
    <x:row r="21">
      <x:c r="A21" s="28" t="str">
        <x:v>EE 351</x:v>
      </x:c>
      <x:c r="B21" s="28" t="str">
        <x:v>Communication Systems</x:v>
      </x:c>
      <x:c r="C21" s="28" t="str">
        <x:v>ITU-R</x:v>
      </x:c>
      <x:c r="D21" s="28" t="str">
        <x:v>Useful</x:v>
      </x:c>
      <x:c r="E21" s="28" t="str">
        <x:v>M.1036-8</x:v>
      </x:c>
      <x:c r="F21" s="28" t="str">
        <x:v>Frequency arrangements for implementation of the terrestrial component of International Mobile Telecommunications in the bands identified for IMT in the Radio Regulations</x:v>
      </x:c>
      <x:c r="G21" s="28" t="str">
        <x:v>Use current IMT band arrangements to teach FDD/TDD, paired/unpaired spectrum, and cellular frequency planning.</x:v>
      </x:c>
      <x:c r="H21" s="28" t="str">
        <x:v>Free — ITU-R</x:v>
      </x:c>
      <x:c r="I21" s="28" t="str">
        <x:v>In force</x:v>
      </x:c>
      <x:c r="J21" s="28" t="e">
        <x:f>HYPERLINK("https://www.itu.int/rec/R-REC-M.1036","Open official source")</x:f>
        <x:v>HYPERLINK is not implemented. linkLocation=https://www.itu.int/rec/R-REC-M.1036, friendlyName=Open official source</x:v>
      </x:c>
      <x:c r="K21" s="28" t="str">
        <x:v>https://www.itu.int/rec/R-REC-M.1036</x:v>
      </x:c>
      <x:c r="L21" s="28" t="str">
        <x:v>Current ITU-R Recommendations are freely accessible online.</x:v>
      </x:c>
    </x:row>
    <x:row r="22">
      <x:c r="A22" s="28" t="str">
        <x:v>EE 351</x:v>
      </x:c>
      <x:c r="B22" s="28" t="str">
        <x:v>Communication Systems</x:v>
      </x:c>
      <x:c r="C22" s="28" t="str">
        <x:v>ITU-R</x:v>
      </x:c>
      <x:c r="D22" s="28" t="str">
        <x:v>Advanced</x:v>
      </x:c>
      <x:c r="E22" s="28" t="str">
        <x:v>M.1457-15</x:v>
      </x:c>
      <x:c r="F22" s="28" t="str">
        <x:v>Detailed specifications of the terrestrial radio interfaces of International Mobile Telecommunications-2000 (IMT-2000)</x:v>
      </x:c>
      <x:c r="G22" s="28" t="str">
        <x:v>Provide historical 3G context when comparing the evolution of cellular air interfaces.</x:v>
      </x:c>
      <x:c r="H22" s="28" t="str">
        <x:v>Free — ITU-R</x:v>
      </x:c>
      <x:c r="I22" s="28" t="str">
        <x:v>In force</x:v>
      </x:c>
      <x:c r="J22" s="28" t="e">
        <x:f>HYPERLINK("https://www.itu.int/rec/R-REC-M.1457-15-202010-I/en","Open official source")</x:f>
        <x:v>HYPERLINK is not implemented. linkLocation=https://www.itu.int/rec/R-REC-M.1457-15-202010-I/en, friendlyName=Open official source</x:v>
      </x:c>
      <x:c r="K22" s="28" t="str">
        <x:v>https://www.itu.int/rec/R-REC-M.1457-15-202010-I/en</x:v>
      </x:c>
      <x:c r="L22" s="28" t="str">
        <x:v>Current ITU-R Recommendations are freely accessible online.</x:v>
      </x:c>
    </x:row>
    <x:row r="23">
      <x:c r="A23" s="28" t="str">
        <x:v>EE 351</x:v>
      </x:c>
      <x:c r="B23" s="28" t="str">
        <x:v>Communication Systems</x:v>
      </x:c>
      <x:c r="C23" s="28" t="str">
        <x:v>ITU-R</x:v>
      </x:c>
      <x:c r="D23" s="28" t="str">
        <x:v>Advanced</x:v>
      </x:c>
      <x:c r="E23" s="28" t="str">
        <x:v>M.2012-7</x:v>
      </x:c>
      <x:c r="F23" s="28" t="str">
        <x:v>Detailed specifications of the terrestrial radio interfaces of International Mobile Telecommunications Advanced (IMT-Advanced)</x:v>
      </x:c>
      <x:c r="G23" s="28" t="str">
        <x:v>Use as a standards bridge to 4G/LTE-Advanced and the ITU definition of IMT-Advanced.</x:v>
      </x:c>
      <x:c r="H23" s="28" t="str">
        <x:v>Free — ITU-R</x:v>
      </x:c>
      <x:c r="I23" s="28" t="str">
        <x:v>In force</x:v>
      </x:c>
      <x:c r="J23" s="28" t="e">
        <x:f>HYPERLINK("https://www.itu.int/rec/R-REC-M.2012-7-202602-I/en","Open official source")</x:f>
        <x:v>HYPERLINK is not implemented. linkLocation=https://www.itu.int/rec/R-REC-M.2012-7-202602-I/en, friendlyName=Open official source</x:v>
      </x:c>
      <x:c r="K23" s="28" t="str">
        <x:v>https://www.itu.int/rec/R-REC-M.2012-7-202602-I/en</x:v>
      </x:c>
      <x:c r="L23" s="28" t="str">
        <x:v>Current ITU-R Recommendations are freely accessible online.</x:v>
      </x:c>
    </x:row>
    <x:row r="24">
      <x:c r="A24" s="28" t="str">
        <x:v>EE 351</x:v>
      </x:c>
      <x:c r="B24" s="28" t="str">
        <x:v>Communication Systems</x:v>
      </x:c>
      <x:c r="C24" s="28" t="str">
        <x:v>ITU-R</x:v>
      </x:c>
      <x:c r="D24" s="28" t="str">
        <x:v>Useful</x:v>
      </x:c>
      <x:c r="E24" s="28" t="str">
        <x:v>M.2150-3</x:v>
      </x:c>
      <x:c r="F24" s="28" t="str">
        <x:v>Detailed specifications of the terrestrial radio interfaces of International Mobile Telecommunications-2020 (IMT-2020)</x:v>
      </x:c>
      <x:c r="G24" s="28" t="str">
        <x:v>Use the ITU-recognized 5G radio-interface framework to connect course modulation concepts to IMT-2020.</x:v>
      </x:c>
      <x:c r="H24" s="28" t="str">
        <x:v>Free — ITU-R</x:v>
      </x:c>
      <x:c r="I24" s="28" t="str">
        <x:v>In force</x:v>
      </x:c>
      <x:c r="J24" s="28" t="e">
        <x:f>HYPERLINK("https://www.itu.int/rec/R-REC-M.2150","Open official source")</x:f>
        <x:v>HYPERLINK is not implemented. linkLocation=https://www.itu.int/rec/R-REC-M.2150, friendlyName=Open official source</x:v>
      </x:c>
      <x:c r="K24" s="28" t="str">
        <x:v>https://www.itu.int/rec/R-REC-M.2150</x:v>
      </x:c>
      <x:c r="L24" s="28" t="str">
        <x:v>Current ITU-R Recommendations are freely accessible online.</x:v>
      </x:c>
    </x:row>
    <x:row r="25">
      <x:c r="A25" s="28" t="str">
        <x:v>EE 351</x:v>
      </x:c>
      <x:c r="B25" s="28" t="str">
        <x:v>Communication Systems</x:v>
      </x:c>
      <x:c r="C25" s="28" t="str">
        <x:v>ITU-R</x:v>
      </x:c>
      <x:c r="D25" s="28" t="str">
        <x:v>Useful</x:v>
      </x:c>
      <x:c r="E25" s="28" t="str">
        <x:v>P.525-5</x:v>
      </x:c>
      <x:c r="F25" s="28" t="str">
        <x:v>Calculation of free-space attenuation</x:v>
      </x:c>
      <x:c r="G25" s="28" t="str">
        <x:v>Use in link-budget examples and to connect transmitted power, antenna gains, wavelength, and received power.</x:v>
      </x:c>
      <x:c r="H25" s="28" t="str">
        <x:v>Free — ITU-R</x:v>
      </x:c>
      <x:c r="I25" s="28" t="str">
        <x:v>In force</x:v>
      </x:c>
      <x:c r="J25" s="28" t="e">
        <x:f>HYPERLINK("https://www.itu.int/rec/R-REC-P.525-5-202411-I/en","Open official source")</x:f>
        <x:v>HYPERLINK is not implemented. linkLocation=https://www.itu.int/rec/R-REC-P.525-5-202411-I/en, friendlyName=Open official source</x:v>
      </x:c>
      <x:c r="K25" s="28" t="str">
        <x:v>https://www.itu.int/rec/R-REC-P.525-5-202411-I/en</x:v>
      </x:c>
      <x:c r="L25" s="28" t="str">
        <x:v>Current ITU-R Recommendations are freely accessible online.</x:v>
      </x:c>
    </x:row>
    <x:row r="26">
      <x:c r="A26" s="28" t="str">
        <x:v>EE 351</x:v>
      </x:c>
      <x:c r="B26" s="28" t="str">
        <x:v>Communication Systems</x:v>
      </x:c>
      <x:c r="C26" s="28" t="str">
        <x:v>ITU-R</x:v>
      </x:c>
      <x:c r="D26" s="28" t="str">
        <x:v>Advanced</x:v>
      </x:c>
      <x:c r="E26" s="28" t="str">
        <x:v>P.1411-13</x:v>
      </x:c>
      <x:c r="F26" s="28" t="str">
        <x:v>Propagation data and prediction methods for the planning of short-range outdoor radiocommunication systems and radio local area networks in the frequency range 300 MHz to 300 GHz</x:v>
      </x:c>
      <x:c r="G26" s="28" t="str">
        <x:v>Use as an advanced wireless-channel/propagation reference for WLAN and cellular examples.</x:v>
      </x:c>
      <x:c r="H26" s="28" t="str">
        <x:v>Free — ITU-R</x:v>
      </x:c>
      <x:c r="I26" s="28" t="str">
        <x:v>In force</x:v>
      </x:c>
      <x:c r="J26" s="28" t="e">
        <x:f>HYPERLINK("https://www.itu.int/rec/R-REC-P.1411-13-202509-I/en","Open official source")</x:f>
        <x:v>HYPERLINK is not implemented. linkLocation=https://www.itu.int/rec/R-REC-P.1411-13-202509-I/en, friendlyName=Open official source</x:v>
      </x:c>
      <x:c r="K26" s="28" t="str">
        <x:v>https://www.itu.int/rec/R-REC-P.1411-13-202509-I/en</x:v>
      </x:c>
      <x:c r="L26" s="28" t="str">
        <x:v>Current ITU-R Recommendations are freely accessible online.</x:v>
      </x:c>
    </x:row>
    <x:row r="27">
      <x:c r="A27" s="28" t="str">
        <x:v>EE 351</x:v>
      </x:c>
      <x:c r="B27" s="28" t="str">
        <x:v>Communication Systems</x:v>
      </x:c>
      <x:c r="C27" s="28" t="str">
        <x:v>ETSI</x:v>
      </x:c>
      <x:c r="D27" s="28" t="str">
        <x:v>Useful</x:v>
      </x:c>
      <x:c r="E27" s="28" t="str">
        <x:v>EN 300 401 V2.2.1</x:v>
      </x:c>
      <x:c r="F27" s="28" t="str">
        <x:v>Radio Broadcasting Systems; Digital Audio Broadcasting (DAB) to mobile, portable and fixed receivers</x:v>
      </x:c>
      <x:c r="G27" s="28" t="str">
        <x:v>Use DAB framing, channel coding, modulation, and multiplex structure as a digital-broadcasting case study.</x:v>
      </x:c>
      <x:c r="H27" s="28" t="str">
        <x:v>Free — ETSI</x:v>
      </x:c>
      <x:c r="I27" s="28" t="str">
        <x:v>Published</x:v>
      </x:c>
      <x:c r="J27" s="28" t="e">
        <x:f>HYPERLINK("https://portal.etsi.org/webapp/WorkProgram/Report_WorkItem.asp?WKI_ID=74829","Open official source")</x:f>
        <x:v>HYPERLINK is not implemented. linkLocation=https://portal.etsi.org/webapp/WorkProgram/Report_WorkItem.asp?WKI_ID=74829, friendlyName=Open official source</x:v>
      </x:c>
      <x:c r="K27" s="28" t="str">
        <x:v>https://portal.etsi.org/webapp/WorkProgram/Report_WorkItem.asp?WKI_ID=74829</x:v>
      </x:c>
      <x:c r="L27" s="28" t="str">
        <x:v>ETSI standards are downloadable in PDF free of charge.</x:v>
      </x:c>
    </x:row>
    <x:row r="28">
      <x:c r="A28" s="28" t="str">
        <x:v>EE 351</x:v>
      </x:c>
      <x:c r="B28" s="28" t="str">
        <x:v>Communication Systems</x:v>
      </x:c>
      <x:c r="C28" s="28" t="str">
        <x:v>ETSI</x:v>
      </x:c>
      <x:c r="D28" s="28" t="str">
        <x:v>Advanced</x:v>
      </x:c>
      <x:c r="E28" s="28" t="str">
        <x:v>EN 300 751 V1.2.1</x:v>
      </x:c>
      <x:c r="F28" s="28" t="str">
        <x:v>Radio broadcasting systems; DAta Radio Channel (DARC); System for wireless infotainment forwarding and teledistribution</x:v>
      </x:c>
      <x:c r="G28" s="28" t="str">
        <x:v>Pair with ITU-R BS.1194 to study DARC framing/multiplexing in more implementation detail.</x:v>
      </x:c>
      <x:c r="H28" s="28" t="str">
        <x:v>Free — ETSI</x:v>
      </x:c>
      <x:c r="I28" s="28" t="str">
        <x:v>Published (legacy)</x:v>
      </x:c>
      <x:c r="J28" s="28" t="e">
        <x:f>HYPERLINK("https://www.etsi.org/deliver/etsi_en/300700_300799/300751/01.02.01_60/en_300751v010201p.pdf","Open official source")</x:f>
        <x:v>HYPERLINK is not implemented. linkLocation=https://www.etsi.org/deliver/etsi_en/300700_300799/300751/01.02.01_60/en_300751v010201p.pdf, friendlyName=Open official source</x:v>
      </x:c>
      <x:c r="K28" s="28" t="str">
        <x:v>https://www.etsi.org/deliver/etsi_en/300700_300799/300751/01.02.01_60/en_300751v010201p.pdf</x:v>
      </x:c>
      <x:c r="L28" s="28" t="str">
        <x:v>ETSI standards are downloadable in PDF free of charge.</x:v>
      </x:c>
    </x:row>
    <x:row r="29">
      <x:c r="A29" s="28" t="str">
        <x:v>EE 351</x:v>
      </x:c>
      <x:c r="B29" s="28" t="str">
        <x:v>Communication Systems</x:v>
      </x:c>
      <x:c r="C29" s="28" t="str">
        <x:v>ETSI</x:v>
      </x:c>
      <x:c r="D29" s="28" t="str">
        <x:v>Useful</x:v>
      </x:c>
      <x:c r="E29" s="28" t="str">
        <x:v>EN 300 328 V2.2.2</x:v>
      </x:c>
      <x:c r="F29" s="28" t="str">
        <x:v>Wideband transmission systems; Data transmission equipment operating in the 2,4 GHz band; Harmonised Standard for access to radio spectrum</x:v>
      </x:c>
      <x:c r="G29" s="28" t="str">
        <x:v>Connect spread-spectrum/wideband modulation to real transmitter/receiver radio-spectrum requirements.</x:v>
      </x:c>
      <x:c r="H29" s="28" t="str">
        <x:v>Free — ETSI</x:v>
      </x:c>
      <x:c r="I29" s="28" t="str">
        <x:v>Published / OJ cited</x:v>
      </x:c>
      <x:c r="J29" s="28" t="e">
        <x:f>HYPERLINK("https://www.etsi.org/standards/search?search=EN+300+328","Open official source")</x:f>
        <x:v>HYPERLINK is not implemented. linkLocation=https://www.etsi.org/standards/search?search=EN+300+328, friendlyName=Open official source</x:v>
      </x:c>
      <x:c r="K29" s="28" t="str">
        <x:v>https://www.etsi.org/standards/search?search=EN+300+328</x:v>
      </x:c>
      <x:c r="L29" s="28" t="str">
        <x:v>ETSI standards are downloadable in PDF free of charge.</x:v>
      </x:c>
    </x:row>
    <x:row r="30">
      <x:c r="A30" s="28" t="str">
        <x:v>EE 351</x:v>
      </x:c>
      <x:c r="B30" s="28" t="str">
        <x:v>Communication Systems</x:v>
      </x:c>
      <x:c r="C30" s="28" t="str">
        <x:v>ETSI</x:v>
      </x:c>
      <x:c r="D30" s="28" t="str">
        <x:v>Useful</x:v>
      </x:c>
      <x:c r="E30" s="28" t="str">
        <x:v>EN 301 893 V2.2.1</x:v>
      </x:c>
      <x:c r="F30" s="28" t="str">
        <x:v>5 GHz WAS/RLAN; Harmonised Standard for access to radio spectrum</x:v>
      </x:c>
      <x:c r="G30" s="28" t="str">
        <x:v>Use 5 GHz WLAN requirements as a practical extension of channel bandwidth, spectral mask, coexistence, and DFS concepts.</x:v>
      </x:c>
      <x:c r="H30" s="28" t="str">
        <x:v>Free — ETSI</x:v>
      </x:c>
      <x:c r="I30" s="28" t="str">
        <x:v>Published / OJ cited</x:v>
      </x:c>
      <x:c r="J30" s="28" t="e">
        <x:f>HYPERLINK("https://www.etsi.org/wp-content/uploads/en_301893v020201p.pdf","Open official source")</x:f>
        <x:v>HYPERLINK is not implemented. linkLocation=https://www.etsi.org/wp-content/uploads/en_301893v020201p.pdf, friendlyName=Open official source</x:v>
      </x:c>
      <x:c r="K30" s="28" t="str">
        <x:v>https://www.etsi.org/wp-content/uploads/en_301893v020201p.pdf</x:v>
      </x:c>
      <x:c r="L30" s="28" t="str">
        <x:v>ETSI standards are downloadable in PDF free of charge.</x:v>
      </x:c>
    </x:row>
    <x:row r="31">
      <x:c r="A31" s="28" t="str">
        <x:v>EE 351</x:v>
      </x:c>
      <x:c r="B31" s="28" t="str">
        <x:v>Communication Systems</x:v>
      </x:c>
      <x:c r="C31" s="28" t="str">
        <x:v>ETSI</x:v>
      </x:c>
      <x:c r="D31" s="28" t="str">
        <x:v>Advanced</x:v>
      </x:c>
      <x:c r="E31" s="28" t="str">
        <x:v>EN 301 489-17 V3.3.1</x:v>
      </x:c>
      <x:c r="F31" s="28" t="str">
        <x:v>ElectroMagnetic Compatibility (EMC) standard for radio equipment and services; Part 17: Specific conditions for Broadband and Wideband Data Transmission Systems</x:v>
      </x:c>
      <x:c r="G31" s="28" t="str">
        <x:v>Introduce the EMC performance criteria that real wireless devices must satisfy in addition to communication performance.</x:v>
      </x:c>
      <x:c r="H31" s="28" t="str">
        <x:v>Free — ETSI</x:v>
      </x:c>
      <x:c r="I31" s="28" t="str">
        <x:v>Published / OJ cited</x:v>
      </x:c>
      <x:c r="J31" s="28" t="e">
        <x:f>HYPERLINK("https://portal.etsi.org/webapp/ewp/copy_file.asp?wki_id=63623","Open official source")</x:f>
        <x:v>HYPERLINK is not implemented. linkLocation=https://portal.etsi.org/webapp/ewp/copy_file.asp?wki_id=63623, friendlyName=Open official source</x:v>
      </x:c>
      <x:c r="K31" s="28" t="str">
        <x:v>https://portal.etsi.org/webapp/ewp/copy_file.asp?wki_id=63623</x:v>
      </x:c>
      <x:c r="L31" s="28" t="str">
        <x:v>ETSI standards are downloadable in PDF free of charge.</x:v>
      </x:c>
    </x:row>
    <x:row r="32">
      <x:c r="A32" s="28" t="str">
        <x:v>EE 351</x:v>
      </x:c>
      <x:c r="B32" s="28" t="str">
        <x:v>Communication Systems</x:v>
      </x:c>
      <x:c r="C32" s="28" t="str">
        <x:v>3GPP</x:v>
      </x:c>
      <x:c r="D32" s="28" t="str">
        <x:v>Core</x:v>
      </x:c>
      <x:c r="E32" s="28" t="str">
        <x:v>TS 38.211</x:v>
      </x:c>
      <x:c r="F32" s="28" t="str">
        <x:v>NR; Physical channels and modulation</x:v>
      </x:c>
      <x:c r="G32" s="28" t="str">
        <x:v>Use the actual 5G NR physical-layer specification to study OFDM numerology, physical channels, reference signals, and modulation mapping.</x:v>
      </x:c>
      <x:c r="H32" s="28" t="str">
        <x:v>Free — 3GPP</x:v>
      </x:c>
      <x:c r="I32" s="28" t="str">
        <x:v>Under change control</x:v>
      </x:c>
      <x:c r="J32" s="28" t="e">
        <x:f>HYPERLINK("https://portal.3gpp.org/desktopmodules/Specifications/SpecificationDetails.aspx?specificationId=3213","Open official source")</x:f>
        <x:v>HYPERLINK is not implemented. linkLocation=https://portal.3gpp.org/desktopmodules/Specifications/SpecificationDetails.aspx?specificationId=3213, friendlyName=Open official source</x:v>
      </x:c>
      <x:c r="K32" s="28" t="str">
        <x:v>https://portal.3gpp.org/desktopmodules/Specifications/SpecificationDetails.aspx?specificationId=3213</x:v>
      </x:c>
      <x:c r="L32" s="28" t="str">
        <x:v>3GPP specifications are made available free of charge.</x:v>
      </x:c>
    </x:row>
    <x:row r="33">
      <x:c r="A33" s="28" t="str">
        <x:v>EE 351</x:v>
      </x:c>
      <x:c r="B33" s="28" t="str">
        <x:v>Communication Systems</x:v>
      </x:c>
      <x:c r="C33" s="28" t="str">
        <x:v>3GPP</x:v>
      </x:c>
      <x:c r="D33" s="28" t="str">
        <x:v>Core</x:v>
      </x:c>
      <x:c r="E33" s="28" t="str">
        <x:v>TS 38.212</x:v>
      </x:c>
      <x:c r="F33" s="28" t="str">
        <x:v>NR; Multiplexing and channel coding</x:v>
      </x:c>
      <x:c r="G33" s="28" t="str">
        <x:v>Connect coding theory to practical CRC, LDPC, Polar coding, rate matching, and transport-channel processing in 5G NR.</x:v>
      </x:c>
      <x:c r="H33" s="28" t="str">
        <x:v>Free — 3GPP</x:v>
      </x:c>
      <x:c r="I33" s="28" t="str">
        <x:v>Under change control</x:v>
      </x:c>
      <x:c r="J33" s="28" t="e">
        <x:f>HYPERLINK("https://portal.3gpp.org/desktopmodules/Specifications/SpecificationDetails.aspx?specificationId=3214","Open official source")</x:f>
        <x:v>HYPERLINK is not implemented. linkLocation=https://portal.3gpp.org/desktopmodules/Specifications/SpecificationDetails.aspx?specificationId=3214, friendlyName=Open official source</x:v>
      </x:c>
      <x:c r="K33" s="28" t="str">
        <x:v>https://portal.3gpp.org/desktopmodules/Specifications/SpecificationDetails.aspx?specificationId=3214</x:v>
      </x:c>
      <x:c r="L33" s="28" t="str">
        <x:v>3GPP specifications are made available free of charge.</x:v>
      </x:c>
    </x:row>
    <x:row r="34">
      <x:c r="A34" s="28" t="str">
        <x:v>EE 351</x:v>
      </x:c>
      <x:c r="B34" s="28" t="str">
        <x:v>Communication Systems</x:v>
      </x:c>
      <x:c r="C34" s="28" t="str">
        <x:v>3GPP</x:v>
      </x:c>
      <x:c r="D34" s="28" t="str">
        <x:v>Useful</x:v>
      </x:c>
      <x:c r="E34" s="28" t="str">
        <x:v>TS 38.300</x:v>
      </x:c>
      <x:c r="F34" s="28" t="str">
        <x:v>NR; NR and NG-RAN Overall description; Stage-2</x:v>
      </x:c>
      <x:c r="G34" s="28" t="str">
        <x:v>Give students the system-level context needed to see where the physical layer fits within the 5G radio-access network.</x:v>
      </x:c>
      <x:c r="H34" s="28" t="str">
        <x:v>Free — 3GPP</x:v>
      </x:c>
      <x:c r="I34" s="28" t="str">
        <x:v>Under change control</x:v>
      </x:c>
      <x:c r="J34" s="28" t="e">
        <x:f>HYPERLINK("https://portal.3gpp.org/desktopmodules/Specifications/SpecificationDetails.aspx?specificationId=3191","Open official source")</x:f>
        <x:v>HYPERLINK is not implemented. linkLocation=https://portal.3gpp.org/desktopmodules/Specifications/SpecificationDetails.aspx?specificationId=3191, friendlyName=Open official source</x:v>
      </x:c>
      <x:c r="K34" s="28" t="str">
        <x:v>https://portal.3gpp.org/desktopmodules/Specifications/SpecificationDetails.aspx?specificationId=3191</x:v>
      </x:c>
      <x:c r="L34" s="28" t="str">
        <x:v>3GPP specifications are made available free of charge.</x:v>
      </x:c>
    </x:row>
    <x:row r="35">
      <x:c r="A35" s="28" t="str">
        <x:v>EE 351</x:v>
      </x:c>
      <x:c r="B35" s="28" t="str">
        <x:v>Communication Systems</x:v>
      </x:c>
      <x:c r="C35" s="28" t="str">
        <x:v>3GPP</x:v>
      </x:c>
      <x:c r="D35" s="28" t="str">
        <x:v>Useful</x:v>
      </x:c>
      <x:c r="E35" s="28" t="str">
        <x:v>TS 38.214</x:v>
      </x:c>
      <x:c r="F35" s="28" t="str">
        <x:v>NR; Physical layer procedures for data</x:v>
      </x:c>
      <x:c r="G35" s="28" t="str">
        <x:v>Use as an advanced reference for MCS selection, MIMO-related procedures, resource allocation, and data transmission behavior.</x:v>
      </x:c>
      <x:c r="H35" s="28" t="str">
        <x:v>Free — 3GPP</x:v>
      </x:c>
      <x:c r="I35" s="28" t="str">
        <x:v>Under change control</x:v>
      </x:c>
      <x:c r="J35" s="28" t="e">
        <x:f>HYPERLINK("https://portal.3gpp.org/desktopmodules/Specifications/SpecificationDetails.aspx?specificationId=3216","Open official source")</x:f>
        <x:v>HYPERLINK is not implemented. linkLocation=https://portal.3gpp.org/desktopmodules/Specifications/SpecificationDetails.aspx?specificationId=3216, friendlyName=Open official source</x:v>
      </x:c>
      <x:c r="K35" s="28" t="str">
        <x:v>https://portal.3gpp.org/desktopmodules/Specifications/SpecificationDetails.aspx?specificationId=3216</x:v>
      </x:c>
      <x:c r="L35" s="28" t="str">
        <x:v>3GPP specifications are made available free of charge.</x:v>
      </x:c>
    </x:row>
    <x:row r="36">
      <x:c r="A36" s="28" t="str">
        <x:v>EE 351</x:v>
      </x:c>
      <x:c r="B36" s="28" t="str">
        <x:v>Communication Systems</x:v>
      </x:c>
      <x:c r="C36" s="28" t="str">
        <x:v>3GPP</x:v>
      </x:c>
      <x:c r="D36" s="28" t="str">
        <x:v>Useful</x:v>
      </x:c>
      <x:c r="E36" s="28" t="str">
        <x:v>TS 38.215</x:v>
      </x:c>
      <x:c r="F36" s="28" t="str">
        <x:v>NR; Physical layer measurements</x:v>
      </x:c>
      <x:c r="G36" s="28" t="str">
        <x:v>Connect receiver measurements and link-quality indicators to practical 5G measurement definitions.</x:v>
      </x:c>
      <x:c r="H36" s="28" t="str">
        <x:v>Free — 3GPP</x:v>
      </x:c>
      <x:c r="I36" s="28" t="str">
        <x:v>Under change control</x:v>
      </x:c>
      <x:c r="J36" s="28" t="e">
        <x:f>HYPERLINK("https://portal.3gpp.org/desktopmodules/Specifications/SpecificationDetails.aspx?specificationId=3217","Open official source")</x:f>
        <x:v>HYPERLINK is not implemented. linkLocation=https://portal.3gpp.org/desktopmodules/Specifications/SpecificationDetails.aspx?specificationId=3217, friendlyName=Open official source</x:v>
      </x:c>
      <x:c r="K36" s="28" t="str">
        <x:v>https://portal.3gpp.org/desktopmodules/Specifications/SpecificationDetails.aspx?specificationId=3217</x:v>
      </x:c>
      <x:c r="L36" s="28" t="str">
        <x:v>3GPP specifications are made available free of charge.</x:v>
      </x:c>
    </x:row>
    <x:row r="37">
      <x:c r="A37" s="28" t="str">
        <x:v>EE 351</x:v>
      </x:c>
      <x:c r="B37" s="28" t="str">
        <x:v>Communication Systems</x:v>
      </x:c>
      <x:c r="C37" s="28" t="str">
        <x:v>3GPP</x:v>
      </x:c>
      <x:c r="D37" s="28" t="str">
        <x:v>Useful</x:v>
      </x:c>
      <x:c r="E37" s="28" t="str">
        <x:v>TS 38.104</x:v>
      </x:c>
      <x:c r="F37" s="28" t="str">
        <x:v>NR; Base Station (BS) radio transmission and reception</x:v>
      </x:c>
      <x:c r="G37" s="28" t="str">
        <x:v>Use transmitter/receiver RF requirements to connect theory with EVM, occupied bandwidth, ACLR, sensitivity, and unwanted-emission measurements.</x:v>
      </x:c>
      <x:c r="H37" s="28" t="str">
        <x:v>Free — 3GPP</x:v>
      </x:c>
      <x:c r="I37" s="28" t="str">
        <x:v>Under change control</x:v>
      </x:c>
      <x:c r="J37" s="28" t="e">
        <x:f>HYPERLINK("https://portal.3gpp.org/desktopmodules/Specifications/SpecificationDetails.aspx?specificationId=3202","Open official source")</x:f>
        <x:v>HYPERLINK is not implemented. linkLocation=https://portal.3gpp.org/desktopmodules/Specifications/SpecificationDetails.aspx?specificationId=3202, friendlyName=Open official source</x:v>
      </x:c>
      <x:c r="K37" s="28" t="str">
        <x:v>https://portal.3gpp.org/desktopmodules/Specifications/SpecificationDetails.aspx?specificationId=3202</x:v>
      </x:c>
      <x:c r="L37" s="28" t="str">
        <x:v>3GPP specifications are made available free of charge.</x:v>
      </x:c>
    </x:row>
    <x:row r="38">
      <x:c r="A38" s="28" t="str">
        <x:v>EE 351</x:v>
      </x:c>
      <x:c r="B38" s="28" t="str">
        <x:v>Communication Systems</x:v>
      </x:c>
      <x:c r="C38" s="28" t="str">
        <x:v>3GPP</x:v>
      </x:c>
      <x:c r="D38" s="28" t="str">
        <x:v>Useful</x:v>
      </x:c>
      <x:c r="E38" s="28" t="str">
        <x:v>TS 38.101-1</x:v>
      </x:c>
      <x:c r="F38" s="28" t="str">
        <x:v>NR; User Equipment (UE) radio transmission and reception; Part 1: Range 1 Standalone</x:v>
      </x:c>
      <x:c r="G38" s="28" t="str">
        <x:v>Use UE RF requirements as a second real-world perspective on transmitter/receiver performance below 7.125 GHz.</x:v>
      </x:c>
      <x:c r="H38" s="28" t="str">
        <x:v>Free — 3GPP</x:v>
      </x:c>
      <x:c r="I38" s="28" t="str">
        <x:v>Under change control</x:v>
      </x:c>
      <x:c r="J38" s="28" t="e">
        <x:f>HYPERLINK("https://portal.3gpp.org/desktopmodules/Specifications/SpecificationDetails.aspx?specificationId=3283","Open official source")</x:f>
        <x:v>HYPERLINK is not implemented. linkLocation=https://portal.3gpp.org/desktopmodules/Specifications/SpecificationDetails.aspx?specificationId=3283, friendlyName=Open official source</x:v>
      </x:c>
      <x:c r="K38" s="28" t="str">
        <x:v>https://portal.3gpp.org/desktopmodules/Specifications/SpecificationDetails.aspx?specificationId=3283</x:v>
      </x:c>
      <x:c r="L38" s="28" t="str">
        <x:v>3GPP specifications are made available free of charge.</x:v>
      </x:c>
    </x:row>
    <x:row r="39">
      <x:c r="A39" s="28" t="str">
        <x:v>EE 351</x:v>
      </x:c>
      <x:c r="B39" s="28" t="str">
        <x:v>Communication Systems</x:v>
      </x:c>
      <x:c r="C39" s="28" t="str">
        <x:v>3GPP</x:v>
      </x:c>
      <x:c r="D39" s="28" t="str">
        <x:v>Advanced</x:v>
      </x:c>
      <x:c r="E39" s="28" t="str">
        <x:v>TS 36.300</x:v>
      </x:c>
      <x:c r="F39" s="28" t="str">
        <x:v>Evolved Universal Terrestrial Radio Access (E-UTRA) and Evolved Universal Terrestrial Radio Access Network (E-UTRAN); Overall description; Stage 2</x:v>
      </x:c>
      <x:c r="G39" s="28" t="str">
        <x:v>Use LTE as a historical comparison showing the evolution from 4G to 5G NR.</x:v>
      </x:c>
      <x:c r="H39" s="28" t="str">
        <x:v>Free — 3GPP</x:v>
      </x:c>
      <x:c r="I39" s="28" t="str">
        <x:v>Under change control</x:v>
      </x:c>
      <x:c r="J39" s="28" t="e">
        <x:f>HYPERLINK("https://portal.3gpp.org/desktopmodules/Specifications/SpecificationDetails.aspx?specificationId=2430","Open official source")</x:f>
        <x:v>HYPERLINK is not implemented. linkLocation=https://portal.3gpp.org/desktopmodules/Specifications/SpecificationDetails.aspx?specificationId=2430, friendlyName=Open official source</x:v>
      </x:c>
      <x:c r="K39" s="28" t="str">
        <x:v>https://portal.3gpp.org/desktopmodules/Specifications/SpecificationDetails.aspx?specificationId=2430</x:v>
      </x:c>
      <x:c r="L39" s="28" t="str">
        <x:v>3GPP specifications are made available free of charge.</x:v>
      </x:c>
    </x:row>
    <x:row r="40">
      <x:c r="A40" s="28" t="str">
        <x:v>EE 351</x:v>
      </x:c>
      <x:c r="B40" s="28" t="str">
        <x:v>Communication Systems</x:v>
      </x:c>
      <x:c r="C40" s="28" t="str">
        <x:v>3GPP</x:v>
      </x:c>
      <x:c r="D40" s="28" t="str">
        <x:v>Advanced</x:v>
      </x:c>
      <x:c r="E40" s="28" t="str">
        <x:v>TS 36.211</x:v>
      </x:c>
      <x:c r="F40" s="28" t="str">
        <x:v>Evolved Universal Terrestrial Radio Access (E-UTRA); Physical channels and modulation</x:v>
      </x:c>
      <x:c r="G40" s="28" t="str">
        <x:v>Compare LTE OFDMA/SC-FDMA physical-channel design with 5G NR.</x:v>
      </x:c>
      <x:c r="H40" s="28" t="str">
        <x:v>Free — 3GPP</x:v>
      </x:c>
      <x:c r="I40" s="28" t="str">
        <x:v>Under change control</x:v>
      </x:c>
      <x:c r="J40" s="28" t="e">
        <x:f>HYPERLINK("https://portal.3gpp.org/desktopmodules/Specifications/SpecificationDetails.aspx?specificationId=2425","Open official source")</x:f>
        <x:v>HYPERLINK is not implemented. linkLocation=https://portal.3gpp.org/desktopmodules/Specifications/SpecificationDetails.aspx?specificationId=2425, friendlyName=Open official source</x:v>
      </x:c>
      <x:c r="K40" s="28" t="str">
        <x:v>https://portal.3gpp.org/desktopmodules/Specifications/SpecificationDetails.aspx?specificationId=2425</x:v>
      </x:c>
      <x:c r="L40" s="28" t="str">
        <x:v>3GPP specifications are made available free of charge.</x:v>
      </x:c>
    </x:row>
  </x:sheetData>
  <x:mergeCells>
    <x:mergeCell ref="A1:L1"/>
    <x:mergeCell ref="A2:L2"/>
  </x:mergeCells>
  <x:conditionalFormatting sqref="D5:D40">
    <x:cfRule type="expression" dxfId="7" priority="1">
      <x:formula>D5="Core"</x:formula>
    </x:cfRule>
    <x:cfRule type="expression" dxfId="8" priority="2">
      <x:formula>D5="Useful"</x:formula>
    </x:cfRule>
    <x:cfRule type="expression" dxfId="9" priority="3">
      <x:formula>D5="Advanced"</x:formula>
    </x:cfRule>
  </x:conditionalFormatting>
  <x:conditionalFormatting sqref="H5:H40">
    <x:cfRule type="expression" dxfId="10" priority="4">
      <x:formula>LEFT(H5,4)="Free"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e7381b07cca4ae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62" hidden="0" customWidth="1"/>
    <x:col min="4" max="4" width="14" hidden="0" customWidth="1"/>
    <x:col min="5" max="5" width="27" hidden="0" customWidth="1"/>
    <x:col min="6" max="6" width="18" hidden="0" customWidth="1"/>
    <x:col min="7" max="7" width="20" hidden="0" customWidth="1"/>
    <x:col min="8" max="8" width="18" hidden="0" customWidth="1"/>
    <x:col min="9" max="9" width="50" hidden="0" customWidth="1"/>
  </x:cols>
  <x:sheetData>
    <x:row r="1" ht="30" customHeight="1">
      <x:c r="A1" s="43" t="str">
        <x:v>ITU-R and ETSI / 3GPP — Unique Master List</x:v>
      </x:c>
      <x:c r="B1" s="43"/>
      <x:c r="C1" s="43"/>
      <x:c r="D1" s="43"/>
      <x:c r="E1" s="43"/>
      <x:c r="F1" s="43"/>
      <x:c r="G1" s="43"/>
      <x:c r="H1" s="43"/>
      <x:c r="I1" s="43"/>
    </x:row>
    <x:row r="2" ht="32" customHeight="1">
      <x:c r="A2" s="53" t="str">
        <x:v>30 unique ITU-R / ETSI / 3GPP documents selected for teaching relevance. All are linked to official free-access sources.</x:v>
      </x:c>
      <x:c r="B2" s="53"/>
      <x:c r="C2" s="53"/>
      <x:c r="D2" s="53"/>
      <x:c r="E2" s="53"/>
      <x:c r="F2" s="53"/>
      <x:c r="G2" s="53"/>
      <x:c r="H2" s="53"/>
      <x:c r="I2" s="53"/>
    </x:row>
    <x:row r="4" ht="28" customHeight="1">
      <x:c r="A4" s="51" t="str">
        <x:v>Organization</x:v>
      </x:c>
      <x:c r="B4" s="51" t="str">
        <x:v>Standard / Spec</x:v>
      </x:c>
      <x:c r="C4" s="51" t="str">
        <x:v>Title</x:v>
      </x:c>
      <x:c r="D4" s="51" t="str">
        <x:v>Highest Priority</x:v>
      </x:c>
      <x:c r="E4" s="51" t="str">
        <x:v>Relevant Core Courses</x:v>
      </x:c>
      <x:c r="F4" s="51" t="str">
        <x:v>Access Type</x:v>
      </x:c>
      <x:c r="G4" s="51" t="str">
        <x:v>Status</x:v>
      </x:c>
      <x:c r="H4" s="51" t="str">
        <x:v>Official Link</x:v>
      </x:c>
      <x:c r="I4" s="51" t="str">
        <x:v>Official URL</x:v>
      </x:c>
    </x:row>
    <x:row r="5">
      <x:c r="A5" s="28" t="str">
        <x:v>3GPP</x:v>
      </x:c>
      <x:c r="B5" s="28" t="str">
        <x:v>TS 36.211</x:v>
      </x:c>
      <x:c r="C5" s="28" t="str">
        <x:v>Evolved Universal Terrestrial Radio Access (E-UTRA); Physical channels and modulation</x:v>
      </x:c>
      <x:c r="D5" s="28" t="str">
        <x:v>Advanced</x:v>
      </x:c>
      <x:c r="E5" s="28" t="str">
        <x:v>EE 351</x:v>
      </x:c>
      <x:c r="F5" s="28" t="str">
        <x:v>Free — 3GPP</x:v>
      </x:c>
      <x:c r="G5" s="28" t="str">
        <x:v>Under change control</x:v>
      </x:c>
      <x:c r="H5" s="28" t="e">
        <x:f>HYPERLINK("https://portal.3gpp.org/desktopmodules/Specifications/SpecificationDetails.aspx?specificationId=2425","Open official source")</x:f>
        <x:v>HYPERLINK is not implemented. linkLocation=https://portal.3gpp.org/desktopmodules/Specifications/SpecificationDetails.aspx?specificationId=2425, friendlyName=Open official source</x:v>
      </x:c>
      <x:c r="I5" s="28" t="str">
        <x:v>https://portal.3gpp.org/desktopmodules/Specifications/SpecificationDetails.aspx?specificationId=2425</x:v>
      </x:c>
    </x:row>
    <x:row r="6">
      <x:c r="A6" s="28" t="str">
        <x:v>3GPP</x:v>
      </x:c>
      <x:c r="B6" s="28" t="str">
        <x:v>TS 36.300</x:v>
      </x:c>
      <x:c r="C6" s="28" t="str">
        <x:v>Evolved Universal Terrestrial Radio Access (E-UTRA) and Evolved Universal Terrestrial Radio Access Network (E-UTRAN); Overall description; Stage 2</x:v>
      </x:c>
      <x:c r="D6" s="28" t="str">
        <x:v>Advanced</x:v>
      </x:c>
      <x:c r="E6" s="28" t="str">
        <x:v>EE 351</x:v>
      </x:c>
      <x:c r="F6" s="28" t="str">
        <x:v>Free — 3GPP</x:v>
      </x:c>
      <x:c r="G6" s="28" t="str">
        <x:v>Under change control</x:v>
      </x:c>
      <x:c r="H6" s="28" t="e">
        <x:f>HYPERLINK("https://portal.3gpp.org/desktopmodules/Specifications/SpecificationDetails.aspx?specificationId=2430","Open official source")</x:f>
        <x:v>HYPERLINK is not implemented. linkLocation=https://portal.3gpp.org/desktopmodules/Specifications/SpecificationDetails.aspx?specificationId=2430, friendlyName=Open official source</x:v>
      </x:c>
      <x:c r="I6" s="28" t="str">
        <x:v>https://portal.3gpp.org/desktopmodules/Specifications/SpecificationDetails.aspx?specificationId=2430</x:v>
      </x:c>
    </x:row>
    <x:row r="7">
      <x:c r="A7" s="28" t="str">
        <x:v>3GPP</x:v>
      </x:c>
      <x:c r="B7" s="28" t="str">
        <x:v>TS 38.101-1</x:v>
      </x:c>
      <x:c r="C7" s="28" t="str">
        <x:v>NR; User Equipment (UE) radio transmission and reception; Part 1: Range 1 Standalone</x:v>
      </x:c>
      <x:c r="D7" s="28" t="str">
        <x:v>Useful</x:v>
      </x:c>
      <x:c r="E7" s="28" t="str">
        <x:v>EE 351</x:v>
      </x:c>
      <x:c r="F7" s="28" t="str">
        <x:v>Free — 3GPP</x:v>
      </x:c>
      <x:c r="G7" s="28" t="str">
        <x:v>Under change control</x:v>
      </x:c>
      <x:c r="H7" s="28" t="e">
        <x:f>HYPERLINK("https://portal.3gpp.org/desktopmodules/Specifications/SpecificationDetails.aspx?specificationId=3283","Open official source")</x:f>
        <x:v>HYPERLINK is not implemented. linkLocation=https://portal.3gpp.org/desktopmodules/Specifications/SpecificationDetails.aspx?specificationId=3283, friendlyName=Open official source</x:v>
      </x:c>
      <x:c r="I7" s="28" t="str">
        <x:v>https://portal.3gpp.org/desktopmodules/Specifications/SpecificationDetails.aspx?specificationId=3283</x:v>
      </x:c>
    </x:row>
    <x:row r="8">
      <x:c r="A8" s="28" t="str">
        <x:v>3GPP</x:v>
      </x:c>
      <x:c r="B8" s="28" t="str">
        <x:v>TS 38.104</x:v>
      </x:c>
      <x:c r="C8" s="28" t="str">
        <x:v>NR; Base Station (BS) radio transmission and reception</x:v>
      </x:c>
      <x:c r="D8" s="28" t="str">
        <x:v>Useful</x:v>
      </x:c>
      <x:c r="E8" s="28" t="str">
        <x:v>EE 351</x:v>
      </x:c>
      <x:c r="F8" s="28" t="str">
        <x:v>Free — 3GPP</x:v>
      </x:c>
      <x:c r="G8" s="28" t="str">
        <x:v>Under change control</x:v>
      </x:c>
      <x:c r="H8" s="28" t="e">
        <x:f>HYPERLINK("https://portal.3gpp.org/desktopmodules/Specifications/SpecificationDetails.aspx?specificationId=3202","Open official source")</x:f>
        <x:v>HYPERLINK is not implemented. linkLocation=https://portal.3gpp.org/desktopmodules/Specifications/SpecificationDetails.aspx?specificationId=3202, friendlyName=Open official source</x:v>
      </x:c>
      <x:c r="I8" s="28" t="str">
        <x:v>https://portal.3gpp.org/desktopmodules/Specifications/SpecificationDetails.aspx?specificationId=3202</x:v>
      </x:c>
    </x:row>
    <x:row r="9">
      <x:c r="A9" s="28" t="str">
        <x:v>3GPP</x:v>
      </x:c>
      <x:c r="B9" s="28" t="str">
        <x:v>TS 38.211</x:v>
      </x:c>
      <x:c r="C9" s="28" t="str">
        <x:v>NR; Physical channels and modulation</x:v>
      </x:c>
      <x:c r="D9" s="28" t="str">
        <x:v>Core</x:v>
      </x:c>
      <x:c r="E9" s="28" t="str">
        <x:v>EE 351</x:v>
      </x:c>
      <x:c r="F9" s="28" t="str">
        <x:v>Free — 3GPP</x:v>
      </x:c>
      <x:c r="G9" s="28" t="str">
        <x:v>Under change control</x:v>
      </x:c>
      <x:c r="H9" s="28" t="e">
        <x:f>HYPERLINK("https://portal.3gpp.org/desktopmodules/Specifications/SpecificationDetails.aspx?specificationId=3213","Open official source")</x:f>
        <x:v>HYPERLINK is not implemented. linkLocation=https://portal.3gpp.org/desktopmodules/Specifications/SpecificationDetails.aspx?specificationId=3213, friendlyName=Open official source</x:v>
      </x:c>
      <x:c r="I9" s="28" t="str">
        <x:v>https://portal.3gpp.org/desktopmodules/Specifications/SpecificationDetails.aspx?specificationId=3213</x:v>
      </x:c>
    </x:row>
    <x:row r="10">
      <x:c r="A10" s="28" t="str">
        <x:v>3GPP</x:v>
      </x:c>
      <x:c r="B10" s="28" t="str">
        <x:v>TS 38.212</x:v>
      </x:c>
      <x:c r="C10" s="28" t="str">
        <x:v>NR; Multiplexing and channel coding</x:v>
      </x:c>
      <x:c r="D10" s="28" t="str">
        <x:v>Core</x:v>
      </x:c>
      <x:c r="E10" s="28" t="str">
        <x:v>EE 351</x:v>
      </x:c>
      <x:c r="F10" s="28" t="str">
        <x:v>Free — 3GPP</x:v>
      </x:c>
      <x:c r="G10" s="28" t="str">
        <x:v>Under change control</x:v>
      </x:c>
      <x:c r="H10" s="28" t="e">
        <x:f>HYPERLINK("https://portal.3gpp.org/desktopmodules/Specifications/SpecificationDetails.aspx?specificationId=3214","Open official source")</x:f>
        <x:v>HYPERLINK is not implemented. linkLocation=https://portal.3gpp.org/desktopmodules/Specifications/SpecificationDetails.aspx?specificationId=3214, friendlyName=Open official source</x:v>
      </x:c>
      <x:c r="I10" s="28" t="str">
        <x:v>https://portal.3gpp.org/desktopmodules/Specifications/SpecificationDetails.aspx?specificationId=3214</x:v>
      </x:c>
    </x:row>
    <x:row r="11">
      <x:c r="A11" s="28" t="str">
        <x:v>3GPP</x:v>
      </x:c>
      <x:c r="B11" s="28" t="str">
        <x:v>TS 38.214</x:v>
      </x:c>
      <x:c r="C11" s="28" t="str">
        <x:v>NR; Physical layer procedures for data</x:v>
      </x:c>
      <x:c r="D11" s="28" t="str">
        <x:v>Useful</x:v>
      </x:c>
      <x:c r="E11" s="28" t="str">
        <x:v>EE 351</x:v>
      </x:c>
      <x:c r="F11" s="28" t="str">
        <x:v>Free — 3GPP</x:v>
      </x:c>
      <x:c r="G11" s="28" t="str">
        <x:v>Under change control</x:v>
      </x:c>
      <x:c r="H11" s="28" t="e">
        <x:f>HYPERLINK("https://portal.3gpp.org/desktopmodules/Specifications/SpecificationDetails.aspx?specificationId=3216","Open official source")</x:f>
        <x:v>HYPERLINK is not implemented. linkLocation=https://portal.3gpp.org/desktopmodules/Specifications/SpecificationDetails.aspx?specificationId=3216, friendlyName=Open official source</x:v>
      </x:c>
      <x:c r="I11" s="28" t="str">
        <x:v>https://portal.3gpp.org/desktopmodules/Specifications/SpecificationDetails.aspx?specificationId=3216</x:v>
      </x:c>
    </x:row>
    <x:row r="12">
      <x:c r="A12" s="28" t="str">
        <x:v>3GPP</x:v>
      </x:c>
      <x:c r="B12" s="28" t="str">
        <x:v>TS 38.215</x:v>
      </x:c>
      <x:c r="C12" s="28" t="str">
        <x:v>NR; Physical layer measurements</x:v>
      </x:c>
      <x:c r="D12" s="28" t="str">
        <x:v>Useful</x:v>
      </x:c>
      <x:c r="E12" s="28" t="str">
        <x:v>EE 351</x:v>
      </x:c>
      <x:c r="F12" s="28" t="str">
        <x:v>Free — 3GPP</x:v>
      </x:c>
      <x:c r="G12" s="28" t="str">
        <x:v>Under change control</x:v>
      </x:c>
      <x:c r="H12" s="28" t="e">
        <x:f>HYPERLINK("https://portal.3gpp.org/desktopmodules/Specifications/SpecificationDetails.aspx?specificationId=3217","Open official source")</x:f>
        <x:v>HYPERLINK is not implemented. linkLocation=https://portal.3gpp.org/desktopmodules/Specifications/SpecificationDetails.aspx?specificationId=3217, friendlyName=Open official source</x:v>
      </x:c>
      <x:c r="I12" s="28" t="str">
        <x:v>https://portal.3gpp.org/desktopmodules/Specifications/SpecificationDetails.aspx?specificationId=3217</x:v>
      </x:c>
    </x:row>
    <x:row r="13">
      <x:c r="A13" s="28" t="str">
        <x:v>3GPP</x:v>
      </x:c>
      <x:c r="B13" s="28" t="str">
        <x:v>TS 38.300</x:v>
      </x:c>
      <x:c r="C13" s="28" t="str">
        <x:v>NR; NR and NG-RAN Overall description; Stage-2</x:v>
      </x:c>
      <x:c r="D13" s="28" t="str">
        <x:v>Useful</x:v>
      </x:c>
      <x:c r="E13" s="28" t="str">
        <x:v>EE 351</x:v>
      </x:c>
      <x:c r="F13" s="28" t="str">
        <x:v>Free — 3GPP</x:v>
      </x:c>
      <x:c r="G13" s="28" t="str">
        <x:v>Under change control</x:v>
      </x:c>
      <x:c r="H13" s="28" t="e">
        <x:f>HYPERLINK("https://portal.3gpp.org/desktopmodules/Specifications/SpecificationDetails.aspx?specificationId=3191","Open official source")</x:f>
        <x:v>HYPERLINK is not implemented. linkLocation=https://portal.3gpp.org/desktopmodules/Specifications/SpecificationDetails.aspx?specificationId=3191, friendlyName=Open official source</x:v>
      </x:c>
      <x:c r="I13" s="28" t="str">
        <x:v>https://portal.3gpp.org/desktopmodules/Specifications/SpecificationDetails.aspx?specificationId=3191</x:v>
      </x:c>
    </x:row>
    <x:row r="14">
      <x:c r="A14" s="28" t="str">
        <x:v>ETSI</x:v>
      </x:c>
      <x:c r="B14" s="28" t="str">
        <x:v>EN 300 328 V2.2.2</x:v>
      </x:c>
      <x:c r="C14" s="28" t="str">
        <x:v>Wideband transmission systems; Data transmission equipment operating in the 2,4 GHz band; Harmonised Standard for access to radio spectrum</x:v>
      </x:c>
      <x:c r="D14" s="28" t="str">
        <x:v>Useful</x:v>
      </x:c>
      <x:c r="E14" s="28" t="str">
        <x:v>EE 341, EE 351</x:v>
      </x:c>
      <x:c r="F14" s="28" t="str">
        <x:v>Free — ETSI</x:v>
      </x:c>
      <x:c r="G14" s="28" t="str">
        <x:v>Published / OJ cited</x:v>
      </x:c>
      <x:c r="H14" s="28" t="e">
        <x:f>HYPERLINK("https://www.etsi.org/standards/search?search=EN+300+328","Open official source")</x:f>
        <x:v>HYPERLINK is not implemented. linkLocation=https://www.etsi.org/standards/search?search=EN+300+328, friendlyName=Open official source</x:v>
      </x:c>
      <x:c r="I14" s="28" t="str">
        <x:v>https://www.etsi.org/standards/search?search=EN+300+328</x:v>
      </x:c>
    </x:row>
    <x:row r="15">
      <x:c r="A15" s="28" t="str">
        <x:v>ETSI</x:v>
      </x:c>
      <x:c r="B15" s="28" t="str">
        <x:v>EN 300 401 V2.2.1</x:v>
      </x:c>
      <x:c r="C15" s="28" t="str">
        <x:v>Radio Broadcasting Systems; Digital Audio Broadcasting (DAB) to mobile, portable and fixed receivers</x:v>
      </x:c>
      <x:c r="D15" s="28" t="str">
        <x:v>Useful</x:v>
      </x:c>
      <x:c r="E15" s="28" t="str">
        <x:v>EE 351</x:v>
      </x:c>
      <x:c r="F15" s="28" t="str">
        <x:v>Free — ETSI</x:v>
      </x:c>
      <x:c r="G15" s="28" t="str">
        <x:v>Published</x:v>
      </x:c>
      <x:c r="H15" s="28" t="e">
        <x:f>HYPERLINK("https://portal.etsi.org/webapp/WorkProgram/Report_WorkItem.asp?WKI_ID=74829","Open official source")</x:f>
        <x:v>HYPERLINK is not implemented. linkLocation=https://portal.etsi.org/webapp/WorkProgram/Report_WorkItem.asp?WKI_ID=74829, friendlyName=Open official source</x:v>
      </x:c>
      <x:c r="I15" s="28" t="str">
        <x:v>https://portal.etsi.org/webapp/WorkProgram/Report_WorkItem.asp?WKI_ID=74829</x:v>
      </x:c>
    </x:row>
    <x:row r="16">
      <x:c r="A16" s="28" t="str">
        <x:v>ETSI</x:v>
      </x:c>
      <x:c r="B16" s="28" t="str">
        <x:v>EN 300 751 V1.2.1</x:v>
      </x:c>
      <x:c r="C16" s="28" t="str">
        <x:v>Radio broadcasting systems; DAta Radio Channel (DARC); System for wireless infotainment forwarding and teledistribution</x:v>
      </x:c>
      <x:c r="D16" s="28" t="str">
        <x:v>Advanced</x:v>
      </x:c>
      <x:c r="E16" s="28" t="str">
        <x:v>EE 351</x:v>
      </x:c>
      <x:c r="F16" s="28" t="str">
        <x:v>Free — ETSI</x:v>
      </x:c>
      <x:c r="G16" s="28" t="str">
        <x:v>Published (legacy)</x:v>
      </x:c>
      <x:c r="H16" s="28" t="e">
        <x:f>HYPERLINK("https://www.etsi.org/deliver/etsi_en/300700_300799/300751/01.02.01_60/en_300751v010201p.pdf","Open official source")</x:f>
        <x:v>HYPERLINK is not implemented. linkLocation=https://www.etsi.org/deliver/etsi_en/300700_300799/300751/01.02.01_60/en_300751v010201p.pdf, friendlyName=Open official source</x:v>
      </x:c>
      <x:c r="I16" s="28" t="str">
        <x:v>https://www.etsi.org/deliver/etsi_en/300700_300799/300751/01.02.01_60/en_300751v010201p.pdf</x:v>
      </x:c>
    </x:row>
    <x:row r="17">
      <x:c r="A17" s="28" t="str">
        <x:v>ETSI</x:v>
      </x:c>
      <x:c r="B17" s="28" t="str">
        <x:v>EN 301 489-1 V2.2.3</x:v>
      </x:c>
      <x:c r="C17" s="28" t="str">
        <x:v>ElectroMagnetic Compatibility (EMC) standard for radio equipment and services; Part 1: Common technical requirements</x:v>
      </x:c>
      <x:c r="D17" s="28" t="str">
        <x:v>Useful</x:v>
      </x:c>
      <x:c r="E17" s="28" t="str">
        <x:v>EE 211, EE 312</x:v>
      </x:c>
      <x:c r="F17" s="28" t="str">
        <x:v>Free — ETSI</x:v>
      </x:c>
      <x:c r="G17" s="28" t="str">
        <x:v>Published</x:v>
      </x:c>
      <x:c r="H17" s="28" t="e">
        <x:f>HYPERLINK("https://www.etsi.org/deliver/etsi_EN/301400_301499/30148901/02.02.03_60/en_30148901v020203p.pdf","Open official source")</x:f>
        <x:v>HYPERLINK is not implemented. linkLocation=https://www.etsi.org/deliver/etsi_EN/301400_301499/30148901/02.02.03_60/en_30148901v020203p.pdf, friendlyName=Open official source</x:v>
      </x:c>
      <x:c r="I17" s="28" t="str">
        <x:v>https://www.etsi.org/deliver/etsi_EN/301400_301499/30148901/02.02.03_60/en_30148901v020203p.pdf</x:v>
      </x:c>
    </x:row>
    <x:row r="18">
      <x:c r="A18" s="28" t="str">
        <x:v>ETSI</x:v>
      </x:c>
      <x:c r="B18" s="28" t="str">
        <x:v>EN 301 489-17 V3.3.1</x:v>
      </x:c>
      <x:c r="C18" s="28" t="str">
        <x:v>ElectroMagnetic Compatibility (EMC) standard for radio equipment and services; Part 17: Specific conditions for Broadband and Wideband Data Transmission Systems</x:v>
      </x:c>
      <x:c r="D18" s="28" t="str">
        <x:v>Advanced</x:v>
      </x:c>
      <x:c r="E18" s="28" t="str">
        <x:v>EE 341, EE 351</x:v>
      </x:c>
      <x:c r="F18" s="28" t="str">
        <x:v>Free — ETSI</x:v>
      </x:c>
      <x:c r="G18" s="28" t="str">
        <x:v>Published / OJ cited</x:v>
      </x:c>
      <x:c r="H18" s="28" t="e">
        <x:f>HYPERLINK("https://portal.etsi.org/webapp/ewp/copy_file.asp?wki_id=63623","Open official source")</x:f>
        <x:v>HYPERLINK is not implemented. linkLocation=https://portal.etsi.org/webapp/ewp/copy_file.asp?wki_id=63623, friendlyName=Open official source</x:v>
      </x:c>
      <x:c r="I18" s="28" t="str">
        <x:v>https://portal.etsi.org/webapp/ewp/copy_file.asp?wki_id=63623</x:v>
      </x:c>
    </x:row>
    <x:row r="19">
      <x:c r="A19" s="28" t="str">
        <x:v>ETSI</x:v>
      </x:c>
      <x:c r="B19" s="28" t="str">
        <x:v>EN 301 893 V2.2.1</x:v>
      </x:c>
      <x:c r="C19" s="28" t="str">
        <x:v>5 GHz WAS/RLAN; Harmonised Standard for access to radio spectrum</x:v>
      </x:c>
      <x:c r="D19" s="28" t="str">
        <x:v>Useful</x:v>
      </x:c>
      <x:c r="E19" s="28" t="str">
        <x:v>EE 341, EE 351</x:v>
      </x:c>
      <x:c r="F19" s="28" t="str">
        <x:v>Free — ETSI</x:v>
      </x:c>
      <x:c r="G19" s="28" t="str">
        <x:v>Published / OJ cited</x:v>
      </x:c>
      <x:c r="H19" s="28" t="e">
        <x:f>HYPERLINK("https://www.etsi.org/wp-content/uploads/en_301893v020201p.pdf","Open official source")</x:f>
        <x:v>HYPERLINK is not implemented. linkLocation=https://www.etsi.org/wp-content/uploads/en_301893v020201p.pdf, friendlyName=Open official source</x:v>
      </x:c>
      <x:c r="I19" s="28" t="str">
        <x:v>https://www.etsi.org/wp-content/uploads/en_301893v020201p.pdf</x:v>
      </x:c>
    </x:row>
    <x:row r="20">
      <x:c r="A20" s="28" t="str">
        <x:v>ITU-R</x:v>
      </x:c>
      <x:c r="B20" s="28" t="str">
        <x:v>BS.1194-2</x:v>
      </x:c>
      <x:c r="C20" s="28" t="str">
        <x:v>System for multiplexing frequency modulation (FM) sound broadcasts with a sub-carrier data channel having a relatively large transmission capacity for stationary and mobile reception</x:v>
      </x:c>
      <x:c r="D20" s="28" t="str">
        <x:v>Useful</x:v>
      </x:c>
      <x:c r="E20" s="28" t="str">
        <x:v>EE 351</x:v>
      </x:c>
      <x:c r="F20" s="28" t="str">
        <x:v>Free — ITU-R</x:v>
      </x:c>
      <x:c r="G20" s="28" t="str">
        <x:v>In force</x:v>
      </x:c>
      <x:c r="H20" s="28" t="e">
        <x:f>HYPERLINK("https://www.itu.int/rec/R-REC-BS.1194-2-199812-I/en","Open official source")</x:f>
        <x:v>HYPERLINK is not implemented. linkLocation=https://www.itu.int/rec/R-REC-BS.1194-2-199812-I/en, friendlyName=Open official source</x:v>
      </x:c>
      <x:c r="I20" s="28" t="str">
        <x:v>https://www.itu.int/rec/R-REC-BS.1194-2-199812-I/en</x:v>
      </x:c>
    </x:row>
    <x:row r="21">
      <x:c r="A21" s="28" t="str">
        <x:v>ITU-R</x:v>
      </x:c>
      <x:c r="B21" s="28" t="str">
        <x:v>BS.412-9</x:v>
      </x:c>
      <x:c r="C21" s="28" t="str">
        <x:v>Planning standards for terrestrial FM sound broadcasting at VHF</x:v>
      </x:c>
      <x:c r="D21" s="28" t="str">
        <x:v>Useful</x:v>
      </x:c>
      <x:c r="E21" s="28" t="str">
        <x:v>EE 351</x:v>
      </x:c>
      <x:c r="F21" s="28" t="str">
        <x:v>Free — ITU-R</x:v>
      </x:c>
      <x:c r="G21" s="28" t="str">
        <x:v>In force</x:v>
      </x:c>
      <x:c r="H21" s="28" t="e">
        <x:f>HYPERLINK("https://www.itu.int/rec/R-REC-BS.412-9-199812-I/en","Open official source")</x:f>
        <x:v>HYPERLINK is not implemented. linkLocation=https://www.itu.int/rec/R-REC-BS.412-9-199812-I/en, friendlyName=Open official source</x:v>
      </x:c>
      <x:c r="I21" s="28" t="str">
        <x:v>https://www.itu.int/rec/R-REC-BS.412-9-199812-I/en</x:v>
      </x:c>
    </x:row>
    <x:row r="22">
      <x:c r="A22" s="28" t="str">
        <x:v>ITU-R</x:v>
      </x:c>
      <x:c r="B22" s="28" t="str">
        <x:v>BS.450-4</x:v>
      </x:c>
      <x:c r="C22" s="28" t="str">
        <x:v>Transmission standards for FM sound broadcasting at VHF</x:v>
      </x:c>
      <x:c r="D22" s="28" t="str">
        <x:v>Core</x:v>
      </x:c>
      <x:c r="E22" s="28" t="str">
        <x:v>EE 351</x:v>
      </x:c>
      <x:c r="F22" s="28" t="str">
        <x:v>Free — ITU-R</x:v>
      </x:c>
      <x:c r="G22" s="28" t="str">
        <x:v>In force</x:v>
      </x:c>
      <x:c r="H22" s="28" t="e">
        <x:f>HYPERLINK("https://www.itu.int/rec/R-REC-BS.450-4-201910-I","Open official source")</x:f>
        <x:v>HYPERLINK is not implemented. linkLocation=https://www.itu.int/rec/R-REC-BS.450-4-201910-I, friendlyName=Open official source</x:v>
      </x:c>
      <x:c r="I22" s="28" t="str">
        <x:v>https://www.itu.int/rec/R-REC-BS.450-4-201910-I</x:v>
      </x:c>
    </x:row>
    <x:row r="23">
      <x:c r="A23" s="28" t="str">
        <x:v>ITU-R</x:v>
      </x:c>
      <x:c r="B23" s="28" t="str">
        <x:v>BS.643-4</x:v>
      </x:c>
      <x:c r="C23" s="28" t="str">
        <x:v>Radio data system for automatic tuning and other applications in FM radio receivers for use with the pilot-tone system</x:v>
      </x:c>
      <x:c r="D23" s="28" t="str">
        <x:v>Useful</x:v>
      </x:c>
      <x:c r="E23" s="28" t="str">
        <x:v>EE 351</x:v>
      </x:c>
      <x:c r="F23" s="28" t="str">
        <x:v>Free — ITU-R</x:v>
      </x:c>
      <x:c r="G23" s="28" t="str">
        <x:v>In force</x:v>
      </x:c>
      <x:c r="H23" s="28" t="e">
        <x:f>HYPERLINK("https://www.itu.int/rec/R-REC-BS.643-4-202212-I","Open official source")</x:f>
        <x:v>HYPERLINK is not implemented. linkLocation=https://www.itu.int/rec/R-REC-BS.643-4-202212-I, friendlyName=Open official source</x:v>
      </x:c>
      <x:c r="I23" s="28" t="str">
        <x:v>https://www.itu.int/rec/R-REC-BS.643-4-202212-I</x:v>
      </x:c>
    </x:row>
    <x:row r="24">
      <x:c r="A24" s="28" t="str">
        <x:v>ITU-R</x:v>
      </x:c>
      <x:c r="B24" s="28" t="str">
        <x:v>M.1036-8</x:v>
      </x:c>
      <x:c r="C24" s="28" t="str">
        <x:v>Frequency arrangements for implementation of the terrestrial component of International Mobile Telecommunications in the bands identified for IMT in the Radio Regulations</x:v>
      </x:c>
      <x:c r="D24" s="28" t="str">
        <x:v>Useful</x:v>
      </x:c>
      <x:c r="E24" s="28" t="str">
        <x:v>EE 351</x:v>
      </x:c>
      <x:c r="F24" s="28" t="str">
        <x:v>Free — ITU-R</x:v>
      </x:c>
      <x:c r="G24" s="28" t="str">
        <x:v>In force</x:v>
      </x:c>
      <x:c r="H24" s="28" t="e">
        <x:f>HYPERLINK("https://www.itu.int/rec/R-REC-M.1036","Open official source")</x:f>
        <x:v>HYPERLINK is not implemented. linkLocation=https://www.itu.int/rec/R-REC-M.1036, friendlyName=Open official source</x:v>
      </x:c>
      <x:c r="I24" s="28" t="str">
        <x:v>https://www.itu.int/rec/R-REC-M.1036</x:v>
      </x:c>
    </x:row>
    <x:row r="25">
      <x:c r="A25" s="28" t="str">
        <x:v>ITU-R</x:v>
      </x:c>
      <x:c r="B25" s="28" t="str">
        <x:v>M.1457-15</x:v>
      </x:c>
      <x:c r="C25" s="28" t="str">
        <x:v>Detailed specifications of the terrestrial radio interfaces of International Mobile Telecommunications-2000 (IMT-2000)</x:v>
      </x:c>
      <x:c r="D25" s="28" t="str">
        <x:v>Advanced</x:v>
      </x:c>
      <x:c r="E25" s="28" t="str">
        <x:v>EE 351</x:v>
      </x:c>
      <x:c r="F25" s="28" t="str">
        <x:v>Free — ITU-R</x:v>
      </x:c>
      <x:c r="G25" s="28" t="str">
        <x:v>In force</x:v>
      </x:c>
      <x:c r="H25" s="28" t="e">
        <x:f>HYPERLINK("https://www.itu.int/rec/R-REC-M.1457-15-202010-I/en","Open official source")</x:f>
        <x:v>HYPERLINK is not implemented. linkLocation=https://www.itu.int/rec/R-REC-M.1457-15-202010-I/en, friendlyName=Open official source</x:v>
      </x:c>
      <x:c r="I25" s="28" t="str">
        <x:v>https://www.itu.int/rec/R-REC-M.1457-15-202010-I/en</x:v>
      </x:c>
    </x:row>
    <x:row r="26">
      <x:c r="A26" s="28" t="str">
        <x:v>ITU-R</x:v>
      </x:c>
      <x:c r="B26" s="28" t="str">
        <x:v>M.2012-7</x:v>
      </x:c>
      <x:c r="C26" s="28" t="str">
        <x:v>Detailed specifications of the terrestrial radio interfaces of International Mobile Telecommunications Advanced (IMT-Advanced)</x:v>
      </x:c>
      <x:c r="D26" s="28" t="str">
        <x:v>Advanced</x:v>
      </x:c>
      <x:c r="E26" s="28" t="str">
        <x:v>EE 351</x:v>
      </x:c>
      <x:c r="F26" s="28" t="str">
        <x:v>Free — ITU-R</x:v>
      </x:c>
      <x:c r="G26" s="28" t="str">
        <x:v>In force</x:v>
      </x:c>
      <x:c r="H26" s="28" t="e">
        <x:f>HYPERLINK("https://www.itu.int/rec/R-REC-M.2012-7-202602-I/en","Open official source")</x:f>
        <x:v>HYPERLINK is not implemented. linkLocation=https://www.itu.int/rec/R-REC-M.2012-7-202602-I/en, friendlyName=Open official source</x:v>
      </x:c>
      <x:c r="I26" s="28" t="str">
        <x:v>https://www.itu.int/rec/R-REC-M.2012-7-202602-I/en</x:v>
      </x:c>
    </x:row>
    <x:row r="27">
      <x:c r="A27" s="28" t="str">
        <x:v>ITU-R</x:v>
      </x:c>
      <x:c r="B27" s="28" t="str">
        <x:v>M.2150-3</x:v>
      </x:c>
      <x:c r="C27" s="28" t="str">
        <x:v>Detailed specifications of the terrestrial radio interfaces of International Mobile Telecommunications-2020 (IMT-2020)</x:v>
      </x:c>
      <x:c r="D27" s="28" t="str">
        <x:v>Useful</x:v>
      </x:c>
      <x:c r="E27" s="28" t="str">
        <x:v>EE 351</x:v>
      </x:c>
      <x:c r="F27" s="28" t="str">
        <x:v>Free — ITU-R</x:v>
      </x:c>
      <x:c r="G27" s="28" t="str">
        <x:v>In force</x:v>
      </x:c>
      <x:c r="H27" s="28" t="e">
        <x:f>HYPERLINK("https://www.itu.int/rec/R-REC-M.2150","Open official source")</x:f>
        <x:v>HYPERLINK is not implemented. linkLocation=https://www.itu.int/rec/R-REC-M.2150, friendlyName=Open official source</x:v>
      </x:c>
      <x:c r="I27" s="28" t="str">
        <x:v>https://www.itu.int/rec/R-REC-M.2150</x:v>
      </x:c>
    </x:row>
    <x:row r="28">
      <x:c r="A28" s="28" t="str">
        <x:v>ITU-R</x:v>
      </x:c>
      <x:c r="B28" s="28" t="str">
        <x:v>P.1411-13</x:v>
      </x:c>
      <x:c r="C28" s="28" t="str">
        <x:v>Propagation data and prediction methods for the planning of short-range outdoor radiocommunication systems and radio local area networks in the frequency range 300 MHz to 300 GHz</x:v>
      </x:c>
      <x:c r="D28" s="28" t="str">
        <x:v>Advanced</x:v>
      </x:c>
      <x:c r="E28" s="28" t="str">
        <x:v>EE 341, EE 351</x:v>
      </x:c>
      <x:c r="F28" s="28" t="str">
        <x:v>Free — ITU-R</x:v>
      </x:c>
      <x:c r="G28" s="28" t="str">
        <x:v>In force</x:v>
      </x:c>
      <x:c r="H28" s="28" t="e">
        <x:f>HYPERLINK("https://www.itu.int/rec/R-REC-P.1411-13-202509-I/en","Open official source")</x:f>
        <x:v>HYPERLINK is not implemented. linkLocation=https://www.itu.int/rec/R-REC-P.1411-13-202509-I/en, friendlyName=Open official source</x:v>
      </x:c>
      <x:c r="I28" s="28" t="str">
        <x:v>https://www.itu.int/rec/R-REC-P.1411-13-202509-I/en</x:v>
      </x:c>
    </x:row>
    <x:row r="29">
      <x:c r="A29" s="28" t="str">
        <x:v>ITU-R</x:v>
      </x:c>
      <x:c r="B29" s="28" t="str">
        <x:v>P.1812-8</x:v>
      </x:c>
      <x:c r="C29" s="28" t="str">
        <x:v>A path-specific propagation prediction method for point-to-area terrestrial services in the frequency range 30 MHz to 6 GHz</x:v>
      </x:c>
      <x:c r="D29" s="28" t="str">
        <x:v>Advanced</x:v>
      </x:c>
      <x:c r="E29" s="28" t="str">
        <x:v>EE 341</x:v>
      </x:c>
      <x:c r="F29" s="28" t="str">
        <x:v>Free — ITU-R</x:v>
      </x:c>
      <x:c r="G29" s="28" t="str">
        <x:v>In force</x:v>
      </x:c>
      <x:c r="H29" s="28" t="e">
        <x:f>HYPERLINK("https://www.itu.int/rec/R-REC-P.1812-8-202509-I/en","Open official source")</x:f>
        <x:v>HYPERLINK is not implemented. linkLocation=https://www.itu.int/rec/R-REC-P.1812-8-202509-I/en, friendlyName=Open official source</x:v>
      </x:c>
      <x:c r="I29" s="28" t="str">
        <x:v>https://www.itu.int/rec/R-REC-P.1812-8-202509-I/en</x:v>
      </x:c>
    </x:row>
    <x:row r="30">
      <x:c r="A30" s="28" t="str">
        <x:v>ITU-R</x:v>
      </x:c>
      <x:c r="B30" s="28" t="str">
        <x:v>P.525-5</x:v>
      </x:c>
      <x:c r="C30" s="28" t="str">
        <x:v>Calculation of free-space attenuation</x:v>
      </x:c>
      <x:c r="D30" s="28" t="str">
        <x:v>Core</x:v>
      </x:c>
      <x:c r="E30" s="28" t="str">
        <x:v>EE 341, EE 351</x:v>
      </x:c>
      <x:c r="F30" s="28" t="str">
        <x:v>Free — ITU-R</x:v>
      </x:c>
      <x:c r="G30" s="28" t="str">
        <x:v>In force</x:v>
      </x:c>
      <x:c r="H30" s="28" t="e">
        <x:f>HYPERLINK("https://www.itu.int/rec/R-REC-P.525-5-202411-I/en","Open official source")</x:f>
        <x:v>HYPERLINK is not implemented. linkLocation=https://www.itu.int/rec/R-REC-P.525-5-202411-I/en, friendlyName=Open official source</x:v>
      </x:c>
      <x:c r="I30" s="28" t="str">
        <x:v>https://www.itu.int/rec/R-REC-P.525-5-202411-I/en</x:v>
      </x:c>
    </x:row>
    <x:row r="31">
      <x:c r="A31" s="28" t="str">
        <x:v>ITU-R</x:v>
      </x:c>
      <x:c r="B31" s="28" t="str">
        <x:v>P.676-13</x:v>
      </x:c>
      <x:c r="C31" s="28" t="str">
        <x:v>Attenuation by atmospheric gases and related effects</x:v>
      </x:c>
      <x:c r="D31" s="28" t="str">
        <x:v>Useful</x:v>
      </x:c>
      <x:c r="E31" s="28" t="str">
        <x:v>EE 341</x:v>
      </x:c>
      <x:c r="F31" s="28" t="str">
        <x:v>Free — ITU-R</x:v>
      </x:c>
      <x:c r="G31" s="28" t="str">
        <x:v>In force</x:v>
      </x:c>
      <x:c r="H31" s="28" t="e">
        <x:f>HYPERLINK("https://www.itu.int/rec/R-REC-P.676-13-202208-I","Open official source")</x:f>
        <x:v>HYPERLINK is not implemented. linkLocation=https://www.itu.int/rec/R-REC-P.676-13-202208-I, friendlyName=Open official source</x:v>
      </x:c>
      <x:c r="I31" s="28" t="str">
        <x:v>https://www.itu.int/rec/R-REC-P.676-13-202208-I</x:v>
      </x:c>
    </x:row>
    <x:row r="32">
      <x:c r="A32" s="28" t="str">
        <x:v>ITU-R</x:v>
      </x:c>
      <x:c r="B32" s="28" t="str">
        <x:v>P.838-3</x:v>
      </x:c>
      <x:c r="C32" s="28" t="str">
        <x:v>Specific attenuation model for rain for use in prediction methods</x:v>
      </x:c>
      <x:c r="D32" s="28" t="str">
        <x:v>Useful</x:v>
      </x:c>
      <x:c r="E32" s="28" t="str">
        <x:v>EE 341</x:v>
      </x:c>
      <x:c r="F32" s="28" t="str">
        <x:v>Free — ITU-R</x:v>
      </x:c>
      <x:c r="G32" s="28" t="str">
        <x:v>In force</x:v>
      </x:c>
      <x:c r="H32" s="28" t="e">
        <x:f>HYPERLINK("https://www.itu.int/rec/R-REC-P.838-3-200503-I","Open official source")</x:f>
        <x:v>HYPERLINK is not implemented. linkLocation=https://www.itu.int/rec/R-REC-P.838-3-200503-I, friendlyName=Open official source</x:v>
      </x:c>
      <x:c r="I32" s="28" t="str">
        <x:v>https://www.itu.int/rec/R-REC-P.838-3-200503-I</x:v>
      </x:c>
    </x:row>
    <x:row r="33">
      <x:c r="A33" s="28" t="str">
        <x:v>ITU-R</x:v>
      </x:c>
      <x:c r="B33" s="28" t="str">
        <x:v>SM.1541-7</x:v>
      </x:c>
      <x:c r="C33" s="28" t="str">
        <x:v>Unwanted emissions in the out-of-band domain</x:v>
      </x:c>
      <x:c r="D33" s="28" t="str">
        <x:v>Useful</x:v>
      </x:c>
      <x:c r="E33" s="28" t="str">
        <x:v>EE 351</x:v>
      </x:c>
      <x:c r="F33" s="28" t="str">
        <x:v>Free — ITU-R</x:v>
      </x:c>
      <x:c r="G33" s="28" t="str">
        <x:v>In force</x:v>
      </x:c>
      <x:c r="H33" s="28" t="e">
        <x:f>HYPERLINK("https://www.itu.int/rec/R-REC-SM.1541/en","Open official source")</x:f>
        <x:v>HYPERLINK is not implemented. linkLocation=https://www.itu.int/rec/R-REC-SM.1541/en, friendlyName=Open official source</x:v>
      </x:c>
      <x:c r="I33" s="28" t="str">
        <x:v>https://www.itu.int/rec/R-REC-SM.1541/en</x:v>
      </x:c>
    </x:row>
    <x:row r="34">
      <x:c r="A34" s="28" t="str">
        <x:v>ITU-R</x:v>
      </x:c>
      <x:c r="B34" s="28" t="str">
        <x:v>SM.329-13</x:v>
      </x:c>
      <x:c r="C34" s="28" t="str">
        <x:v>Unwanted emissions in the spurious domain</x:v>
      </x:c>
      <x:c r="D34" s="28" t="str">
        <x:v>Useful</x:v>
      </x:c>
      <x:c r="E34" s="28" t="str">
        <x:v>EE 351</x:v>
      </x:c>
      <x:c r="F34" s="28" t="str">
        <x:v>Free — ITU-R</x:v>
      </x:c>
      <x:c r="G34" s="28" t="str">
        <x:v>In force</x:v>
      </x:c>
      <x:c r="H34" s="28" t="e">
        <x:f>HYPERLINK("https://www.itu.int/rec/R-REC-SM.329","Open official source")</x:f>
        <x:v>HYPERLINK is not implemented. linkLocation=https://www.itu.int/rec/R-REC-SM.329, friendlyName=Open official source</x:v>
      </x:c>
      <x:c r="I34" s="28" t="str">
        <x:v>https://www.itu.int/rec/R-REC-SM.329</x:v>
      </x:c>
    </x:row>
  </x:sheetData>
  <x:mergeCells>
    <x:mergeCell ref="A1:I1"/>
    <x:mergeCell ref="A2:I2"/>
  </x:mergeCells>
  <x:conditionalFormatting sqref="F5:F34">
    <x:cfRule type="expression" dxfId="11" priority="1">
      <x:formula>LEFT(F5,4)="Free"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d66545dbddd488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58" hidden="0" customWidth="1"/>
    <x:col min="5" max="5" width="20" hidden="0" customWidth="1"/>
    <x:col min="6" max="6" width="50" hidden="0" customWidth="1"/>
  </x:cols>
  <x:sheetData>
    <x:row r="1" ht="30" customHeight="1">
      <x:c r="A1" s="43" t="str">
        <x:v>Free-Access Standards in the Current CIP Teaching Inventory</x:v>
      </x:c>
      <x:c r="B1" s="43"/>
      <x:c r="C1" s="43"/>
      <x:c r="D1" s="43"/>
      <x:c r="E1" s="43"/>
      <x:c r="F1" s="43"/>
    </x:row>
    <x:row r="2" ht="36" customHeight="1">
      <x:c r="A2" s="53" t="str">
        <x:v>IEEE GET provides selected IEEE standards at no cost. All curated ITU-R Recommendations, ETSI standards, and 3GPP specifications in this workbook are linked to official free-access sources.</x:v>
      </x:c>
      <x:c r="B2" s="53"/>
      <x:c r="C2" s="53"/>
      <x:c r="D2" s="53"/>
      <x:c r="E2" s="53"/>
      <x:c r="F2" s="53"/>
    </x:row>
    <x:row r="4" ht="28" customHeight="1">
      <x:c r="A4" s="51" t="str">
        <x:v>Source</x:v>
      </x:c>
      <x:c r="B4" s="51" t="str">
        <x:v>Free-access category</x:v>
      </x:c>
      <x:c r="C4" s="51" t="str">
        <x:v>Count in workbook</x:v>
      </x:c>
      <x:c r="D4" s="51" t="str">
        <x:v>Access basis</x:v>
      </x:c>
      <x:c r="E4" s="51" t="str">
        <x:v>Official access page</x:v>
      </x:c>
      <x:c r="F4" s="51" t="str">
        <x:v>URL</x:v>
      </x:c>
    </x:row>
    <x:row r="5">
      <x:c r="A5" s="28" t="str">
        <x:v>IEEE</x:v>
      </x:c>
      <x:c r="B5" s="28" t="str">
        <x:v>Free — IEEE GET</x:v>
      </x:c>
      <x:c r="C5" s="28" t="n">
        <x:v>11</x:v>
      </x:c>
      <x:c r="D5" s="28" t="str">
        <x:v>Selected sponsored standards in IEEE GET</x:v>
      </x:c>
      <x:c r="E5" s="28" t="e">
        <x:f>HYPERLINK("https://standards.ieee.org/products-programs/ieee-get-program/","Open access page")</x:f>
        <x:v>HYPERLINK is not implemented. linkLocation=https://standards.ieee.org/products-programs/ieee-get-program/, friendlyName=Open access page</x:v>
      </x:c>
      <x:c r="F5" s="28" t="str">
        <x:v>https://standards.ieee.org/products-programs/ieee-get-program/</x:v>
      </x:c>
    </x:row>
    <x:row r="6">
      <x:c r="A6" s="28" t="str">
        <x:v>ITU-R</x:v>
      </x:c>
      <x:c r="B6" s="28" t="str">
        <x:v>Free — ITU-R</x:v>
      </x:c>
      <x:c r="C6" s="28" t="n">
        <x:v>15</x:v>
      </x:c>
      <x:c r="D6" s="28" t="str">
        <x:v>Free online access to current ITU-R Recommendations</x:v>
      </x:c>
      <x:c r="E6" s="28" t="e">
        <x:f>HYPERLINK("https://www.itu.int/pub/R-Rec","Open access page")</x:f>
        <x:v>HYPERLINK is not implemented. linkLocation=https://www.itu.int/pub/R-Rec, friendlyName=Open access page</x:v>
      </x:c>
      <x:c r="F6" s="28" t="str">
        <x:v>https://www.itu.int/pub/R-Rec</x:v>
      </x:c>
    </x:row>
    <x:row r="7">
      <x:c r="A7" s="28" t="str">
        <x:v>ETSI</x:v>
      </x:c>
      <x:c r="B7" s="28" t="str">
        <x:v>Free — ETSI</x:v>
      </x:c>
      <x:c r="C7" s="28" t="n">
        <x:v>6</x:v>
      </x:c>
      <x:c r="D7" s="28" t="str">
        <x:v>ETSI standards downloadable in PDF free of charge</x:v>
      </x:c>
      <x:c r="E7" s="28" t="e">
        <x:f>HYPERLINK("https://www.etsi.org/standards/","Open access page")</x:f>
        <x:v>HYPERLINK is not implemented. linkLocation=https://www.etsi.org/standards/, friendlyName=Open access page</x:v>
      </x:c>
      <x:c r="F7" s="28" t="str">
        <x:v>https://www.etsi.org/standards/</x:v>
      </x:c>
    </x:row>
    <x:row r="8">
      <x:c r="A8" s="28" t="str">
        <x:v>3GPP</x:v>
      </x:c>
      <x:c r="B8" s="28" t="str">
        <x:v>Free — 3GPP</x:v>
      </x:c>
      <x:c r="C8" s="28" t="n">
        <x:v>9</x:v>
      </x:c>
      <x:c r="D8" s="28" t="str">
        <x:v>3GPP specifications made available free of charge</x:v>
      </x:c>
      <x:c r="E8" s="28" t="e">
        <x:f>HYPERLINK("https://www.3gpp.org/specifications/61-asn-1","Open access page")</x:f>
        <x:v>HYPERLINK is not implemented. linkLocation=https://www.3gpp.org/specifications/61-asn-1, friendlyName=Open access page</x:v>
      </x:c>
      <x:c r="F8" s="28" t="str">
        <x:v>https://www.3gpp.org/specifications/61-asn-1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e57a7ceddc4409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58" hidden="0" customWidth="1"/>
    <x:col min="4" max="4" width="20" hidden="0" customWidth="1"/>
    <x:col min="5" max="5" width="50" hidden="0" customWidth="1"/>
  </x:cols>
  <x:sheetData>
    <x:row r="1" ht="30" customHeight="1">
      <x:c r="A1" s="43" t="str">
        <x:v>Official Sources Used for ITU-R and ETSI / 3GPP Additions</x:v>
      </x:c>
      <x:c r="B1" s="43"/>
      <x:c r="C1" s="43"/>
      <x:c r="D1" s="43"/>
      <x:c r="E1" s="43"/>
    </x:row>
    <x:row r="3" ht="28" customHeight="1">
      <x:c r="A3" s="51" t="str">
        <x:v>Organization</x:v>
      </x:c>
      <x:c r="B3" s="51" t="str">
        <x:v>Source / Rule</x:v>
      </x:c>
      <x:c r="C3" s="51" t="str">
        <x:v>What was verified</x:v>
      </x:c>
      <x:c r="D3" s="51" t="str">
        <x:v>Official page</x:v>
      </x:c>
      <x:c r="E3" s="51" t="str">
        <x:v>URL</x:v>
      </x:c>
    </x:row>
    <x:row r="4">
      <x:c r="A4" s="26" t="str">
        <x:v>ITU-R</x:v>
      </x:c>
      <x:c r="B4" s="26" t="str">
        <x:v>Recommendation status + access</x:v>
      </x:c>
      <x:c r="C4" s="26" t="str">
        <x:v>In-force version and free-download availability</x:v>
      </x:c>
      <x:c r="D4" s="26" t="e">
        <x:f>HYPERLINK("https://www.itu.int/pub/R-Rec","Open official page")</x:f>
        <x:v>HYPERLINK is not implemented. linkLocation=https://www.itu.int/pub/R-Rec, friendlyName=Open official page</x:v>
      </x:c>
      <x:c r="E4" s="26" t="str">
        <x:v>https://www.itu.int/pub/R-Rec</x:v>
      </x:c>
    </x:row>
    <x:row r="5">
      <x:c r="A5" s="26" t="str">
        <x:v>ETSI</x:v>
      </x:c>
      <x:c r="B5" s="26" t="str">
        <x:v>Standards pages / work programme</x:v>
      </x:c>
      <x:c r="C5" s="26" t="str">
        <x:v>Published version/status and free PDF availability</x:v>
      </x:c>
      <x:c r="D5" s="26" t="e">
        <x:f>HYPERLINK("https://www.etsi.org/standards/","Open official page")</x:f>
        <x:v>HYPERLINK is not implemented. linkLocation=https://www.etsi.org/standards/, friendlyName=Open official page</x:v>
      </x:c>
      <x:c r="E5" s="26" t="str">
        <x:v>https://www.etsi.org/standards/</x:v>
      </x:c>
    </x:row>
    <x:row r="6">
      <x:c r="A6" s="26" t="str">
        <x:v>3GPP</x:v>
      </x:c>
      <x:c r="B6" s="26" t="str">
        <x:v>Specification portal</x:v>
      </x:c>
      <x:c r="C6" s="26" t="str">
        <x:v>Specification title, status, and free availability</x:v>
      </x:c>
      <x:c r="D6" s="26" t="e">
        <x:f>HYPERLINK("https://www.3gpp.org/specifications/61-asn-1","Open official page")</x:f>
        <x:v>HYPERLINK is not implemented. linkLocation=https://www.3gpp.org/specifications/61-asn-1, friendlyName=Open official page</x:v>
      </x:c>
      <x:c r="E6" s="26" t="str">
        <x:v>https://www.3gpp.org/specifications/61-asn-1</x:v>
      </x:c>
    </x:row>
  </x:sheetData>
  <x:mergeCells>
    <x:mergeCell ref="A1:E1"/>
  </x:mergeCells>
  <x:pageMargins left="0.7" right="0.7" top="0.75" bottom="0.75" header="0.3" footer="0.3"/>
</x:worksheet>
</file>