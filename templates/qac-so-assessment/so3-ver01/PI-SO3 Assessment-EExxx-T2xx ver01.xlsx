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Rubric" sheetId="2" r:id="rId5"/>
    <sheet state="hidden" name="SO4 Rubric" sheetId="3" r:id="rId6"/>
    <sheet state="visible" name="SO3 Assessment Results" sheetId="4" r:id="rId7"/>
    <sheet state="hidden" name="SO4 Assessment Results" sheetId="5" r:id="rId8"/>
    <sheet state="hidden" name="Student work Description" sheetId="6" r:id="rId9"/>
    <sheet state="hidden" name="SO4" sheetId="7" r:id="rId10"/>
    <sheet state="hidden" name="SO5" sheetId="8" r:id="rId11"/>
    <sheet state="hidden" name="SO6" sheetId="9" r:id="rId12"/>
    <sheet state="hidden" name="SO7" sheetId="10" r:id="rId13"/>
    <sheet state="hidden" name="SO8" sheetId="11" r:id="rId14"/>
    <sheet state="hidden" name="Lookup Tables" sheetId="12" r:id="rId15"/>
  </sheets>
  <externalReferences>
    <externalReference r:id="rId16"/>
  </externalReferences>
  <definedNames>
    <definedName name="OutcomesList">'[1]Lookups Tables'!$J$3:$J$12</definedName>
    <definedName name="Percentage">'[1]Lookups Tables'!$L$4:$L$23</definedName>
  </definedNames>
  <calcPr/>
  <extLst>
    <ext uri="GoogleSheetsCustomDataVersion2">
      <go:sheetsCustomData xmlns:go="http://customooxmlschemas.google.com/" r:id="rId17" roundtripDataChecksum="mGxgfSMvrprUnu12aj+gD/PXap/4HBFOe/4kr6+4Ff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
ID#AAABxA1sXBo
Maged    (2025-12-02 17:57:03)
-Select the Assessed SO in the course from the drop list. 
-Select the last empty cell from the drop list to avoid selecting an SO</t>
      </text>
    </comment>
    <comment authorId="0" ref="A5">
      <text>
        <t xml:space="preserve">======
ID#AAABw60pAaI
Maged    (2025-12-02 17:57:03)
-Select the Assessed SO in the course from the drop list. 
-Select the last empty cell from the drop list to avoid selecting an SO</t>
      </text>
    </comment>
  </commentList>
  <extLst>
    <ext uri="GoogleSheetsCustomDataVersion2">
      <go:sheetsCustomData xmlns:go="http://customooxmlschemas.google.com/" r:id="rId1" roundtripDataSignature="AMtx7mj+BqIUxvUXBrF0aRDFxGSkBG0FCA=="/>
    </ext>
  </extLst>
</comments>
</file>

<file path=xl/sharedStrings.xml><?xml version="1.0" encoding="utf-8"?>
<sst xmlns="http://schemas.openxmlformats.org/spreadsheetml/2006/main" count="318" uniqueCount="253">
  <si>
    <t>Course Name:</t>
  </si>
  <si>
    <t>Assessment Rubric</t>
  </si>
  <si>
    <t>SO3 Assessment Results</t>
  </si>
  <si>
    <t>Assessment item</t>
  </si>
  <si>
    <t xml:space="preserve">Semester: </t>
  </si>
  <si>
    <t>*Add score 0-3 for each item</t>
  </si>
  <si>
    <t>Above Expectation (3)</t>
  </si>
  <si>
    <t>Meet Expectation (2)</t>
  </si>
  <si>
    <t>Developing Expectation (1)</t>
  </si>
  <si>
    <t>SO4 Rubric</t>
  </si>
  <si>
    <t>Course Code:</t>
  </si>
  <si>
    <t>Below Expectation (0)</t>
  </si>
  <si>
    <t>Checklist for Assessment (Project)</t>
  </si>
  <si>
    <t xml:space="preserve">Instructor: </t>
  </si>
  <si>
    <t>SN</t>
  </si>
  <si>
    <t>Student Name</t>
  </si>
  <si>
    <t>ID</t>
  </si>
  <si>
    <t xml:space="preserve">SO                                          </t>
  </si>
  <si>
    <t>Project Title
 For courses without a project, enter N/A</t>
  </si>
  <si>
    <t>PI31</t>
  </si>
  <si>
    <t xml:space="preserve"> PI31 – Communicate engineering information using appropriate technical content</t>
  </si>
  <si>
    <t>PI32</t>
  </si>
  <si>
    <t>PI33</t>
  </si>
  <si>
    <t>PIs Avg</t>
  </si>
  <si>
    <t>Attainment</t>
  </si>
  <si>
    <t>Comments: add a comment on the team and individual student performance</t>
  </si>
  <si>
    <t>Communicates relevant and sufficient engineering information with appropriate technical content, explanation, and supporting evidence.</t>
  </si>
  <si>
    <t>Above </t>
  </si>
  <si>
    <t>Communicates generally relevant engineering information with sufficient technical content and explanation.</t>
  </si>
  <si>
    <t>Communicates limited or incomplete engineering information; important technical content or explanation is missing.</t>
  </si>
  <si>
    <t>Communicates little or no meaningful engineering information.</t>
  </si>
  <si>
    <t>Meet </t>
  </si>
  <si>
    <t>Developing </t>
  </si>
  <si>
    <t>Below </t>
  </si>
  <si>
    <r>
      <rPr>
        <rFont val="Calibri"/>
        <b/>
        <color theme="1"/>
        <sz val="11.0"/>
      </rPr>
      <t>Team assessment (Report):</t>
    </r>
    <r>
      <rPr>
        <rFont val="Calibri"/>
        <color theme="1"/>
        <sz val="11.0"/>
      </rPr>
      <t xml:space="preserve">
• Is the essential engineering information included? 
• Are key concepts/results explained? 
• Is the technical detail sufficient? Is terminology appropriate? 
Are conclusions supported by evidence/results?
</t>
    </r>
    <r>
      <rPr>
        <rFont val="Calibri"/>
        <b/>
        <color theme="1"/>
        <sz val="11.0"/>
      </rPr>
      <t>Individual Assessment:</t>
    </r>
    <r>
      <rPr>
        <rFont val="Calibri"/>
        <color theme="1"/>
        <sz val="11.0"/>
      </rPr>
      <t xml:space="preserve">
• Does the student clearly explain his/her assigned technical content?
• Can the student answer related technical questions?
</t>
    </r>
  </si>
  <si>
    <t>Checklist for Assessment</t>
  </si>
  <si>
    <t>PI32 – Use appropriate communication methods and engineering representations to effectively convey information..</t>
  </si>
  <si>
    <t>Selects and effectively uses appropriate communication methods (presentation, report, poster, demo, etc.) and engineering representations (figures, tables, Schematics, block diagrams, plots, flowchart, etc.) that clearly enhance understanding of the information.</t>
  </si>
  <si>
    <t>Uses appropriate communication forms and engineering representations that adequately convey the information.</t>
  </si>
  <si>
    <t>Uses limited, unclear, or poorly selected communication forms or engineering representations.</t>
  </si>
  <si>
    <t>Fails to use appropriate communication forms or engineering representations, making the information difficult to understand.</t>
  </si>
  <si>
    <t>Mapped PIs</t>
  </si>
  <si>
    <r>
      <rPr>
        <rFont val="Calibri"/>
        <b/>
        <color theme="1"/>
        <sz val="11.0"/>
      </rPr>
      <t>Team assessment (Report):</t>
    </r>
    <r>
      <rPr>
        <rFont val="Calibri"/>
        <color theme="1"/>
        <sz val="11.0"/>
      </rPr>
      <t xml:space="preserve">
• Are the chosen forms appropriate? Are plots/figures/schematics/tables suitable and readable? 
• Are axes, units, legends, and captions provided where needed? 
• Are visuals referenced/explained? Do the representations improve understanding?
</t>
    </r>
    <r>
      <rPr>
        <rFont val="Calibri"/>
        <b/>
        <color theme="1"/>
        <sz val="11.0"/>
      </rPr>
      <t>Individual Assessment:</t>
    </r>
    <r>
      <rPr>
        <rFont val="Calibri"/>
        <color theme="1"/>
        <sz val="11.0"/>
      </rPr>
      <t xml:space="preserve">
• Does the student effectively use and explain the representations in his/her assigned part?
• Are the selected visuals/representations appropriate for the information being presented?
</t>
    </r>
  </si>
  <si>
    <t>PI33 – Adapt communication to the knowledge and needs of different audiences</t>
  </si>
  <si>
    <t>Communication is well adapted to the intended audience through appropriate terminology, technical depth, explanations, examples, and visuals.</t>
  </si>
  <si>
    <t>Communication is generally appropriate for the intended audience, with suitable terminology and technical depth.</t>
  </si>
  <si>
    <t>Communication shows limited adaptation; some terminology, detail, or explanation is inappropriate for the intended audience.</t>
  </si>
  <si>
    <t>Communication shows little or no consideration of the intended audience.</t>
  </si>
  <si>
    <r>
      <rPr>
        <rFont val="Calibri"/>
        <b/>
        <color theme="1"/>
        <sz val="11.0"/>
      </rPr>
      <t>Team assessment (Report):</t>
    </r>
    <r>
      <rPr>
        <rFont val="Calibri"/>
        <color theme="1"/>
        <sz val="11.0"/>
      </rPr>
      <t xml:space="preserve">
• Is the intended audience clear? Is terminology suitable? 
• Is technical depth appropriate? Are unfamiliar concepts explained?
 • Are examples/visuals and emphasis appropriate for what this audience needs to understand?
</t>
    </r>
    <r>
      <rPr>
        <rFont val="Calibri"/>
        <b/>
        <color theme="1"/>
        <sz val="11.0"/>
      </rPr>
      <t>Individual Assessment:</t>
    </r>
    <r>
      <rPr>
        <rFont val="Calibri"/>
        <color theme="1"/>
        <sz val="11.0"/>
      </rPr>
      <t xml:space="preserve">
• Does the student explain his/her assigned part at a level • • suitable for the non-technical audience?
• Does the student explain unfamiliar technical terms when • needed?
</t>
    </r>
  </si>
  <si>
    <t>Mapped CLO</t>
  </si>
  <si>
    <r>
      <rPr>
        <rFont val="Cambria"/>
        <b/>
        <color theme="1"/>
        <sz val="10.0"/>
      </rPr>
      <t xml:space="preserve">Assessment Note: </t>
    </r>
    <r>
      <rPr>
        <rFont val="Cambria"/>
        <color theme="1"/>
        <sz val="10.0"/>
      </rPr>
      <t xml:space="preserve">
• Team-based assessment is based on team evidence (e.g., final report).
• Individual attainment may be verified through structured oral questions.</t>
    </r>
  </si>
  <si>
    <t>SO3</t>
  </si>
  <si>
    <t xml:space="preserve">PI31 – Communicate engineering information using appropriate technical content.
PI32 – Use appropriate communication methods and engineering representations to effectively convey information.
PI33 – Adapt communication to the knowledge and needs of different audiences.
</t>
  </si>
  <si>
    <t>Add the CLO mapaped to this SO</t>
  </si>
  <si>
    <t>SO4</t>
  </si>
  <si>
    <t>PI41 Recognize ethical and professional responsibilities in engineering situations
PI42 Make informed judgments considering the impact of engineering solutions in global, societal, economic, and environmental contexts</t>
  </si>
  <si>
    <t>3.1 Recognize the engineering profession and the importance of ethical and legal factors in professional duties</t>
  </si>
  <si>
    <t>Please provide the information below to support the preparation of the Student Outcome assessment report.</t>
  </si>
  <si>
    <t>Expectation (3)</t>
  </si>
  <si>
    <t>Expectation (2)</t>
  </si>
  <si>
    <t>Assessment type</t>
  </si>
  <si>
    <t>Expectation (1)</t>
  </si>
  <si>
    <t>Expectation (0)</t>
  </si>
  <si>
    <t>Comment</t>
  </si>
  <si>
    <t>mention the audience</t>
  </si>
  <si>
    <t>score (0-3)</t>
  </si>
  <si>
    <t>Justification of the assessment selection (mention how it is related the PIs of the SO3)</t>
  </si>
  <si>
    <r>
      <rPr>
        <rFont val="Calibri"/>
        <color rgb="FFFF0000"/>
        <sz val="8.0"/>
      </rPr>
      <t xml:space="preserve">[List all assessment instruments used to assess the students for this SO. Mention those are team based and those are invidual }
e.g., </t>
    </r>
    <r>
      <rPr>
        <rFont val="Calibri"/>
        <color theme="1"/>
        <sz val="8.0"/>
      </rPr>
      <t xml:space="preserve">
</t>
    </r>
    <r>
      <rPr>
        <rFont val="Calibri"/>
        <b/>
        <color theme="1"/>
        <sz val="8.0"/>
      </rPr>
      <t>Team based:</t>
    </r>
    <r>
      <rPr>
        <rFont val="Calibri"/>
        <color theme="1"/>
        <sz val="8.0"/>
      </rPr>
      <t xml:space="preserve">
-Senior design/project report
-Team technical presentation
-Laboratory/ project report
- poster presentation
-System demonstration with team Q&amp;A 
</t>
    </r>
    <r>
      <rPr>
        <rFont val="Calibri"/>
        <b/>
        <color theme="1"/>
        <sz val="8.0"/>
      </rPr>
      <t>individaul assssment:</t>
    </r>
    <r>
      <rPr>
        <rFont val="Calibri"/>
        <color theme="1"/>
        <sz val="8.0"/>
      </rPr>
      <t xml:space="preserve">
-Individual technical report
-Individual research-topic presentation
-Oral defense
-Technical memo or executive summary
-Non-technical summary of an engineering topic
-Individual presentation of assigned project section
-Written technical explanation in an exam or assignment
-Individual response to structured questions after a team presentation</t>
    </r>
  </si>
  <si>
    <r>
      <rPr>
        <rFont val="Calibri"/>
        <color rgb="FFFF0000"/>
        <sz val="11.0"/>
      </rPr>
      <t xml:space="preserve">[who is the audience. Select from the list below or add ]. 
e.g., </t>
    </r>
    <r>
      <rPr>
        <rFont val="Calibri"/>
        <color theme="1"/>
        <sz val="11.0"/>
      </rPr>
      <t xml:space="preserve">
•Electrical engineering classmates / peers
•Students at a different academic level, such as first-year engineering students
•Students from other engineering disciplines
•Electrical engineers / technical specialists
•Engineers from other disciplines
•Faculty / academic reviewers
•Researchers / graduate-level academic •audience
•Industry clients / customers
•Project managers / decision makers
•Technicians / operators / maintenance personnel
•Government or regulatory personnel
•Non-technical stakeholders
General public / community members
</t>
    </r>
  </si>
  <si>
    <t>PI41. Recognize ethical and professional responsibilities in engineering situations</t>
  </si>
  <si>
    <t>Identifies the ethical responsibilities and references at least one applicable professional code or standard (e.g., IEEE, NSPE, ISO).</t>
  </si>
  <si>
    <r>
      <rPr>
        <rFont val="Calibri"/>
        <color rgb="FFED0000"/>
        <sz val="11.0"/>
      </rPr>
      <t xml:space="preserve">[Add brief description for how the assessment addressed each PI. See the example below. </t>
    </r>
    <r>
      <rPr>
        <rFont val="Calibri"/>
        <color theme="1"/>
        <sz val="11.0"/>
      </rPr>
      <t xml:space="preserve">
</t>
    </r>
    <r>
      <rPr>
        <rFont val="Calibri"/>
        <b/>
        <color theme="1"/>
        <sz val="11.0"/>
      </rPr>
      <t>PI31:</t>
    </r>
    <r>
      <rPr>
        <rFont val="Calibri"/>
        <color theme="1"/>
        <sz val="11.0"/>
      </rPr>
      <t xml:space="preserve">
PI3.1: The radar system design project presentation is designed to require students to communicate the main engineering information of the project, including the radar problem, design approach, key system parameters, performance results, and conclusions using appropriate technical content. Individual performance is assessed through each student's presentation part and responses to technical questions.
</t>
    </r>
    <r>
      <rPr>
        <rFont val="Calibri"/>
        <b/>
        <color theme="1"/>
        <sz val="11.0"/>
      </rPr>
      <t>PI32</t>
    </r>
    <r>
      <rPr>
        <rFont val="Calibri"/>
        <color theme="1"/>
        <sz val="11.0"/>
      </rPr>
      <t xml:space="preserve">: 
The project presentation is designed to require students to use oral communication and appropriate engineering representations, such as radar system block diagrams, schematics, plots, tables, waveforms, and simulation results, to effectively convey the radar system design and performance. Each student is assessed on how effectively he/she uses and explains the representations in the assigned part.
</t>
    </r>
    <r>
      <rPr>
        <rFont val="Calibri"/>
        <b/>
        <color theme="1"/>
        <sz val="11.0"/>
      </rPr>
      <t>PI33</t>
    </r>
    <r>
      <rPr>
        <rFont val="Calibri"/>
        <color theme="1"/>
        <sz val="11.0"/>
      </rPr>
      <t xml:space="preserve">: 
The project presentation is designed to require students to present the radar system design to a specified non-technical audience and adapt the terminology, technical depth, explanations, examples, and visuals so that the main purpose, operation, and results of the radar system can be understood without specialized Electrical Engineering knowledge. Each student is assessed on how well his/her communication is adapted to the specified audience.
 </t>
    </r>
  </si>
  <si>
    <t>Describes relevant ethical responsibilities and refers generally to professional obligations or standards (without a specific citation).</t>
  </si>
  <si>
    <t>Acknowledges that an ethical issue exists but provides vague or incomplete responsibilities and no clear connection to professional standards.</t>
  </si>
  <si>
    <t>Class PI %</t>
  </si>
  <si>
    <t>Fails to identify the ethical issue or misinterprets it.</t>
  </si>
  <si>
    <t>• Does the student clearly identify the ethical issue(s) in the scenario?</t>
  </si>
  <si>
    <t>Clearly identifies safety responsibilities: emergency stops, fail-safe procedures.
Addresses misuse and cybersecurity: limiting physical access, considering unauthorized access.
Explicitly refers to professional codes/standards: IEEE and NSPE.
Mentions transparency and honesty: explaining decisions, assessments, and system limitations.
Connects ethics back to the technical solution: how the drive-by-wire method maintains safety.</t>
  </si>
  <si>
    <t>Explicitly addresses safety responsibilities: emergency stops, fail-safe procedures.
Considers misuse and cybersecurity: restricted physical access, concern about unauthorized access to control systems.
Refers directly to professional codes and standards (IEEE, NSPE) and links them to:
transparency in conclusions and assessments,
being open about limitations,
integrating safety in the drive-by-wire method.</t>
  </si>
  <si>
    <t>SO Result</t>
  </si>
  <si>
    <t xml:space="preserve">Explicitly cites IEEE and NSPE codes and standards and links them to behavior: academic integrity, professionalism.
Emphasizes truth and transparency in findings and evaluations.
Acknowledges need to be honest about limits and how safety is incorporated.
Describes fail-safe procedures, emergency stop, and cybersecurity issues (unauthorized access) with restricted physical access to reduce misuse.
</t>
  </si>
  <si>
    <t>Clearly frames DBW as safety-critical, noting failures, unintended behavior, and liability as major ethical concerns.
Explicitly cites IEEE and NSPE standards and connects them to integrity in testing and reporting.
Puts safety above performance (emergency stop circuits, safe-state defaults, robust signal handling).
Acknowledges hacking / misuse risks and mitigates via limited physical access and documentation.
Adopts an explicit ethical stance focused on public protection and professional accountability → exemplary answer.</t>
  </si>
  <si>
    <r>
      <rPr>
        <rFont val="Cambria"/>
        <b/>
        <i val="0"/>
        <color theme="1"/>
        <sz val="10.0"/>
      </rPr>
      <t xml:space="preserve">Notes: </t>
    </r>
    <r>
      <rPr>
        <rFont val="Cambria"/>
        <b/>
        <i/>
        <color theme="1"/>
        <sz val="10.0"/>
      </rPr>
      <t xml:space="preserve">
</t>
    </r>
    <r>
      <rPr>
        <rFont val="Cambria"/>
        <b val="0"/>
        <i val="0"/>
        <color theme="1"/>
        <sz val="10.0"/>
      </rPr>
      <t>-PI results are calculated as the percentage of students who achieved a score of 2 or 3. 
-The SO result is calculated as the percentage of students whose average PI score is 2.0 or higher.</t>
    </r>
  </si>
  <si>
    <t>Evluation Type</t>
  </si>
  <si>
    <t>IE</t>
  </si>
  <si>
    <t>No</t>
  </si>
  <si>
    <t>•Do they recognize their professional duties (e.g., safety, honesty, confidentiality, conflict of interest)?</t>
  </si>
  <si>
    <t>Name</t>
  </si>
  <si>
    <t>PI41</t>
  </si>
  <si>
    <t>PI42</t>
  </si>
  <si>
    <t xml:space="preserve">Average </t>
  </si>
  <si>
    <t>Achievement</t>
  </si>
  <si>
    <t>•Do they reference or appropriately relate to a professional code/standard (IEEE, NSPE, ISO, etc.)?</t>
  </si>
  <si>
    <t>Individual evaluation</t>
  </si>
  <si>
    <t>PI42 Make informed judgments considering the impact of engineering solutions in global, societal, economic, and environmental contexts</t>
  </si>
  <si>
    <r>
      <rPr>
        <rFont val="Cambria"/>
        <b/>
        <color rgb="FF000000"/>
        <sz val="11.0"/>
      </rPr>
      <t>Demonstrates strong judgment and</t>
    </r>
    <r>
      <rPr>
        <rFont val="Cambria"/>
        <b val="0"/>
        <color rgb="FF000000"/>
        <sz val="11.0"/>
      </rPr>
      <t xml:space="preserve"> addresses </t>
    </r>
    <r>
      <rPr>
        <rFont val="Cambria"/>
        <b/>
        <color rgb="FF000000"/>
        <sz val="11.0"/>
      </rPr>
      <t>all four</t>
    </r>
    <r>
      <rPr>
        <rFont val="Cambria"/>
        <b val="0"/>
        <color rgb="FF000000"/>
        <sz val="11.0"/>
      </rPr>
      <t xml:space="preserve"> factors (global, societal, economic, environmental) clearly and explicitly when considering the impact of engineering solutions.</t>
    </r>
  </si>
  <si>
    <r>
      <rPr>
        <rFont val="Cambria"/>
        <color rgb="FF000000"/>
        <sz val="11.0"/>
      </rPr>
      <t xml:space="preserve">Capable of making informed judgments in considering the impact of engineering solutions, but </t>
    </r>
    <r>
      <rPr>
        <rFont val="Cambria"/>
        <b/>
        <color rgb="FF000000"/>
        <sz val="11.0"/>
      </rPr>
      <t>misses at least one applicable factor</t>
    </r>
    <r>
      <rPr>
        <rFont val="Cambria"/>
        <color rgb="FF000000"/>
        <sz val="11.0"/>
      </rPr>
      <t xml:space="preserve"> among global, societal, economic, and environmental contexts.</t>
    </r>
  </si>
  <si>
    <r>
      <rPr>
        <rFont val="Cambria"/>
        <color rgb="FF000000"/>
        <sz val="11.0"/>
      </rPr>
      <t xml:space="preserve">Demonstrates a </t>
    </r>
    <r>
      <rPr>
        <rFont val="Cambria"/>
        <b/>
        <color rgb="FF000000"/>
        <sz val="11.0"/>
      </rPr>
      <t>basic</t>
    </r>
    <r>
      <rPr>
        <rFont val="Cambria"/>
        <color rgb="FF000000"/>
        <sz val="11.0"/>
      </rPr>
      <t xml:space="preserve"> ability to make informed judgments in considering the impact of engineering solutions, but </t>
    </r>
    <r>
      <rPr>
        <rFont val="Cambria"/>
        <b/>
        <color rgb="FF000000"/>
        <sz val="11.0"/>
      </rPr>
      <t>misses two or more factors</t>
    </r>
    <r>
      <rPr>
        <rFont val="Cambria"/>
        <color rgb="FF000000"/>
        <sz val="11.0"/>
      </rPr>
      <t xml:space="preserve"> in the global, societal, economic, and environmental contexts.</t>
    </r>
  </si>
  <si>
    <r>
      <rPr>
        <rFont val="Cambria"/>
        <b/>
        <color rgb="FF000000"/>
        <sz val="11.0"/>
      </rPr>
      <t>Lacks the ability</t>
    </r>
    <r>
      <rPr>
        <rFont val="Cambria"/>
        <b val="0"/>
        <color rgb="FF000000"/>
        <sz val="11.0"/>
      </rPr>
      <t xml:space="preserve"> to make informed judgments in considering the impact of engineering solutions, </t>
    </r>
    <r>
      <rPr>
        <rFont val="Cambria"/>
        <b/>
        <color rgb="FF000000"/>
        <sz val="11.0"/>
      </rPr>
      <t>missing all four factors</t>
    </r>
    <r>
      <rPr>
        <rFont val="Cambria"/>
        <b val="0"/>
        <color rgb="FF000000"/>
        <sz val="11.0"/>
      </rPr>
      <t xml:space="preserve"> (global, societal, economic, and environmental contexts).</t>
    </r>
  </si>
  <si>
    <t>•Does the student state a clear ethical decision or recommended action?</t>
  </si>
  <si>
    <t>Positive points:
Recognizes need for thorough testing to prevent harm (safety / societal impact).
Acknowledges software failure risks and the duty to be honest about limits → good ethical awareness.
Mentions societal and environmental benefits (safer, more efficient, environmentally friendly EV system).
Missing / weaker parts:
Little to no explicit discussion of economic impact or global/cultural contexts.
The impacts are stated in a general way, without concrete examples or trade-offs across the four dimensions.</t>
  </si>
  <si>
    <t>Positive aspects:
Strong ethical framing: obligation to make the system as safe as possible before deployment, including thorough testing in controlled situations.
Identifies risk of software defects replacing mechanical links and the potential for harm.
Emphasizes duty to be truthful and open about capabilities and constraints.
Addresses societal and environmental impact: safer, more energy-efficient, climate-friendly system.
What’s missing for the very top level:
No explicit mention of economic considerations (cost, affordability, scalability, etc.).
Global / cultural context is not clearly discussed (different regulations, user populations, regions, etc.).</t>
  </si>
  <si>
    <t>Strong ethical framing: “primary goal is not to harm,” recognition that replacing mechanical links with software introduces risk of software bugs.
Emphasizes extensive testing in controlled environments before real use → good safety judgment.
Commits to honesty and transparency in reporting capabilities and limitations, with a concrete example (documenting unsupported failure modes and recommending not to operate).
Notes positive societal impact (improved safety), environmental impact (climate-friendly, energy-efficient).
However:
Does not explicitly discuss economic aspects (cost, affordability, scalability) in this answer.
Global/cultural context is not clearly articulated (regulations in different regions, different users, etc.).
So he clearly makes informed ethical judgments and covers societal and environmental aspects well, but does not fully span all four contexts in this specific response</t>
  </si>
  <si>
    <t>Shows safety judgment: choosing to keep mechanical steering/braking as fallback, explaining the trade-off between “advanced” full electronic control and risk in a student prototype.
Explicitly balances cost, safety, and mission effectiveness in that decision.
Discusses societal benefits: better safety, more efficient energy use.
Mentions environmental impact: less impact due to energy-efficient control.
Addresses economic impact: lower lifetime service costs by reducing mechanical components.
References standards, rules, regulations, and the risk of unsafe deployments without them → clear ethical and professional judgment.
Concludes with global framing: cleaner, more safety-conscious, accessible transportation aligned with global engineering needs.
He explicitly touches all four contexts (global, societal, economic, environmental) plus ethics and trade-offs</t>
  </si>
  <si>
    <t>• Is the final judgment consistent with professional integrity and protection of the public?</t>
  </si>
  <si>
    <t>•  Does the student address each GEES factor (global, economic, environmental, societal), or clearly justify why any factor is not applicable?</t>
  </si>
  <si>
    <t xml:space="preserve">Student Work Description </t>
  </si>
  <si>
    <t>SO - PI</t>
  </si>
  <si>
    <t xml:space="preserve">Assessment Item </t>
  </si>
  <si>
    <t xml:space="preserve">Questions Used </t>
  </si>
  <si>
    <t xml:space="preserve">Justification of assessment item selection </t>
  </si>
  <si>
    <t>Key Performance Indicators and Rubrics for Student Outcome:</t>
  </si>
  <si>
    <t>4. Recognize professional responsibilities and make informed judgments in computing practice based on legal and ethical principles.</t>
  </si>
  <si>
    <t>KPI Nbr.</t>
  </si>
  <si>
    <t>KPI Definition</t>
  </si>
  <si>
    <t>Level 0:  
Below Expectation (BE)</t>
  </si>
  <si>
    <t>Level 1: 
Developing Expectation (DE)</t>
  </si>
  <si>
    <t>Level 2: 
Meet Expectation (ME)</t>
  </si>
  <si>
    <t>Level 3: 
Above Expectation (AE)</t>
  </si>
  <si>
    <t>Demonstrate ability to recognize impact and determine best practices.</t>
  </si>
  <si>
    <t>Little recognition of the impact of computing practices on individuals, organizations and society.</t>
  </si>
  <si>
    <t>Some recognition of the effects of computing practices on individuals, organizations and society, but little demonstrated ability to determine best practices.</t>
  </si>
  <si>
    <t>Recognizes some effects of computing practices onindividuals, organizations
and society, and demonstrates acceptable ability to determine best practices</t>
  </si>
  <si>
    <t>Recognizes the effects of computing practices on individuals, organization, and society and demonstrates good ability to determine good practices</t>
  </si>
  <si>
    <t>Demonstrates an ability to recognize ethical dilemmas and apply professional ethical practices to make appropriate decisions</t>
  </si>
  <si>
    <t>Needs assistance to identify ethical dilemmas and to apply the code of
ethics from professional societies and/or ethical theories</t>
  </si>
  <si>
    <t>Demonstrates some ability to identify ethical dilemmas and is aware of, but cannot necessarily apply, a professional code of ethics and/or ethical theory</t>
  </si>
  <si>
    <t>Demonstrates acceptable ability to identify ethical  dilemmas and recognizes
basic elements of a
professional code of ethics and/or ethical theory</t>
  </si>
  <si>
    <t>Can apply elements from a professional code of ethics
and/or ethical theory to
recognize ethical dilemmas
and analyze them.</t>
  </si>
  <si>
    <t>5. Function effectively as a member or leader of a team engaged in activities appropriate to the program’s discipline.</t>
  </si>
  <si>
    <t>6. Support the delivery, use, and management of information systems within an information systems environment.</t>
  </si>
  <si>
    <t>Actively contributes to the classroom learning environment with interest, passion , and curiosity</t>
  </si>
  <si>
    <t>Appears uninterested and does not demonstrate or share curiosity and passion. Is defensive about feedback and suggestions.</t>
  </si>
  <si>
    <t xml:space="preserve">Show some interest. Rarely to ask questions and seeks information related to instruction and classroom practice. </t>
  </si>
  <si>
    <t>Demonstrates interest, passion, and curiosity. Asks questions and seeks information related to instruction and classroom practice. Willingly incorporates suggestions and responds appropriately to feedback.</t>
  </si>
  <si>
    <t>Openly contributes to the classroom learning environment as a result of their interest, passion, and curiosity.</t>
  </si>
  <si>
    <t>Effeciently collects information and propose ideas to the team relevant to the group purpose</t>
  </si>
  <si>
    <t>Does not collect any relevant information; no useful suggestions to address team's needs.</t>
  </si>
  <si>
    <t>Participates in collecting general information related to the project; Do not share useful ideas to meet the team's needs.</t>
  </si>
  <si>
    <t>Collects basic, useful information related to the project; occasionally offers useful ideas to meet the team's needs.</t>
  </si>
  <si>
    <t>Collects and presents to the team a great deal of relevant information; offers welldeveloped and clearly expressed ideas directly related to the group's purpose</t>
  </si>
  <si>
    <t xml:space="preserve">Participate actively all team groups and effectively conduct all assigned tasks </t>
  </si>
  <si>
    <t>Does not perform assigned tasks; often misses meetings and, when present, does not have anything constructive to say; relies on others to do the work.</t>
  </si>
  <si>
    <t>Performs some assigned tasks; miss some meetings,contributes rarely to the team work.</t>
  </si>
  <si>
    <t>Performs all assigned tasks; attends meetings regularly and usually participates effectively; generally reliable.</t>
  </si>
  <si>
    <t>Performs all tasks very effectively; attends all meetings and participates enthusiastically; very reliable.</t>
  </si>
  <si>
    <t>Able as leader to to accept other team members'  ideas and contribute to their development and give them full credit</t>
  </si>
  <si>
    <t>Often argues with team mates; doesn't let anyone else talk; occasional personal attacks and "put-downs"; wants to have things done his way and does not listen to alternate approaches.</t>
  </si>
  <si>
    <t>Sometimes listens to others' points of view but do not make effort to understands other ideas.</t>
  </si>
  <si>
    <t>Generally listens to others' points of view; always uses appropriate and respectful language; tries to make a definite effort to understand others' ideas.</t>
  </si>
  <si>
    <t>Always listens to others and their ideas; helps them develop their ideas while giving them full credit; always helps the team reach a fair decision.</t>
  </si>
  <si>
    <t>Recall and understand the fundamental of  business  concepts (i.e. marketing, accounting, human resource, etc.), its environment, and  requirements</t>
  </si>
  <si>
    <t>Unable to understand business processes and requirements</t>
  </si>
  <si>
    <t>Recall some business process concepts without being able to apply them</t>
  </si>
  <si>
    <t xml:space="preserve">Recall and understands some business concepts and properly apply them </t>
  </si>
  <si>
    <t>Understands and able to properly analyse a business process in a given context and apply them</t>
  </si>
  <si>
    <t>Correctly apply the the understanding of business processes and environment (i.e. marketing, finance, etc.), for  developing relevant information system solutions to solve business problems</t>
  </si>
  <si>
    <t xml:space="preserve">Unable to apply and develop any system based on the fundamental related concept in business. </t>
  </si>
  <si>
    <t xml:space="preserve">Able to partially apply and develop any system based on the fundamental related concept in business. </t>
  </si>
  <si>
    <t xml:space="preserve">Able to show satisfactory application of business concept and develop any system based on the fundamental related concept in business. </t>
  </si>
  <si>
    <t xml:space="preserve">able to successfully apply business concept and develop any system based on the fundamental related concept in business. </t>
  </si>
  <si>
    <t xml:space="preserve">Evaluate and relates the differences in business functions (i.e. marketing, finance, accounting, etc.) and related entities (people and processes) within the business environment, for getting user requirement and customization of IS solutions (i.e. ERP) </t>
  </si>
  <si>
    <t xml:space="preserve">Unable to identify and differentiate users and their roles in various different functions in the business to create requirements, and perform any customization to IS solution.  </t>
  </si>
  <si>
    <t>Can identify and differentiate some parts of  the user requirements but cannot customize the IS solution properly</t>
  </si>
  <si>
    <t>Can identify and differentiate most of the business user requirements and functions, and customize the IS solution satisfactorily</t>
  </si>
  <si>
    <t xml:space="preserve">Can successfully identify business user requirements,  customize and deliver successfully the IS solution  </t>
  </si>
  <si>
    <t>Identify and evaluate IS technologies and business solutions (DBMS, ERP, etc) by applying  knowledge of the business environment and its functional areas (management, marketing, etc.)</t>
  </si>
  <si>
    <t>Unable to identify and evaluate any IS solution related to any business concepts and environment</t>
  </si>
  <si>
    <t>Able to partially identify and evaluate IS solution related to some concepts in the business environment</t>
  </si>
  <si>
    <t>Able to identify and evaluate satisfactorily IS solution related to some concepts in the business environment</t>
  </si>
  <si>
    <t>Able to identify and evaluate successfully IS solution by effectively relating to all concepts in the business environment</t>
  </si>
  <si>
    <t>7. Develop and evaluate E-commerce systems on different platforms using a variety of technologies.</t>
  </si>
  <si>
    <t>Properly design and develop E-commerce solutions</t>
  </si>
  <si>
    <t xml:space="preserve">Cannot recognize E-commerce solution development process </t>
  </si>
  <si>
    <t xml:space="preserve">Partially recall the phases of the development of E-commerce solutions </t>
  </si>
  <si>
    <t>Fully describe the process for the development of E-commerce solution without being  able to apply it properly</t>
  </si>
  <si>
    <t xml:space="preserve">Successfully design and develop E-commerce Solution </t>
  </si>
  <si>
    <t>Accurately compare and evaluate E-Commerce systems</t>
  </si>
  <si>
    <t>Do not recall the criteria for evaluating and comparing E-commerce solutions</t>
  </si>
  <si>
    <t>Recognize some of the criteria for the evaluation of E-commerce solutions</t>
  </si>
  <si>
    <t xml:space="preserve">Recall all the criteria for the evaluation and the comparison of E-commerce systems </t>
  </si>
  <si>
    <t>Successfully compare and evaluate E-commerce systems</t>
  </si>
  <si>
    <t>Successfully implement E-commerce solutions on different platforms</t>
  </si>
  <si>
    <t xml:space="preserve">Recognize the need for using E-commerce development platforms </t>
  </si>
  <si>
    <t>Cite different E-commerce development platforms</t>
  </si>
  <si>
    <t xml:space="preserve">Partially use at least  one E-commerce development plateform </t>
  </si>
  <si>
    <t>Conveniently use a different platforms for developing E-commerce solutions</t>
  </si>
  <si>
    <t>Successfully use different technologies to develop E-commerce solutions</t>
  </si>
  <si>
    <t>Unable to enumerate some e-commerce development techologies</t>
  </si>
  <si>
    <t xml:space="preserve">Cite and partially define the usefullness of some E-commerce development technologies </t>
  </si>
  <si>
    <t>Partially use some E-commerce development technologies to develop relevent solutions</t>
  </si>
  <si>
    <t>Fully understand and use different E-commerce development technologies to deliver E-commerce solutions</t>
  </si>
  <si>
    <t>Rubrics for Student Outcome 8</t>
  </si>
  <si>
    <t>CYS-SO Apply security principles and practices to the environment , hardware, social and human aspects of a system</t>
  </si>
  <si>
    <t>Criterion</t>
  </si>
  <si>
    <t>Assessment of Criterion</t>
  </si>
  <si>
    <t>Above Expectation</t>
  </si>
  <si>
    <t>Meeting expectation</t>
  </si>
  <si>
    <t>Developing Expectation</t>
  </si>
  <si>
    <t>Below Expectation</t>
  </si>
  <si>
    <t>Describe security as a continuous process of tradeoffs, balancing between protection mechanisms and availability</t>
  </si>
  <si>
    <t>Students are able to Illustrate security as a continuous process of tradeoffs, balancing between protection mechanisms and availability.</t>
  </si>
  <si>
    <t>Students are able to describe security as a continuous process of tradeoffs, balancing between protection mechanisms and availability. </t>
  </si>
  <si>
    <t>Students are able to recognize the importance of security as a continuous process of tradeoffs.</t>
  </si>
  <si>
    <t>Students are not able to recognize the importance of security as a continuous process of tradeoffs.</t>
  </si>
  <si>
    <t> Analyze the tradeoffs of balancing key security properties, including Confidentiality, Integrity, and Availability (CIA).</t>
  </si>
  <si>
    <r>
      <rPr>
        <rFont val="Calibri"/>
        <color theme="1"/>
        <sz val="11.0"/>
      </rPr>
      <t>Students are able to e</t>
    </r>
    <r>
      <rPr>
        <rFont val="Calibri"/>
        <color rgb="FF000000"/>
        <sz val="11.0"/>
      </rPr>
      <t>valuate the tradeoffs of balancing key security properties, including Confidentiality, Integrity, and Availability (CIA).</t>
    </r>
  </si>
  <si>
    <r>
      <rPr>
        <rFont val="Calibri"/>
        <color theme="1"/>
        <sz val="11.0"/>
      </rPr>
      <t>Students are able to a</t>
    </r>
    <r>
      <rPr>
        <rFont val="Calibri"/>
        <color rgb="FF000000"/>
        <sz val="11.0"/>
      </rPr>
      <t>nalyze the tradeoffs of balancing key security properties, including Confidentiality, Integrity, and Availability (CIA)</t>
    </r>
  </si>
  <si>
    <t>Students are able to investigate the tradeoffs of balancing key security properties, including Confidentiality, Integrity, and Availability (CIA)</t>
  </si>
  <si>
    <t>Students are not able to investigate the tradeoffs of balancing key security properties, including Confidentiality, Integrity, and Availability (CIA)</t>
  </si>
  <si>
    <t>Illustrate through examples the concepts of security and privacy risk, threats, vulnerabilities, attack vectors, and exploits, noting there is no such thing as perfect security. </t>
  </si>
  <si>
    <t>Students are able to compare the concepts of risk, threats, vulnerabilities, attack vectors, and exploits to a given scenario.</t>
  </si>
  <si>
    <t>Students are able to illustrate through examples the concepts of risk, threats, vulnerabilities, attack vectors, and exploits, noting there is no such thing as perfect security. </t>
  </si>
  <si>
    <t>Students are able to differentiate the concepts of risk, threats, vulnerabilities, attack vectors, and exploits. </t>
  </si>
  <si>
    <t>Students are notable to differentiate the concepts of risk, threats, vulnerabilities, attack vectors, and exploits. </t>
  </si>
  <si>
    <t>Apply security principles and practices for secure software development in a dynamic environment</t>
  </si>
  <si>
    <r>
      <rPr>
        <rFont val="Calibri"/>
        <color theme="1"/>
        <sz val="11.0"/>
      </rPr>
      <t>Students are able to e</t>
    </r>
    <r>
      <rPr>
        <rFont val="Calibri"/>
        <color rgb="FF000000"/>
        <sz val="11.0"/>
      </rPr>
      <t>xamine security principles and practices for secure software development in a dynamic environment. </t>
    </r>
  </si>
  <si>
    <r>
      <rPr>
        <rFont val="Calibri"/>
        <color theme="1"/>
        <sz val="11.0"/>
      </rPr>
      <t xml:space="preserve">Students are able to apply security principles and practices </t>
    </r>
    <r>
      <rPr>
        <rFont val="Calibri"/>
        <color rgb="FF000000"/>
        <sz val="11.0"/>
      </rPr>
      <t xml:space="preserve">for secure software development </t>
    </r>
    <r>
      <rPr>
        <rFont val="Calibri"/>
        <color theme="1"/>
        <sz val="11.0"/>
      </rPr>
      <t>in a dynamic environment. </t>
    </r>
  </si>
  <si>
    <r>
      <rPr>
        <rFont val="Calibri"/>
        <color theme="1"/>
        <sz val="11.0"/>
      </rPr>
      <t xml:space="preserve">Students are able to summarize security principles and practices </t>
    </r>
    <r>
      <rPr>
        <rFont val="Calibri"/>
        <color rgb="FF000000"/>
        <sz val="11.0"/>
      </rPr>
      <t>for secure software development</t>
    </r>
    <r>
      <rPr>
        <rFont val="Calibri"/>
        <color theme="1"/>
        <sz val="11.0"/>
      </rPr>
      <t>. </t>
    </r>
  </si>
  <si>
    <r>
      <rPr>
        <rFont val="Calibri"/>
        <color theme="1"/>
        <sz val="11.0"/>
      </rPr>
      <t xml:space="preserve">Students are not able to summarize security principles and practices </t>
    </r>
    <r>
      <rPr>
        <rFont val="Calibri"/>
        <color rgb="FF000000"/>
        <sz val="11.0"/>
      </rPr>
      <t>for secure software development</t>
    </r>
    <r>
      <rPr>
        <rFont val="Calibri"/>
        <color theme="1"/>
        <sz val="11.0"/>
      </rPr>
      <t>. </t>
    </r>
  </si>
  <si>
    <t>SO1</t>
  </si>
  <si>
    <t>Ability to identify, formulate, and solve complex engineering problems by applying principles of engineering, science, and mathematics.</t>
  </si>
  <si>
    <t>SO2</t>
  </si>
  <si>
    <t>An ability to apply engineering design to produce solutions that meet specified needs with consideration of public health, safety, and welfare, as well as global, cultural, social, environmental, and economic factors.</t>
  </si>
  <si>
    <t>An ability to communicate effectively with a range of audiences.</t>
  </si>
  <si>
    <t>An ability to recognize ethical and professional responsibilities in engineering situations and make informed judgments, which must consider the impact of engineering solutions in global, economic, environmental, and societal contexts.</t>
  </si>
  <si>
    <t>SO5</t>
  </si>
  <si>
    <t>An ability to function effectively on a team whose members together provide leadership, create a collaborative and inclusive environment, establish goals, plan tasks, and meet objectives.</t>
  </si>
  <si>
    <t>SO6</t>
  </si>
  <si>
    <t>An ability to develop and conduct appropriate experimentation, analyze and interpret data, and use engineering judgment to draw conclusions</t>
  </si>
  <si>
    <t>SO7</t>
  </si>
  <si>
    <t>An ability to acquire and apply new knowledge as needed, using appropriate learning strategies.</t>
  </si>
  <si>
    <t>Student's Satisfaction</t>
  </si>
  <si>
    <t>BE</t>
  </si>
  <si>
    <t>Below Expextations</t>
  </si>
  <si>
    <t>DE</t>
  </si>
  <si>
    <t>ME</t>
  </si>
  <si>
    <t>Meets Expectations</t>
  </si>
  <si>
    <t>AE</t>
  </si>
  <si>
    <t>Accomplished Expectations</t>
  </si>
  <si>
    <t>Quiz</t>
  </si>
  <si>
    <t xml:space="preserve">Major </t>
  </si>
  <si>
    <t>Final</t>
  </si>
  <si>
    <t xml:space="preserve">Project </t>
  </si>
  <si>
    <t>Assignment</t>
  </si>
  <si>
    <t>Section's Satisfaction</t>
  </si>
  <si>
    <t>Less than 60% of students are  achieving the Satisfactory level (ME) or above</t>
  </si>
  <si>
    <t>60% to 69% of students are  achieving the Satisfactory level (ME) or above</t>
  </si>
  <si>
    <t>70% to 79% of students are  achieving the Satisfactory level (ME) or above</t>
  </si>
  <si>
    <t>90% or more  of students are  achieving the Satisfactory level (ME) or above</t>
  </si>
  <si>
    <t>PI Results</t>
  </si>
  <si>
    <t>Comment on the  PIs results if any is below 2 or if the SO is below 70%</t>
  </si>
  <si>
    <t>All PIs and the SO results are above the threshold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</si>
</sst>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6">
    <font>
      <sz val="11.0"/>
      <color theme="1"/>
      <name val="Calibri"/>
      <scheme val="minor"/>
    </font>
    <font>
      <b/>
      <sz val="12.0"/>
      <color theme="1"/>
      <name val="Times New Roman"/>
    </font>
    <font>
      <b/>
      <sz val="14.0"/>
      <color rgb="FF000000"/>
      <name val="Cambria"/>
    </font>
    <font/>
    <font>
      <b/>
      <sz val="14.0"/>
      <color theme="1"/>
      <name val="Arial"/>
    </font>
    <font>
      <sz val="12.0"/>
      <color theme="1"/>
      <name val="Times New Roman"/>
    </font>
    <font>
      <b/>
      <sz val="11.0"/>
      <color rgb="FF000000"/>
      <name val="Cambria"/>
    </font>
    <font>
      <b/>
      <sz val="12.0"/>
      <color rgb="FF7030A0"/>
      <name val="Arial"/>
    </font>
    <font>
      <sz val="12.0"/>
      <color theme="1"/>
      <name val="Arial"/>
    </font>
    <font>
      <b/>
      <sz val="11.0"/>
      <color rgb="FF000000"/>
      <name val="Calibri"/>
    </font>
    <font>
      <b/>
      <sz val="12.0"/>
      <color theme="1"/>
      <name val="Arial"/>
    </font>
    <font>
      <sz val="11.0"/>
      <color theme="1"/>
      <name val="Calibri"/>
    </font>
    <font>
      <b/>
      <sz val="11.0"/>
      <color theme="1"/>
      <name val="Calibri"/>
    </font>
    <font>
      <b/>
      <sz val="12.0"/>
      <color theme="1"/>
      <name val="Calibri"/>
    </font>
    <font>
      <sz val="11.0"/>
      <color rgb="FF000000"/>
      <name val="Cambria"/>
    </font>
    <font>
      <sz val="12.0"/>
      <color rgb="FF0000FF"/>
      <name val="Arial"/>
    </font>
    <font>
      <sz val="10.0"/>
      <color theme="1"/>
      <name val="Cambria"/>
    </font>
    <font>
      <b/>
      <sz val="12.0"/>
      <color rgb="FF000000"/>
      <name val="Arial"/>
    </font>
    <font>
      <sz val="10.0"/>
      <color rgb="FF000000"/>
      <name val="Calibri"/>
    </font>
    <font>
      <sz val="10.0"/>
      <color rgb="FFFF0000"/>
      <name val="Calibri"/>
    </font>
    <font>
      <sz val="12.0"/>
      <color rgb="FF000000"/>
      <name val="Arial"/>
    </font>
    <font>
      <i/>
      <sz val="12.0"/>
      <color theme="1"/>
      <name val="Arial"/>
    </font>
    <font>
      <sz val="10.0"/>
      <color theme="1"/>
      <name val="Calibri"/>
    </font>
    <font>
      <sz val="8.0"/>
      <color theme="1"/>
      <name val="Calibri"/>
    </font>
    <font>
      <sz val="11.0"/>
      <color theme="1"/>
      <name val="Cambria"/>
    </font>
    <font>
      <sz val="10.0"/>
      <color theme="1"/>
      <name val="Arial"/>
    </font>
    <font>
      <b/>
      <i/>
      <sz val="10.0"/>
      <color theme="1"/>
      <name val="Cambria"/>
    </font>
    <font>
      <sz val="9.0"/>
      <color theme="1"/>
      <name val="Arial"/>
    </font>
    <font>
      <sz val="10.0"/>
      <color rgb="FF000000"/>
      <name val="Arial"/>
    </font>
    <font>
      <b/>
      <sz val="9.0"/>
      <color theme="1"/>
      <name val="Arial"/>
    </font>
    <font>
      <sz val="11.0"/>
      <color rgb="FFFF0000"/>
      <name val="Calibri"/>
    </font>
    <font>
      <b/>
      <sz val="22.0"/>
      <color theme="1"/>
      <name val="Calibri"/>
    </font>
    <font>
      <b/>
      <sz val="14.0"/>
      <color theme="1"/>
      <name val="Calibri"/>
    </font>
    <font>
      <sz val="12.0"/>
      <color theme="1"/>
      <name val="Calibri"/>
    </font>
    <font>
      <b/>
      <i/>
      <sz val="11.0"/>
      <color theme="1"/>
      <name val="Calibri"/>
    </font>
    <font>
      <b/>
      <sz val="10.0"/>
      <color theme="1"/>
      <name val="Arial"/>
    </font>
  </fonts>
  <fills count="17">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FDE9D9"/>
        <bgColor rgb="FFFDE9D9"/>
      </patternFill>
    </fill>
    <fill>
      <patternFill patternType="solid">
        <fgColor rgb="FFFFC000"/>
        <bgColor rgb="FFFFC000"/>
      </patternFill>
    </fill>
    <fill>
      <patternFill patternType="solid">
        <fgColor rgb="FFFCE4D6"/>
        <bgColor rgb="FFFCE4D6"/>
      </patternFill>
    </fill>
    <fill>
      <patternFill patternType="solid">
        <fgColor rgb="FFFFF2CC"/>
        <bgColor rgb="FFFFF2CC"/>
      </patternFill>
    </fill>
    <fill>
      <patternFill patternType="solid">
        <fgColor rgb="FFE5DFEC"/>
        <bgColor rgb="FFE5DFEC"/>
      </patternFill>
    </fill>
    <fill>
      <patternFill patternType="solid">
        <fgColor rgb="FFDDD9C3"/>
        <bgColor rgb="FFDDD9C3"/>
      </patternFill>
    </fill>
    <fill>
      <patternFill patternType="solid">
        <fgColor rgb="FFCCC0D9"/>
        <bgColor rgb="FFCCC0D9"/>
      </patternFill>
    </fill>
    <fill>
      <patternFill patternType="solid">
        <fgColor rgb="FFC2D69B"/>
        <bgColor rgb="FFC2D69B"/>
      </patternFill>
    </fill>
    <fill>
      <patternFill patternType="solid">
        <fgColor rgb="FFD8D8D8"/>
        <bgColor rgb="FFD8D8D8"/>
      </patternFill>
    </fill>
    <fill>
      <patternFill patternType="solid">
        <fgColor rgb="FF95B3D7"/>
        <bgColor rgb="FF95B3D7"/>
      </patternFill>
    </fill>
    <fill>
      <patternFill patternType="solid">
        <fgColor rgb="FFBFBFBF"/>
        <bgColor rgb="FFBFBFBF"/>
      </patternFill>
    </fill>
    <fill>
      <patternFill patternType="solid">
        <fgColor rgb="FF92D050"/>
        <bgColor rgb="FF92D050"/>
      </patternFill>
    </fill>
    <fill>
      <patternFill patternType="solid">
        <fgColor rgb="FFFFFFFF"/>
        <bgColor rgb="FFFFFFFF"/>
      </patternFill>
    </fill>
  </fills>
  <borders count="57">
    <border/>
    <border>
      <left style="thin">
        <color rgb="FF000000"/>
      </left>
      <top style="thin">
        <color rgb="FF000000"/>
      </top>
      <bottom style="thin">
        <color rgb="FF000000"/>
      </bottom>
    </border>
    <border>
      <left style="thin">
        <color rgb="FF000000"/>
      </left>
      <top/>
      <bottom/>
    </border>
    <border>
      <right style="thin">
        <color rgb="FF000000"/>
      </right>
      <top style="thin">
        <color rgb="FF000000"/>
      </top>
      <bottom style="thin">
        <color rgb="FF000000"/>
      </bottom>
    </border>
    <border>
      <top/>
      <bottom/>
    </border>
    <border>
      <right/>
      <top/>
      <bottom/>
    </border>
    <border>
      <top style="thin">
        <color rgb="FF000000"/>
      </top>
      <bottom style="thin">
        <color rgb="FF000000"/>
      </bottom>
    </border>
    <border>
      <left style="thin">
        <color rgb="FF000000"/>
      </left>
      <right style="thin">
        <color rgb="FF000000"/>
      </right>
      <top style="thin">
        <color rgb="FF000000"/>
      </top>
    </border>
    <border>
      <left/>
      <top/>
      <bottom/>
    </border>
    <border>
      <left style="thin">
        <color rgb="FF000000"/>
      </left>
      <right/>
      <top style="medium">
        <color rgb="FF000000"/>
      </top>
    </border>
    <border>
      <left/>
      <right/>
      <top/>
      <bottom/>
    </border>
    <border>
      <left style="thin">
        <color rgb="FF000000"/>
      </left>
      <right style="thin">
        <color rgb="FF000000"/>
      </right>
      <bottom style="thin">
        <color rgb="FF000000"/>
      </bottom>
    </border>
    <border>
      <left style="thin">
        <color rgb="FFB7B7B7"/>
      </left>
      <right style="thin">
        <color rgb="FFB7B7B7"/>
      </right>
      <top style="thin">
        <color rgb="FFB7B7B7"/>
      </top>
      <bottom/>
    </border>
    <border>
      <left style="thin">
        <color rgb="FF000000"/>
      </left>
      <right/>
      <bottom style="medium">
        <color rgb="FF000000"/>
      </bottom>
    </border>
    <border>
      <left style="thin">
        <color rgb="FFB7B7B7"/>
      </left>
      <right/>
      <top style="thin">
        <color rgb="FFB7B7B7"/>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right style="thin">
        <color rgb="FF000000"/>
      </right>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right/>
      <top style="thin">
        <color rgb="FF000000"/>
      </top>
      <bottom/>
    </border>
    <border>
      <left style="thin">
        <color rgb="FF000000"/>
      </left>
      <right style="thin">
        <color rgb="FF000000"/>
      </right>
      <bottom/>
    </border>
    <border>
      <left style="thin">
        <color rgb="FF000000"/>
      </left>
      <right/>
      <top/>
      <bottom/>
    </border>
    <border>
      <left/>
      <top style="thin">
        <color rgb="FF000000"/>
      </top>
      <bottom/>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left/>
      <top/>
    </border>
    <border>
      <top/>
    </border>
    <border>
      <right/>
      <top/>
    </border>
    <border>
      <left/>
      <bottom style="thin">
        <color rgb="FF000000"/>
      </bottom>
    </border>
    <border>
      <bottom style="thin">
        <color rgb="FF000000"/>
      </bottom>
    </border>
    <border>
      <right/>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ttom style="medium">
        <color rgb="FF000000"/>
      </bottom>
    </border>
    <border>
      <left style="thin">
        <color rgb="FF000000"/>
      </left>
      <top style="thin">
        <color rgb="FF000000"/>
      </top>
    </border>
    <border>
      <right/>
      <top style="thin">
        <color rgb="FF000000"/>
      </top>
      <bottom style="thin">
        <color rgb="FF000000"/>
      </bottom>
    </border>
    <border>
      <left style="thin">
        <color rgb="FF000000"/>
      </left>
      <top/>
    </border>
    <border>
      <left style="thin">
        <color rgb="FF000000"/>
      </left>
    </border>
    <border>
      <right/>
    </border>
    <border>
      <left style="thin">
        <color rgb="FF000000"/>
      </left>
      <bottom/>
    </border>
    <border>
      <right/>
      <bottom/>
    </border>
    <border>
      <top style="thin">
        <color rgb="FF000000"/>
      </top>
    </border>
    <border>
      <right/>
      <top style="thin">
        <color rgb="FF000000"/>
      </top>
    </border>
    <border>
      <left style="thin">
        <color rgb="FF000000"/>
      </left>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4" numFmtId="0" xfId="0" applyAlignment="1" applyFont="1">
      <alignment horizontal="center"/>
    </xf>
    <xf borderId="1" fillId="2" fontId="5" numFmtId="0" xfId="0" applyBorder="1" applyFill="1" applyFont="1"/>
    <xf borderId="5" fillId="0" fontId="3" numFmtId="0" xfId="0" applyBorder="1" applyFont="1"/>
    <xf borderId="6" fillId="0" fontId="3" numFmtId="0" xfId="0" applyBorder="1" applyFont="1"/>
    <xf borderId="7" fillId="4" fontId="6" numFmtId="0" xfId="0" applyAlignment="1" applyBorder="1" applyFill="1" applyFont="1">
      <alignment horizontal="center" shrinkToFit="0" vertical="center" wrapText="1"/>
    </xf>
    <xf borderId="8" fillId="5" fontId="7" numFmtId="0" xfId="0" applyAlignment="1" applyBorder="1" applyFill="1" applyFont="1">
      <alignment horizontal="center"/>
    </xf>
    <xf borderId="1" fillId="2" fontId="5" numFmtId="0" xfId="0" applyAlignment="1" applyBorder="1" applyFill="1" applyFont="1">
      <alignment horizontal="left"/>
    </xf>
    <xf borderId="0" fillId="0" fontId="8" numFmtId="0" xfId="0" applyFont="1"/>
    <xf borderId="1" fillId="3" fontId="6"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center" wrapText="1"/>
    </xf>
    <xf borderId="10" fillId="4" fontId="10" numFmtId="0" xfId="0" applyAlignment="1" applyBorder="1" applyFill="1" applyFont="1">
      <alignment horizontal="center" vertical="center"/>
    </xf>
    <xf borderId="11" fillId="0" fontId="3" numFmtId="0" xfId="0" applyBorder="1" applyFont="1"/>
    <xf borderId="0" fillId="0" fontId="11" numFmtId="0" xfId="0" applyFont="1"/>
    <xf borderId="12" fillId="4" fontId="10" numFmtId="0" xfId="0" applyAlignment="1" applyBorder="1" applyFill="1" applyFont="1">
      <alignment horizontal="center" shrinkToFit="0" vertical="center" wrapText="1"/>
    </xf>
    <xf borderId="13" fillId="0" fontId="3" numFmtId="0" xfId="0" applyBorder="1" applyFont="1"/>
    <xf borderId="14" fillId="4" fontId="10" numFmtId="0" xfId="0" applyAlignment="1" applyBorder="1" applyFill="1" applyFont="1">
      <alignment horizontal="center" shrinkToFit="0" vertical="center" wrapText="1"/>
    </xf>
    <xf borderId="15" fillId="0" fontId="12" numFmtId="0" xfId="0" applyAlignment="1" applyBorder="1" applyFont="1">
      <alignment shrinkToFit="0" vertical="center" wrapText="1"/>
    </xf>
    <xf borderId="16" fillId="4" fontId="13" numFmtId="0" xfId="0" applyAlignment="1" applyBorder="1" applyFill="1" applyFont="1">
      <alignment horizontal="center" shrinkToFit="0" vertical="center" wrapText="1"/>
    </xf>
    <xf borderId="17" fillId="4" fontId="14" numFmtId="0" xfId="0" applyAlignment="1" applyBorder="1" applyFill="1" applyFont="1">
      <alignment horizontal="center" shrinkToFit="0" vertical="center" wrapText="1"/>
    </xf>
    <xf borderId="18" fillId="3" fontId="14" numFmtId="0" xfId="0" applyAlignment="1" applyBorder="1" applyFill="1" applyFont="1">
      <alignment horizontal="center" shrinkToFit="0" vertical="center" wrapText="1"/>
    </xf>
    <xf borderId="19" fillId="4" fontId="14" numFmtId="0" xfId="0" applyAlignment="1" applyBorder="1" applyFill="1" applyFont="1">
      <alignment horizontal="center" shrinkToFit="0" vertical="center" wrapText="1"/>
    </xf>
    <xf borderId="15" fillId="3" fontId="8" numFmtId="0" xfId="0" applyAlignment="1" applyBorder="1" applyFill="1" applyFont="1">
      <alignment horizontal="center" vertical="center"/>
    </xf>
    <xf borderId="1" fillId="0" fontId="11" numFmtId="0" xfId="0" applyAlignment="1" applyBorder="1" applyFont="1">
      <alignment shrinkToFit="0" wrapText="1"/>
    </xf>
    <xf borderId="15" fillId="3" fontId="8" numFmtId="0" xfId="0" applyAlignment="1" applyBorder="1" applyFill="1" applyFont="1">
      <alignment horizontal="center"/>
    </xf>
    <xf borderId="20" fillId="0" fontId="3" numFmtId="0" xfId="0" applyBorder="1" applyFont="1"/>
    <xf borderId="15" fillId="0" fontId="8" numFmtId="0" xfId="0" applyAlignment="1" applyBorder="1" applyFont="1">
      <alignment horizontal="center" shrinkToFit="0" wrapText="1"/>
    </xf>
    <xf borderId="15" fillId="3" fontId="14" numFmtId="0" xfId="0" applyAlignment="1" applyBorder="1" applyFill="1" applyFont="1">
      <alignment horizontal="center" shrinkToFit="0" vertical="center" wrapText="1"/>
    </xf>
    <xf borderId="21" fillId="0" fontId="3" numFmtId="0" xfId="0" applyBorder="1" applyFont="1"/>
    <xf borderId="17" fillId="4" fontId="14" numFmtId="0" xfId="0" applyAlignment="1" applyBorder="1" applyFill="1" applyFont="1">
      <alignment shrinkToFit="0" vertical="center" wrapText="1"/>
    </xf>
    <xf borderId="15" fillId="0" fontId="15" numFmtId="0" xfId="0" applyAlignment="1" applyBorder="1" applyFont="1">
      <alignment horizontal="center" shrinkToFit="0" vertical="center" wrapText="1"/>
    </xf>
    <xf borderId="1" fillId="4" fontId="13" numFmtId="0" xfId="0" applyAlignment="1" applyBorder="1" applyFill="1" applyFont="1">
      <alignment horizontal="center" shrinkToFit="0" vertical="center" wrapText="1"/>
    </xf>
    <xf borderId="22" fillId="4" fontId="12" numFmtId="0" xfId="0" applyAlignment="1" applyBorder="1" applyFill="1" applyFont="1">
      <alignment horizontal="center" vertical="center"/>
    </xf>
    <xf borderId="16" fillId="7" fontId="16" numFmtId="0" xfId="0" applyAlignment="1" applyBorder="1" applyFill="1" applyFont="1">
      <alignment horizontal="left" shrinkToFit="0" vertical="center" wrapText="1"/>
    </xf>
    <xf borderId="23" fillId="0" fontId="3" numFmtId="0" xfId="0" applyBorder="1" applyFont="1"/>
    <xf borderId="15" fillId="0" fontId="11" numFmtId="0" xfId="0" applyAlignment="1" applyBorder="1" applyFont="1">
      <alignment horizontal="center" vertical="center"/>
    </xf>
    <xf borderId="15" fillId="8" fontId="14" numFmtId="0" xfId="0" applyAlignment="1" applyBorder="1" applyFill="1" applyFont="1">
      <alignment horizontal="center" shrinkToFit="0" vertical="center" wrapText="1"/>
    </xf>
    <xf borderId="15" fillId="9" fontId="14" numFmtId="0" xfId="0" applyAlignment="1" applyBorder="1" applyFill="1" applyFont="1">
      <alignment horizontal="center" shrinkToFit="0" vertical="center" wrapText="1"/>
    </xf>
    <xf borderId="15" fillId="8" fontId="17" numFmtId="164" xfId="0" applyAlignment="1" applyBorder="1" applyFill="1" applyFont="1" applyNumberFormat="1">
      <alignment horizontal="center" shrinkToFit="0" vertical="center" wrapText="1"/>
    </xf>
    <xf borderId="1" fillId="0" fontId="11"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5" fillId="0" fontId="19" numFmtId="0" xfId="0" applyAlignment="1" applyBorder="1" applyFont="1">
      <alignment horizontal="center" shrinkToFit="0" vertical="center" wrapText="1"/>
    </xf>
    <xf borderId="15" fillId="3" fontId="20" numFmtId="0" xfId="0" applyAlignment="1" applyBorder="1" applyFill="1" applyFont="1">
      <alignment horizontal="center" shrinkToFit="0" vertical="center" wrapText="1"/>
    </xf>
    <xf borderId="15" fillId="3" fontId="21" numFmtId="0" xfId="0" applyAlignment="1" applyBorder="1" applyFill="1" applyFont="1">
      <alignment horizontal="left" shrinkToFit="0" vertical="top" wrapText="1"/>
    </xf>
    <xf borderId="15" fillId="2" fontId="8" numFmtId="0" xfId="0" applyAlignment="1" applyBorder="1" applyFill="1" applyFont="1">
      <alignment horizontal="center" vertical="center"/>
    </xf>
    <xf borderId="15" fillId="2" fontId="8" numFmtId="0" xfId="0" applyAlignment="1" applyBorder="1" applyFill="1" applyFont="1">
      <alignment horizontal="center"/>
    </xf>
    <xf borderId="15" fillId="2" fontId="8" numFmtId="0" xfId="0" applyAlignment="1" applyBorder="1" applyFill="1" applyFont="1">
      <alignment horizontal="center" shrinkToFit="0" wrapText="1"/>
    </xf>
    <xf borderId="15" fillId="2" fontId="15" numFmtId="0" xfId="0" applyAlignment="1" applyBorder="1" applyFill="1" applyFont="1">
      <alignment horizontal="center" shrinkToFit="0" vertical="center" wrapText="1"/>
    </xf>
    <xf borderId="15" fillId="2" fontId="20" numFmtId="0" xfId="0" applyAlignment="1" applyBorder="1" applyFill="1" applyFont="1">
      <alignment horizontal="center" shrinkToFit="0" vertical="center" wrapText="1"/>
    </xf>
    <xf borderId="15" fillId="2" fontId="21" numFmtId="0" xfId="0" applyAlignment="1" applyBorder="1" applyFill="1" applyFont="1">
      <alignment horizontal="left" shrinkToFit="0" vertical="top" wrapText="1"/>
    </xf>
    <xf borderId="15" fillId="0" fontId="22" numFmtId="0" xfId="0" applyAlignment="1" applyBorder="1" applyFont="1">
      <alignment shrinkToFit="0" vertical="center" wrapText="1"/>
    </xf>
    <xf borderId="6" fillId="0" fontId="11" numFmtId="0" xfId="0" applyAlignment="1" applyBorder="1" applyFont="1">
      <alignment horizontal="center" vertical="center"/>
    </xf>
    <xf borderId="15" fillId="3" fontId="8" numFmtId="0" xfId="0" applyAlignment="1" applyBorder="1" applyFill="1" applyFont="1">
      <alignment horizontal="left" shrinkToFit="0" vertical="top" wrapText="1"/>
    </xf>
    <xf borderId="6" fillId="0" fontId="12" numFmtId="0" xfId="0" applyAlignment="1" applyBorder="1" applyFont="1">
      <alignment horizontal="left"/>
    </xf>
    <xf borderId="24" fillId="0" fontId="3" numFmtId="0" xfId="0" applyBorder="1" applyFont="1"/>
    <xf borderId="15" fillId="2" fontId="8" numFmtId="0" xfId="0" applyAlignment="1" applyBorder="1" applyFill="1" applyFont="1">
      <alignment horizontal="left" shrinkToFit="0" vertical="top" wrapText="1"/>
    </xf>
    <xf borderId="16" fillId="4" fontId="12" numFmtId="0" xfId="0" applyAlignment="1" applyBorder="1" applyFill="1" applyFont="1">
      <alignment horizontal="center" vertical="center"/>
    </xf>
    <xf borderId="25" fillId="8" fontId="14" numFmtId="0" xfId="0" applyAlignment="1" applyBorder="1" applyFill="1" applyFont="1">
      <alignment horizontal="center" shrinkToFit="0" vertical="center" wrapText="1"/>
    </xf>
    <xf borderId="15" fillId="2" fontId="8" numFmtId="0" xfId="0" applyBorder="1" applyFill="1" applyFont="1"/>
    <xf borderId="15" fillId="2" fontId="10" numFmtId="0" xfId="0" applyBorder="1" applyFill="1" applyFont="1"/>
    <xf borderId="25" fillId="9" fontId="14" numFmtId="0" xfId="0" applyAlignment="1" applyBorder="1" applyFill="1" applyFont="1">
      <alignment horizontal="center" shrinkToFit="0" vertical="center" wrapText="1"/>
    </xf>
    <xf borderId="26" fillId="4" fontId="12" numFmtId="0" xfId="0" applyAlignment="1" applyBorder="1" applyFill="1" applyFont="1">
      <alignment horizontal="center" readingOrder="0" shrinkToFit="0" vertical="center" wrapText="1"/>
    </xf>
    <xf borderId="15" fillId="2" fontId="8" numFmtId="0" xfId="0" applyAlignment="1" applyBorder="1" applyFill="1" applyFont="1">
      <alignment shrinkToFit="0" wrapText="1"/>
    </xf>
    <xf borderId="15" fillId="3" fontId="8" numFmtId="0" xfId="0" applyBorder="1" applyFill="1" applyFont="1"/>
    <xf borderId="15" fillId="3" fontId="10" numFmtId="0" xfId="0" applyBorder="1" applyFill="1" applyFont="1"/>
    <xf borderId="1" fillId="0" fontId="23" numFmtId="0" xfId="0" applyAlignment="1" applyBorder="1" applyFont="1">
      <alignment horizontal="left" shrinkToFit="0" vertical="center" wrapText="1"/>
    </xf>
    <xf borderId="15" fillId="3" fontId="8" numFmtId="0" xfId="0" applyAlignment="1" applyBorder="1" applyFill="1" applyFont="1">
      <alignment shrinkToFit="0" wrapText="1"/>
    </xf>
    <xf borderId="1" fillId="0" fontId="11" numFmtId="0" xfId="0" applyAlignment="1" applyBorder="1" applyFont="1">
      <alignment horizontal="left" shrinkToFit="0" vertical="top" wrapText="1"/>
    </xf>
    <xf borderId="7" fillId="0" fontId="14" numFmtId="0" xfId="0" applyAlignment="1" applyBorder="1" applyFont="1">
      <alignment shrinkToFit="0" vertical="center" wrapText="1"/>
    </xf>
    <xf borderId="7" fillId="0" fontId="24" numFmtId="0" xfId="0" applyAlignment="1" applyBorder="1" applyFont="1">
      <alignment shrinkToFit="0" vertical="center" wrapText="1"/>
    </xf>
    <xf borderId="10" fillId="2" fontId="8" numFmtId="0" xfId="0" applyAlignment="1" applyBorder="1" applyFill="1" applyFont="1">
      <alignment horizontal="center"/>
    </xf>
    <xf borderId="10" fillId="2" fontId="8" numFmtId="0" xfId="0" applyBorder="1" applyFill="1" applyFont="1"/>
    <xf borderId="10" fillId="10" fontId="25" numFmtId="0" xfId="0" applyAlignment="1" applyBorder="1" applyFill="1" applyFont="1">
      <alignment horizontal="right"/>
    </xf>
    <xf borderId="15" fillId="0" fontId="14" numFmtId="0" xfId="0" applyAlignment="1" applyBorder="1" applyFont="1">
      <alignment shrinkToFit="0" vertical="center" wrapText="1"/>
    </xf>
    <xf borderId="27" fillId="0" fontId="11" numFmtId="0" xfId="0" applyAlignment="1" applyBorder="1" applyFont="1">
      <alignment horizontal="center" shrinkToFit="0" vertical="center" wrapText="1"/>
    </xf>
    <xf borderId="7" fillId="0" fontId="11" numFmtId="0" xfId="0" applyAlignment="1" applyBorder="1" applyFont="1">
      <alignment horizontal="center" vertical="center"/>
    </xf>
    <xf borderId="10" fillId="10" fontId="10" numFmtId="164" xfId="0" applyAlignment="1" applyBorder="1" applyFill="1" applyFont="1" applyNumberFormat="1">
      <alignment horizontal="center" vertical="center"/>
    </xf>
    <xf borderId="7" fillId="0" fontId="11" numFmtId="0" xfId="0" applyAlignment="1" applyBorder="1" applyFont="1">
      <alignment horizontal="center" shrinkToFit="0" vertical="center" wrapText="1"/>
    </xf>
    <xf borderId="10" fillId="10" fontId="8" numFmtId="164" xfId="0" applyAlignment="1" applyBorder="1" applyFill="1" applyFont="1" applyNumberFormat="1">
      <alignment horizontal="center" vertical="center"/>
    </xf>
    <xf borderId="10" fillId="11" fontId="25" numFmtId="0" xfId="0" applyAlignment="1" applyBorder="1" applyFill="1" applyFont="1">
      <alignment horizontal="center" vertical="center"/>
    </xf>
    <xf borderId="10" fillId="11" fontId="8" numFmtId="0" xfId="0" applyAlignment="1" applyBorder="1" applyFill="1" applyFont="1">
      <alignment horizontal="center" vertical="center"/>
    </xf>
    <xf borderId="10" fillId="2" fontId="8" numFmtId="0" xfId="0" applyAlignment="1" applyBorder="1" applyFill="1" applyFont="1">
      <alignment shrinkToFit="0" wrapText="1"/>
    </xf>
    <xf borderId="8" fillId="7" fontId="26" numFmtId="0" xfId="0" applyAlignment="1" applyBorder="1" applyFill="1" applyFont="1">
      <alignment horizontal="left" shrinkToFit="0" vertical="center" wrapText="1"/>
    </xf>
    <xf borderId="0" fillId="0" fontId="27" numFmtId="0" xfId="0" applyFont="1"/>
    <xf borderId="0" fillId="0" fontId="28" numFmtId="0" xfId="0" applyAlignment="1" applyFont="1">
      <alignment horizontal="center" shrinkToFit="0" vertical="center" wrapText="1"/>
    </xf>
    <xf borderId="0" fillId="0" fontId="29" numFmtId="0" xfId="0" applyFont="1"/>
    <xf borderId="0" fillId="0" fontId="28" numFmtId="0" xfId="0" applyAlignment="1" applyFont="1">
      <alignment horizontal="center"/>
    </xf>
    <xf borderId="0" fillId="0" fontId="11" numFmtId="0" xfId="0" applyAlignment="1" applyFont="1">
      <alignment horizontal="center"/>
    </xf>
    <xf borderId="10" fillId="4" fontId="11" numFmtId="0" xfId="0" applyAlignment="1" applyBorder="1" applyFill="1" applyFont="1">
      <alignment horizontal="right"/>
    </xf>
    <xf borderId="10" fillId="4" fontId="11" numFmtId="0" xfId="0" applyAlignment="1" applyBorder="1" applyFill="1" applyFont="1">
      <alignment horizontal="center" vertical="center"/>
    </xf>
    <xf borderId="7" fillId="12" fontId="8" numFmtId="0" xfId="0" applyAlignment="1" applyBorder="1" applyFill="1" applyFont="1">
      <alignment horizontal="center" vertical="center"/>
    </xf>
    <xf borderId="28" fillId="0" fontId="3" numFmtId="0" xfId="0" applyBorder="1" applyFont="1"/>
    <xf borderId="7" fillId="12" fontId="10" numFmtId="0" xfId="0" applyAlignment="1" applyBorder="1" applyFill="1" applyFont="1">
      <alignment horizontal="center" vertical="center"/>
    </xf>
    <xf borderId="29" fillId="0" fontId="3" numFmtId="0" xfId="0" applyBorder="1" applyFont="1"/>
    <xf borderId="15" fillId="8" fontId="12" numFmtId="0" xfId="0" applyAlignment="1" applyBorder="1" applyFill="1" applyFont="1">
      <alignment horizontal="center" vertical="center"/>
    </xf>
    <xf borderId="7" fillId="8" fontId="12" numFmtId="0" xfId="0" applyAlignment="1" applyBorder="1" applyFill="1" applyFont="1">
      <alignment horizontal="center" shrinkToFit="0" vertical="center" wrapText="1"/>
    </xf>
    <xf borderId="15" fillId="4" fontId="11" numFmtId="0" xfId="0" applyAlignment="1" applyBorder="1" applyFill="1" applyFont="1">
      <alignment horizontal="left" vertical="center"/>
    </xf>
    <xf borderId="1" fillId="4" fontId="11" numFmtId="0" xfId="0" applyAlignment="1" applyBorder="1" applyFill="1" applyFont="1">
      <alignment horizontal="left" vertical="center"/>
    </xf>
    <xf borderId="7" fillId="0" fontId="14" numFmtId="0" xfId="0" applyAlignment="1" applyBorder="1" applyFont="1">
      <alignment horizontal="center" shrinkToFit="0" vertical="center" wrapText="1"/>
    </xf>
    <xf borderId="15" fillId="8" fontId="30" numFmtId="0" xfId="0" applyAlignment="1" applyBorder="1" applyFill="1" applyFont="1">
      <alignment horizontal="center"/>
    </xf>
    <xf borderId="15" fillId="0" fontId="11" numFmtId="0" xfId="0" applyAlignment="1" applyBorder="1" applyFont="1">
      <alignment horizontal="center" shrinkToFit="0" vertical="center" wrapText="1"/>
    </xf>
    <xf borderId="30" fillId="0" fontId="3" numFmtId="0" xfId="0" applyBorder="1" applyFont="1"/>
    <xf borderId="15" fillId="0" fontId="11" numFmtId="0" xfId="0" applyAlignment="1" applyBorder="1" applyFont="1">
      <alignment horizontal="left"/>
    </xf>
    <xf borderId="7" fillId="0" fontId="6" numFmtId="0" xfId="0" applyAlignment="1" applyBorder="1" applyFont="1">
      <alignment shrinkToFit="0" vertical="center" wrapText="1"/>
    </xf>
    <xf borderId="7" fillId="0" fontId="11" numFmtId="0" xfId="0" applyAlignment="1" applyBorder="1" applyFont="1">
      <alignment horizontal="left" shrinkToFit="0" vertical="center" wrapText="1"/>
    </xf>
    <xf borderId="15" fillId="0" fontId="11" numFmtId="0" xfId="0" applyAlignment="1" applyBorder="1" applyFont="1">
      <alignment horizontal="center" shrinkToFit="0" wrapText="1"/>
    </xf>
    <xf borderId="15" fillId="0" fontId="11" numFmtId="0" xfId="0" applyAlignment="1" applyBorder="1" applyFont="1">
      <alignment horizontal="center"/>
    </xf>
    <xf borderId="15" fillId="0" fontId="11" numFmtId="2" xfId="0" applyAlignment="1" applyBorder="1" applyFont="1" applyNumberFormat="1">
      <alignment horizontal="center"/>
    </xf>
    <xf borderId="10" fillId="3" fontId="11" numFmtId="0" xfId="0" applyBorder="1" applyFill="1" applyFont="1"/>
    <xf borderId="31" fillId="13" fontId="31" numFmtId="0" xfId="0" applyAlignment="1" applyBorder="1" applyFill="1" applyFont="1">
      <alignment horizontal="center" vertical="center"/>
    </xf>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36" fillId="0" fontId="3" numFmtId="0" xfId="0" applyBorder="1" applyFont="1"/>
    <xf borderId="22" fillId="14" fontId="12" numFmtId="0" xfId="0" applyAlignment="1" applyBorder="1" applyFill="1" applyFont="1">
      <alignment horizontal="center"/>
    </xf>
    <xf borderId="16" fillId="14" fontId="12" numFmtId="0" xfId="0" applyAlignment="1" applyBorder="1" applyFill="1" applyFont="1">
      <alignment horizontal="center"/>
    </xf>
    <xf borderId="37" fillId="0" fontId="11" numFmtId="0" xfId="0" applyAlignment="1" applyBorder="1" applyFont="1">
      <alignment horizontal="center" vertical="center"/>
    </xf>
    <xf borderId="37" fillId="0" fontId="12" numFmtId="0" xfId="0" applyAlignment="1" applyBorder="1" applyFont="1">
      <alignment horizontal="center" vertical="center"/>
    </xf>
    <xf borderId="38" fillId="0" fontId="3" numFmtId="0" xfId="0" applyBorder="1" applyFont="1"/>
    <xf borderId="39" fillId="0" fontId="11" numFmtId="0" xfId="0" applyAlignment="1" applyBorder="1" applyFont="1">
      <alignment horizontal="center" shrinkToFit="0" wrapText="1"/>
    </xf>
    <xf borderId="39" fillId="0" fontId="3" numFmtId="0" xfId="0" applyBorder="1" applyFont="1"/>
    <xf borderId="40" fillId="0" fontId="11" numFmtId="0" xfId="0" applyAlignment="1" applyBorder="1" applyFont="1">
      <alignment horizontal="center" vertical="center"/>
    </xf>
    <xf borderId="40" fillId="0" fontId="12" numFmtId="0" xfId="0" applyAlignment="1" applyBorder="1" applyFont="1">
      <alignment horizontal="center" vertical="center"/>
    </xf>
    <xf borderId="41" fillId="0" fontId="3" numFmtId="0" xfId="0" applyBorder="1" applyFont="1"/>
    <xf borderId="6" fillId="0" fontId="11" numFmtId="0" xfId="0" applyAlignment="1" applyBorder="1" applyFont="1">
      <alignment horizontal="center" shrinkToFit="0" wrapText="1"/>
    </xf>
    <xf borderId="42" fillId="0" fontId="11" numFmtId="0" xfId="0" applyAlignment="1" applyBorder="1" applyFont="1">
      <alignment horizontal="center" vertical="center"/>
    </xf>
    <xf borderId="42" fillId="0" fontId="12" numFmtId="0" xfId="0" applyAlignment="1" applyBorder="1" applyFont="1">
      <alignment horizontal="center" vertical="center"/>
    </xf>
    <xf borderId="43" fillId="0" fontId="3" numFmtId="0" xfId="0" applyBorder="1" applyFont="1"/>
    <xf borderId="44" fillId="0" fontId="11" numFmtId="0" xfId="0" applyAlignment="1" applyBorder="1" applyFont="1">
      <alignment horizontal="center" shrinkToFit="0" wrapText="1"/>
    </xf>
    <xf borderId="44" fillId="0" fontId="3" numFmtId="0" xfId="0" applyBorder="1" applyFont="1"/>
    <xf borderId="45" fillId="0" fontId="3" numFmtId="0" xfId="0" applyBorder="1" applyFont="1"/>
    <xf borderId="6" fillId="0" fontId="11" numFmtId="0" xfId="0" applyAlignment="1" applyBorder="1" applyFont="1">
      <alignment horizontal="center" shrinkToFit="0" vertical="center" wrapText="1"/>
    </xf>
    <xf borderId="46" fillId="0" fontId="11" numFmtId="0" xfId="0" applyAlignment="1" applyBorder="1" applyFont="1">
      <alignment horizontal="center" vertical="center"/>
    </xf>
    <xf borderId="46" fillId="0" fontId="12" numFmtId="0" xfId="0" applyAlignment="1" applyBorder="1" applyFont="1">
      <alignment horizontal="center" vertical="center"/>
    </xf>
    <xf borderId="0" fillId="0" fontId="12" numFmtId="0" xfId="0" applyFont="1"/>
    <xf borderId="0" fillId="0" fontId="32" numFmtId="0" xfId="0" applyAlignment="1" applyFont="1">
      <alignment horizontal="center"/>
    </xf>
    <xf borderId="0" fillId="0" fontId="32" numFmtId="0" xfId="0" applyFont="1"/>
    <xf borderId="1" fillId="0" fontId="13" numFmtId="0" xfId="0" applyAlignment="1" applyBorder="1" applyFont="1">
      <alignment horizontal="center" shrinkToFit="0" wrapText="1"/>
    </xf>
    <xf borderId="0" fillId="0" fontId="33" numFmtId="0" xfId="0" applyAlignment="1" applyFont="1">
      <alignment shrinkToFit="0" wrapText="1"/>
    </xf>
    <xf borderId="0" fillId="0" fontId="11" numFmtId="0" xfId="0" applyAlignment="1" applyFont="1">
      <alignment shrinkToFit="0" wrapText="1"/>
    </xf>
    <xf borderId="0" fillId="0" fontId="12" numFmtId="0" xfId="0" applyAlignment="1" applyFont="1">
      <alignment horizontal="center"/>
    </xf>
    <xf borderId="15" fillId="0" fontId="13" numFmtId="0" xfId="0" applyAlignment="1" applyBorder="1" applyFont="1">
      <alignment horizontal="center"/>
    </xf>
    <xf borderId="15" fillId="0" fontId="13" numFmtId="0" xfId="0" applyAlignment="1" applyBorder="1" applyFont="1">
      <alignment horizontal="center" shrinkToFit="0" wrapText="1"/>
    </xf>
    <xf borderId="15" fillId="0" fontId="33" numFmtId="0" xfId="0" applyAlignment="1" applyBorder="1" applyFont="1">
      <alignment horizontal="center"/>
    </xf>
    <xf borderId="15" fillId="0" fontId="11" numFmtId="0" xfId="0" applyAlignment="1" applyBorder="1" applyFont="1">
      <alignment shrinkToFit="0" vertical="top" wrapText="1"/>
    </xf>
    <xf borderId="15" fillId="0" fontId="11" numFmtId="0" xfId="0" applyAlignment="1" applyBorder="1" applyFont="1">
      <alignment shrinkToFit="0" wrapText="1"/>
    </xf>
    <xf borderId="1" fillId="0" fontId="11" numFmtId="0" xfId="0" applyAlignment="1" applyBorder="1" applyFont="1">
      <alignment horizontal="center"/>
    </xf>
    <xf borderId="0" fillId="0" fontId="11" numFmtId="2" xfId="0" applyAlignment="1" applyFont="1" applyNumberFormat="1">
      <alignment horizontal="center"/>
    </xf>
    <xf borderId="0" fillId="0" fontId="11" numFmtId="10" xfId="0" applyAlignment="1" applyFont="1" applyNumberFormat="1">
      <alignment horizontal="center"/>
    </xf>
    <xf borderId="1" fillId="0" fontId="13" numFmtId="0" xfId="0" applyAlignment="1" applyBorder="1" applyFont="1">
      <alignment horizontal="center" shrinkToFit="0" vertical="center" wrapText="1"/>
    </xf>
    <xf borderId="0" fillId="0" fontId="33" numFmtId="0" xfId="0" applyAlignment="1" applyFont="1">
      <alignment horizontal="center" shrinkToFit="0" wrapText="1"/>
    </xf>
    <xf borderId="0" fillId="0" fontId="11" numFmtId="0" xfId="0" applyAlignment="1" applyFont="1">
      <alignment horizontal="center" shrinkToFit="0" wrapText="1"/>
    </xf>
    <xf borderId="15" fillId="0" fontId="33" numFmtId="0" xfId="0" applyAlignment="1" applyBorder="1" applyFont="1">
      <alignment shrinkToFit="0" vertical="top" wrapText="1"/>
    </xf>
    <xf borderId="47" fillId="0" fontId="11" numFmtId="0" xfId="0" applyAlignment="1" applyBorder="1" applyFont="1">
      <alignment horizontal="center"/>
    </xf>
    <xf borderId="8" fillId="12" fontId="32" numFmtId="0" xfId="0" applyAlignment="1" applyBorder="1" applyFill="1" applyFont="1">
      <alignment horizontal="center"/>
    </xf>
    <xf borderId="1" fillId="12" fontId="13" numFmtId="0" xfId="0" applyAlignment="1" applyBorder="1" applyFill="1" applyFont="1">
      <alignment horizontal="center" shrinkToFit="0" vertical="center" wrapText="1"/>
    </xf>
    <xf borderId="15" fillId="12" fontId="13" numFmtId="0" xfId="0" applyAlignment="1" applyBorder="1" applyFill="1" applyFont="1">
      <alignment horizontal="center"/>
    </xf>
    <xf borderId="15" fillId="12" fontId="13" numFmtId="0" xfId="0" applyAlignment="1" applyBorder="1" applyFill="1" applyFont="1">
      <alignment horizontal="center" shrinkToFit="0" wrapText="1"/>
    </xf>
    <xf borderId="15" fillId="12" fontId="33" numFmtId="0" xfId="0" applyAlignment="1" applyBorder="1" applyFill="1" applyFont="1">
      <alignment horizontal="center"/>
    </xf>
    <xf borderId="15" fillId="12" fontId="33" numFmtId="0" xfId="0" applyAlignment="1" applyBorder="1" applyFill="1" applyFont="1">
      <alignment shrinkToFit="0" vertical="top" wrapText="1"/>
    </xf>
    <xf borderId="1" fillId="12" fontId="12" numFmtId="0" xfId="0" applyAlignment="1" applyBorder="1" applyFill="1" applyFont="1">
      <alignment horizontal="center" shrinkToFit="0" vertical="center" wrapText="1"/>
    </xf>
    <xf borderId="7" fillId="12" fontId="34" numFmtId="0" xfId="0" applyAlignment="1" applyBorder="1" applyFill="1" applyFont="1">
      <alignment shrinkToFit="0" vertical="center" wrapText="1"/>
    </xf>
    <xf borderId="1" fillId="12" fontId="34" numFmtId="0" xfId="0" applyAlignment="1" applyBorder="1" applyFill="1" applyFont="1">
      <alignment horizontal="center" shrinkToFit="0" vertical="center" wrapText="1"/>
    </xf>
    <xf borderId="15" fillId="12" fontId="12" numFmtId="0" xfId="0" applyAlignment="1" applyBorder="1" applyFill="1" applyFont="1">
      <alignment horizontal="center" shrinkToFit="0" vertical="center" wrapText="1"/>
    </xf>
    <xf borderId="15" fillId="12" fontId="12" numFmtId="0" xfId="0" applyAlignment="1" applyBorder="1" applyFill="1" applyFont="1">
      <alignment shrinkToFit="0" vertical="center" wrapText="1"/>
    </xf>
    <xf borderId="15" fillId="12" fontId="11" numFmtId="0" xfId="0" applyAlignment="1" applyBorder="1" applyFill="1" applyFont="1">
      <alignment shrinkToFit="0" vertical="center" wrapText="1"/>
    </xf>
    <xf borderId="7" fillId="12" fontId="12" numFmtId="0" xfId="0" applyAlignment="1" applyBorder="1" applyFill="1" applyFont="1">
      <alignment shrinkToFit="0" vertical="center" wrapText="1"/>
    </xf>
    <xf borderId="7" fillId="12" fontId="11" numFmtId="0" xfId="0" applyAlignment="1" applyBorder="1" applyFill="1" applyFont="1">
      <alignment shrinkToFit="0" vertical="center" wrapText="1"/>
    </xf>
    <xf borderId="0" fillId="0" fontId="11" numFmtId="0" xfId="0" applyAlignment="1" applyFont="1">
      <alignment horizontal="left"/>
    </xf>
    <xf borderId="1" fillId="5" fontId="35" numFmtId="0" xfId="0" applyAlignment="1" applyBorder="1" applyFill="1" applyFont="1">
      <alignment horizontal="center"/>
    </xf>
    <xf borderId="15" fillId="0" fontId="35" numFmtId="2" xfId="0" applyAlignment="1" applyBorder="1" applyFont="1" applyNumberFormat="1">
      <alignment horizontal="left"/>
    </xf>
    <xf borderId="15" fillId="0" fontId="35" numFmtId="0" xfId="0" applyAlignment="1" applyBorder="1" applyFont="1">
      <alignment horizontal="left"/>
    </xf>
    <xf borderId="15" fillId="0" fontId="25" numFmtId="0" xfId="0" applyBorder="1" applyFont="1"/>
    <xf borderId="1" fillId="5" fontId="35" numFmtId="0" xfId="0" applyAlignment="1" applyBorder="1" applyFill="1" applyFont="1">
      <alignment horizontal="center" vertical="center"/>
    </xf>
    <xf borderId="15" fillId="0" fontId="35" numFmtId="2" xfId="0" applyAlignment="1" applyBorder="1" applyFont="1" applyNumberFormat="1">
      <alignment horizontal="center" vertical="center"/>
    </xf>
    <xf borderId="15" fillId="0" fontId="35" numFmtId="0" xfId="0" applyAlignment="1" applyBorder="1" applyFont="1">
      <alignment horizontal="center" vertical="center"/>
    </xf>
    <xf borderId="15" fillId="0" fontId="25" numFmtId="0" xfId="0" applyAlignment="1" applyBorder="1" applyFont="1">
      <alignment horizontal="center" shrinkToFit="0" vertical="center" wrapText="1"/>
    </xf>
    <xf borderId="0" fillId="0" fontId="11" numFmtId="0" xfId="0" applyAlignment="1" applyFont="1">
      <alignment horizontal="center" shrinkToFit="0" vertical="center" wrapText="1"/>
    </xf>
    <xf borderId="1" fillId="15" fontId="12" numFmtId="0" xfId="0" applyAlignment="1" applyBorder="1" applyFill="1" applyFont="1">
      <alignment horizontal="center"/>
    </xf>
    <xf borderId="48" fillId="0" fontId="3" numFmtId="0" xfId="0" applyBorder="1" applyFont="1"/>
    <xf borderId="7" fillId="4" fontId="13" numFmtId="0" xfId="0" applyAlignment="1" applyBorder="1" applyFill="1" applyFont="1">
      <alignment horizontal="center" vertical="center"/>
    </xf>
    <xf borderId="15" fillId="4" fontId="33" numFmtId="0" xfId="0" applyAlignment="1" applyBorder="1" applyFill="1" applyFont="1">
      <alignment horizontal="center" vertical="center"/>
    </xf>
    <xf borderId="18" fillId="4" fontId="33" numFmtId="0" xfId="0" applyAlignment="1" applyBorder="1" applyFill="1" applyFont="1">
      <alignment horizontal="center"/>
    </xf>
    <xf borderId="49" fillId="15" fontId="11" numFmtId="0" xfId="0" applyAlignment="1" applyBorder="1" applyFill="1" applyFont="1">
      <alignment horizontal="center" vertical="center"/>
    </xf>
    <xf borderId="15" fillId="0" fontId="12" numFmtId="0" xfId="0" applyAlignment="1" applyBorder="1" applyFont="1">
      <alignment horizontal="center"/>
    </xf>
    <xf borderId="15" fillId="4" fontId="33" numFmtId="0" xfId="0" applyAlignment="1" applyBorder="1" applyFill="1" applyFont="1">
      <alignment horizontal="center"/>
    </xf>
    <xf borderId="50" fillId="0" fontId="3" numFmtId="0" xfId="0" applyBorder="1" applyFont="1"/>
    <xf borderId="51" fillId="0" fontId="3" numFmtId="0" xfId="0" applyBorder="1" applyFont="1"/>
    <xf borderId="10" fillId="3" fontId="13" numFmtId="0" xfId="0" applyAlignment="1" applyBorder="1" applyFill="1" applyFont="1">
      <alignment horizontal="right"/>
    </xf>
    <xf borderId="15" fillId="3" fontId="13" numFmtId="164" xfId="0" applyAlignment="1" applyBorder="1" applyFill="1" applyFont="1" applyNumberFormat="1">
      <alignment horizontal="center" vertical="center"/>
    </xf>
    <xf borderId="0" fillId="0" fontId="11" numFmtId="0" xfId="0" applyAlignment="1" applyFont="1">
      <alignment horizontal="right"/>
    </xf>
    <xf borderId="52" fillId="0" fontId="3" numFmtId="0" xfId="0" applyBorder="1" applyFont="1"/>
    <xf borderId="53" fillId="0" fontId="3" numFmtId="0" xfId="0" applyBorder="1" applyFont="1"/>
    <xf borderId="1" fillId="2" fontId="12" numFmtId="0" xfId="0" applyBorder="1" applyFill="1" applyFont="1"/>
    <xf borderId="47" fillId="16" fontId="11" numFmtId="0" xfId="0" applyAlignment="1" applyBorder="1" applyFill="1" applyFont="1">
      <alignment horizontal="left" shrinkToFit="0" vertical="center" wrapText="1"/>
    </xf>
    <xf borderId="54" fillId="0" fontId="3" numFmtId="0" xfId="0" applyBorder="1" applyFont="1"/>
    <xf borderId="55" fillId="0" fontId="3" numFmtId="0" xfId="0" applyBorder="1" applyFont="1"/>
    <xf borderId="56" fillId="0"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21752_Rachid.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ec-51 Atten"/>
      <sheetName val="marks"/>
      <sheetName val="outcomes"/>
      <sheetName val="GradesOutcomes"/>
      <sheetName val="Lookups Tables"/>
      <sheetName val="Lookup Tables"/>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14"/>
    <col customWidth="1" min="3" max="3" width="12.43"/>
    <col customWidth="1" min="4" max="4" width="8.71"/>
    <col customWidth="1" min="5" max="5" width="15.43"/>
    <col customWidth="1" min="6" max="6" width="33.43"/>
    <col customWidth="1" min="7" max="9" width="8.71"/>
    <col customWidth="1" min="10" max="10" width="30.29"/>
    <col customWidth="1" min="11" max="26" width="8.71"/>
  </cols>
  <sheetData>
    <row r="1" ht="14.25" customHeight="1">
      <c r="A1" s="1" t="s">
        <v>0</v>
      </c>
      <c r="B1" s="3"/>
      <c r="C1" s="6"/>
      <c r="D1" s="8"/>
      <c r="E1" s="3"/>
      <c r="F1" s="1" t="s">
        <v>4</v>
      </c>
      <c r="G1" s="3"/>
      <c r="H1" s="11"/>
      <c r="I1" s="8"/>
      <c r="J1" s="3"/>
    </row>
    <row r="2" ht="14.25" customHeight="1">
      <c r="A2" s="1" t="s">
        <v>10</v>
      </c>
      <c r="B2" s="3"/>
      <c r="C2" s="11"/>
      <c r="D2" s="8"/>
      <c r="E2" s="3"/>
      <c r="F2" s="1" t="s">
        <v>13</v>
      </c>
      <c r="G2" s="3"/>
      <c r="H2" s="11"/>
      <c r="I2" s="8"/>
      <c r="J2" s="3"/>
    </row>
    <row r="3" ht="14.25" customHeight="1">
      <c r="B3" s="17"/>
    </row>
    <row r="4" ht="28.5" customHeight="1">
      <c r="A4" s="22" t="s">
        <v>17</v>
      </c>
      <c r="B4" s="29"/>
      <c r="C4" s="29"/>
      <c r="D4" s="29"/>
      <c r="E4" s="32"/>
      <c r="F4" s="35" t="s">
        <v>41</v>
      </c>
      <c r="G4" s="8"/>
      <c r="H4" s="8"/>
      <c r="I4" s="3"/>
      <c r="J4" s="36" t="s">
        <v>49</v>
      </c>
    </row>
    <row r="5" ht="106.5" customHeight="1">
      <c r="A5" s="39" t="s">
        <v>51</v>
      </c>
      <c r="B5" s="43" t="str">
        <f>VLOOKUP(A5,'Lookup Tables'!$L$1:$M$7,2,FALSE)</f>
        <v>An ability to communicate effectively with a range of audiences.</v>
      </c>
      <c r="C5" s="8"/>
      <c r="D5" s="8"/>
      <c r="E5" s="3"/>
      <c r="F5" s="44" t="s">
        <v>52</v>
      </c>
      <c r="G5" s="8"/>
      <c r="H5" s="8"/>
      <c r="I5" s="3"/>
      <c r="J5" s="45" t="s">
        <v>53</v>
      </c>
    </row>
    <row r="6" ht="106.5" hidden="1" customHeight="1">
      <c r="A6" s="39" t="s">
        <v>54</v>
      </c>
      <c r="B6" s="43" t="str">
        <f>VLOOKUP(A6,'Lookup Tables'!$L$1:$M$7,2,FALSE)</f>
        <v>An ability to recognize ethical and professional responsibilities in engineering situations and make informed judgments, which must consider the impact of engineering solutions in global, economic, environmental, and societal contexts.</v>
      </c>
      <c r="C6" s="8"/>
      <c r="D6" s="8"/>
      <c r="E6" s="3"/>
      <c r="F6" s="44" t="s">
        <v>55</v>
      </c>
      <c r="G6" s="8"/>
      <c r="H6" s="8"/>
      <c r="I6" s="3"/>
      <c r="J6" s="54" t="s">
        <v>56</v>
      </c>
    </row>
    <row r="7" ht="13.5" customHeight="1">
      <c r="A7" s="55"/>
      <c r="B7" s="8"/>
      <c r="C7" s="8"/>
      <c r="D7" s="8"/>
      <c r="E7" s="8"/>
      <c r="F7" s="8"/>
      <c r="G7" s="8"/>
      <c r="H7" s="8"/>
      <c r="I7" s="8"/>
      <c r="J7" s="8"/>
    </row>
    <row r="8" ht="23.25" customHeight="1">
      <c r="A8" s="57" t="s">
        <v>57</v>
      </c>
      <c r="B8" s="8"/>
      <c r="C8" s="8"/>
      <c r="D8" s="8"/>
      <c r="E8" s="8"/>
      <c r="F8" s="8"/>
      <c r="G8" s="8"/>
      <c r="H8" s="8"/>
      <c r="I8" s="8"/>
      <c r="J8" s="8"/>
    </row>
    <row r="9" ht="35.25" customHeight="1">
      <c r="A9" s="60" t="s">
        <v>60</v>
      </c>
      <c r="B9" s="32"/>
      <c r="C9" s="60" t="s">
        <v>64</v>
      </c>
      <c r="D9" s="29"/>
      <c r="E9" s="38"/>
      <c r="F9" s="65" t="s">
        <v>66</v>
      </c>
      <c r="G9" s="29"/>
      <c r="H9" s="29"/>
      <c r="I9" s="29"/>
      <c r="J9" s="32"/>
    </row>
    <row r="10" ht="409.5" customHeight="1">
      <c r="A10" s="69" t="s">
        <v>67</v>
      </c>
      <c r="B10" s="3"/>
      <c r="C10" s="71" t="s">
        <v>68</v>
      </c>
      <c r="D10" s="8"/>
      <c r="E10" s="3"/>
      <c r="F10" s="71" t="s">
        <v>71</v>
      </c>
      <c r="G10" s="8"/>
      <c r="H10" s="8"/>
      <c r="I10" s="8"/>
      <c r="J10" s="3"/>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3">
    <mergeCell ref="A1:B1"/>
    <mergeCell ref="C1:E1"/>
    <mergeCell ref="F1:G1"/>
    <mergeCell ref="H1:J1"/>
    <mergeCell ref="A2:B2"/>
    <mergeCell ref="F2:G2"/>
    <mergeCell ref="H2:J2"/>
    <mergeCell ref="C2:E2"/>
    <mergeCell ref="B3:E3"/>
    <mergeCell ref="A4:E4"/>
    <mergeCell ref="F4:I4"/>
    <mergeCell ref="B5:E5"/>
    <mergeCell ref="F5:I5"/>
    <mergeCell ref="B6:E6"/>
    <mergeCell ref="C10:E10"/>
    <mergeCell ref="F10:J10"/>
    <mergeCell ref="F6:I6"/>
    <mergeCell ref="A7:J7"/>
    <mergeCell ref="A8:J8"/>
    <mergeCell ref="A9:B9"/>
    <mergeCell ref="C9:E9"/>
    <mergeCell ref="F9:J9"/>
    <mergeCell ref="A10:B10"/>
  </mergeCells>
  <dataValidations>
    <dataValidation type="list" allowBlank="1" showErrorMessage="1" sqref="A5:A6">
      <formula1>'Lookup Tables'!$L$1:$L$7</formula1>
    </dataValidation>
    <dataValidation type="list" allowBlank="1" showErrorMessage="1" sqref="A7">
      <formula1>'Lookup Tables'!$L$1:$L$8</formula1>
    </dataValidation>
  </dataValidations>
  <printOptions/>
  <pageMargins bottom="0.75" footer="0.0" header="0.0" left="0.7" right="0.7" top="0.75"/>
  <pageSetup scale="64"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26.86"/>
    <col customWidth="1" min="3" max="3" width="24.0"/>
    <col customWidth="1" min="4" max="4" width="28.43"/>
    <col customWidth="1" min="5" max="5" width="25.71"/>
    <col customWidth="1" min="6" max="6" width="48.71"/>
    <col customWidth="1" min="7" max="22" width="9.14"/>
  </cols>
  <sheetData>
    <row r="1" ht="27.0" customHeight="1">
      <c r="A1" s="2" t="s">
        <v>1</v>
      </c>
      <c r="B1" s="4"/>
      <c r="C1" s="4"/>
      <c r="D1" s="4"/>
      <c r="E1" s="4"/>
      <c r="F1" s="7"/>
    </row>
    <row r="2" ht="27.0" customHeight="1">
      <c r="A2" s="9" t="s">
        <v>3</v>
      </c>
      <c r="B2" s="9" t="s">
        <v>6</v>
      </c>
      <c r="C2" s="9" t="s">
        <v>7</v>
      </c>
      <c r="D2" s="9" t="s">
        <v>8</v>
      </c>
      <c r="E2" s="9" t="s">
        <v>11</v>
      </c>
      <c r="F2" s="14" t="s">
        <v>12</v>
      </c>
    </row>
    <row r="3" ht="14.25" customHeight="1">
      <c r="A3" s="16"/>
      <c r="B3" s="16"/>
      <c r="C3" s="16"/>
      <c r="D3" s="16"/>
      <c r="E3" s="16"/>
      <c r="F3" s="19"/>
    </row>
    <row r="4">
      <c r="A4" s="21" t="s">
        <v>20</v>
      </c>
      <c r="B4" s="24" t="s">
        <v>26</v>
      </c>
      <c r="C4" s="24" t="s">
        <v>28</v>
      </c>
      <c r="D4" s="24" t="s">
        <v>29</v>
      </c>
      <c r="E4" s="24" t="s">
        <v>30</v>
      </c>
      <c r="F4" s="27" t="s">
        <v>34</v>
      </c>
    </row>
    <row r="5">
      <c r="A5" s="21" t="s">
        <v>36</v>
      </c>
      <c r="B5" s="31" t="s">
        <v>37</v>
      </c>
      <c r="C5" s="31" t="s">
        <v>38</v>
      </c>
      <c r="D5" s="31" t="s">
        <v>39</v>
      </c>
      <c r="E5" s="31" t="s">
        <v>40</v>
      </c>
      <c r="F5" s="27" t="s">
        <v>42</v>
      </c>
    </row>
    <row r="6">
      <c r="A6" s="21" t="s">
        <v>43</v>
      </c>
      <c r="B6" s="31" t="s">
        <v>44</v>
      </c>
      <c r="C6" s="31" t="s">
        <v>45</v>
      </c>
      <c r="D6" s="31" t="s">
        <v>46</v>
      </c>
      <c r="E6" s="31" t="s">
        <v>47</v>
      </c>
      <c r="F6" s="27" t="s">
        <v>48</v>
      </c>
    </row>
    <row r="7" ht="49.5" customHeight="1">
      <c r="A7" s="37" t="s">
        <v>50</v>
      </c>
      <c r="B7" s="29"/>
      <c r="C7" s="29"/>
      <c r="D7" s="29"/>
      <c r="E7" s="29"/>
      <c r="F7" s="38"/>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8">
    <mergeCell ref="A1:F1"/>
    <mergeCell ref="A2:A3"/>
    <mergeCell ref="B2:B3"/>
    <mergeCell ref="C2:C3"/>
    <mergeCell ref="D2:D3"/>
    <mergeCell ref="E2:E3"/>
    <mergeCell ref="F2:F3"/>
    <mergeCell ref="A7:F7"/>
  </mergeCells>
  <printOptions/>
  <pageMargins bottom="0.75" footer="0.0" header="0.0" left="0.25" right="0.25" top="0.75"/>
  <pageSetup scale="7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86"/>
    <col customWidth="1" min="2" max="3" width="24.0"/>
    <col customWidth="1" min="4" max="4" width="28.43"/>
    <col customWidth="1" min="5" max="5" width="25.71"/>
    <col customWidth="1" min="6" max="6" width="29.43"/>
    <col customWidth="1" min="7" max="7" width="30.43"/>
    <col customWidth="1" min="8" max="8" width="6.43"/>
    <col customWidth="1" min="9" max="9" width="31.0"/>
    <col customWidth="1" min="10" max="10" width="6.71"/>
    <col customWidth="1" min="11" max="11" width="28.29"/>
    <col customWidth="1" min="12" max="12" width="7.57"/>
    <col customWidth="1" min="13" max="13" width="27.86"/>
    <col customWidth="1" min="14" max="14" width="6.43"/>
    <col customWidth="1" min="15" max="15" width="27.86"/>
    <col customWidth="1" min="16" max="16" width="7.43"/>
    <col customWidth="1" min="17" max="17" width="25.14"/>
    <col customWidth="1" min="18" max="18" width="7.0"/>
    <col customWidth="1" min="19" max="19" width="23.0"/>
    <col customWidth="1" min="20" max="20" width="7.0"/>
    <col customWidth="1" min="21" max="21" width="23.14"/>
    <col customWidth="1" min="22" max="22" width="7.14"/>
    <col customWidth="1" min="23" max="23" width="24.0"/>
    <col customWidth="1" min="24" max="24" width="7.43"/>
    <col customWidth="1" min="25" max="25" width="25.86"/>
    <col customWidth="1" min="26" max="26" width="7.57"/>
    <col customWidth="1" min="27" max="27" width="27.86"/>
    <col customWidth="1" min="28" max="28" width="7.43"/>
    <col customWidth="1" min="29" max="29" width="25.14"/>
    <col customWidth="1" min="30" max="30" width="7.0"/>
    <col customWidth="1" min="31" max="31" width="23.0"/>
    <col customWidth="1" min="32" max="32" width="7.0"/>
    <col customWidth="1" min="33" max="33" width="23.14"/>
    <col customWidth="1" min="34" max="34" width="7.14"/>
  </cols>
  <sheetData>
    <row r="1" ht="28.5" customHeight="1">
      <c r="A1" s="13" t="s">
        <v>9</v>
      </c>
      <c r="B1" s="8"/>
      <c r="C1" s="8"/>
      <c r="D1" s="8"/>
      <c r="E1" s="8"/>
      <c r="F1" s="3"/>
      <c r="G1" s="17"/>
      <c r="H1" s="17"/>
    </row>
    <row r="2" ht="27.0" customHeight="1">
      <c r="A2" s="23" t="s">
        <v>3</v>
      </c>
      <c r="B2" s="25" t="s">
        <v>27</v>
      </c>
      <c r="C2" s="25" t="s">
        <v>31</v>
      </c>
      <c r="D2" s="25" t="s">
        <v>32</v>
      </c>
      <c r="E2" s="25" t="s">
        <v>33</v>
      </c>
      <c r="F2" s="33" t="s">
        <v>35</v>
      </c>
      <c r="G2" s="40" t="str">
        <f>"ID# " &amp;#REF!</f>
        <v>#REF!</v>
      </c>
      <c r="H2" s="40"/>
      <c r="I2" s="41" t="str">
        <f>"ID# " &amp;#REF!</f>
        <v>#REF!</v>
      </c>
      <c r="J2" s="41"/>
      <c r="K2" s="40" t="str">
        <f>"ID# " &amp;#REF!</f>
        <v>#REF!</v>
      </c>
      <c r="L2" s="40"/>
      <c r="M2" s="41" t="str">
        <f>"ID# " &amp;#REF!</f>
        <v>#REF!</v>
      </c>
      <c r="N2" s="41"/>
      <c r="O2" s="40" t="str">
        <f>"ID# " &amp;#REF!</f>
        <v>#REF!</v>
      </c>
      <c r="P2" s="40"/>
      <c r="Q2" s="41" t="str">
        <f>"ID# " &amp;#REF!</f>
        <v>#REF!</v>
      </c>
      <c r="R2" s="41"/>
      <c r="S2" s="40" t="str">
        <f>"ID# " &amp;#REF!</f>
        <v>#REF!</v>
      </c>
      <c r="T2" s="40"/>
      <c r="U2" s="41" t="str">
        <f>"ID# " &amp;#REF!</f>
        <v>#REF!</v>
      </c>
      <c r="V2" s="41"/>
      <c r="W2" s="40" t="str">
        <f>"ID# " &amp;#REF!</f>
        <v>#REF!</v>
      </c>
      <c r="X2" s="40"/>
      <c r="Y2" s="41" t="str">
        <f>"ID# " &amp;#REF!</f>
        <v>#REF!</v>
      </c>
      <c r="Z2" s="41"/>
      <c r="AA2" s="40" t="str">
        <f>"ID# " &amp;#REF!</f>
        <v>#REF!</v>
      </c>
      <c r="AB2" s="40"/>
      <c r="AC2" s="41" t="str">
        <f>"ID# " &amp;#REF!</f>
        <v>#REF!</v>
      </c>
      <c r="AD2" s="41"/>
      <c r="AE2" s="40" t="str">
        <f>"ID# " &amp;#REF!</f>
        <v>#REF!</v>
      </c>
      <c r="AF2" s="40"/>
      <c r="AG2" s="41" t="str">
        <f>"ID# " &amp;#REF!</f>
        <v>#REF!</v>
      </c>
      <c r="AH2" s="41"/>
    </row>
    <row r="3" ht="32.25" customHeight="1">
      <c r="A3" s="58"/>
      <c r="B3" s="25" t="s">
        <v>58</v>
      </c>
      <c r="C3" s="25" t="s">
        <v>59</v>
      </c>
      <c r="D3" s="25" t="s">
        <v>61</v>
      </c>
      <c r="E3" s="25" t="s">
        <v>62</v>
      </c>
      <c r="F3" s="58"/>
      <c r="G3" s="61" t="s">
        <v>63</v>
      </c>
      <c r="H3" s="61" t="s">
        <v>65</v>
      </c>
      <c r="I3" s="64" t="s">
        <v>63</v>
      </c>
      <c r="J3" s="64" t="s">
        <v>65</v>
      </c>
      <c r="K3" s="61" t="s">
        <v>63</v>
      </c>
      <c r="L3" s="61" t="s">
        <v>65</v>
      </c>
      <c r="M3" s="64" t="s">
        <v>63</v>
      </c>
      <c r="N3" s="64" t="s">
        <v>65</v>
      </c>
      <c r="O3" s="61" t="s">
        <v>63</v>
      </c>
      <c r="P3" s="61" t="s">
        <v>65</v>
      </c>
      <c r="Q3" s="64" t="s">
        <v>63</v>
      </c>
      <c r="R3" s="64" t="s">
        <v>65</v>
      </c>
      <c r="S3" s="61" t="s">
        <v>63</v>
      </c>
      <c r="T3" s="61" t="s">
        <v>65</v>
      </c>
      <c r="U3" s="64" t="s">
        <v>63</v>
      </c>
      <c r="V3" s="64" t="s">
        <v>65</v>
      </c>
      <c r="W3" s="61" t="s">
        <v>63</v>
      </c>
      <c r="X3" s="61" t="s">
        <v>65</v>
      </c>
      <c r="Y3" s="64" t="s">
        <v>63</v>
      </c>
      <c r="Z3" s="64" t="s">
        <v>65</v>
      </c>
      <c r="AA3" s="61" t="s">
        <v>63</v>
      </c>
      <c r="AB3" s="61" t="s">
        <v>65</v>
      </c>
      <c r="AC3" s="64" t="s">
        <v>63</v>
      </c>
      <c r="AD3" s="64" t="s">
        <v>65</v>
      </c>
      <c r="AE3" s="61" t="s">
        <v>63</v>
      </c>
      <c r="AF3" s="61" t="s">
        <v>65</v>
      </c>
      <c r="AG3" s="64" t="s">
        <v>63</v>
      </c>
      <c r="AH3" s="64" t="s">
        <v>65</v>
      </c>
    </row>
    <row r="4" ht="84.0" customHeight="1">
      <c r="A4" s="72" t="s">
        <v>69</v>
      </c>
      <c r="B4" s="73" t="s">
        <v>70</v>
      </c>
      <c r="C4" s="73" t="s">
        <v>72</v>
      </c>
      <c r="D4" s="73" t="s">
        <v>73</v>
      </c>
      <c r="E4" s="73" t="s">
        <v>75</v>
      </c>
      <c r="F4" s="77" t="s">
        <v>76</v>
      </c>
      <c r="G4" s="78" t="s">
        <v>77</v>
      </c>
      <c r="H4" s="79">
        <v>3.0</v>
      </c>
      <c r="I4" s="81" t="s">
        <v>78</v>
      </c>
      <c r="J4" s="79">
        <v>3.0</v>
      </c>
      <c r="K4" s="81" t="s">
        <v>80</v>
      </c>
      <c r="L4" s="79">
        <v>3.0</v>
      </c>
      <c r="M4" s="81" t="s">
        <v>81</v>
      </c>
      <c r="N4" s="79">
        <v>3.0</v>
      </c>
      <c r="O4" s="81"/>
      <c r="P4" s="79">
        <v>3.0</v>
      </c>
      <c r="Q4" s="81"/>
      <c r="R4" s="79">
        <v>2.0</v>
      </c>
      <c r="S4" s="81"/>
      <c r="T4" s="79">
        <v>2.0</v>
      </c>
      <c r="U4" s="81"/>
      <c r="V4" s="79">
        <v>3.0</v>
      </c>
      <c r="W4" s="81"/>
      <c r="X4" s="79">
        <v>1.0</v>
      </c>
      <c r="Y4" s="81"/>
      <c r="Z4" s="79">
        <v>2.0</v>
      </c>
      <c r="AA4" s="81"/>
      <c r="AB4" s="79">
        <v>3.0</v>
      </c>
      <c r="AC4" s="81"/>
      <c r="AD4" s="79">
        <v>2.0</v>
      </c>
      <c r="AE4" s="81"/>
      <c r="AF4" s="79">
        <v>2.0</v>
      </c>
      <c r="AG4" s="81"/>
      <c r="AH4" s="79">
        <v>3.0</v>
      </c>
    </row>
    <row r="5" ht="59.25" customHeight="1">
      <c r="A5" s="95"/>
      <c r="B5" s="95"/>
      <c r="C5" s="95"/>
      <c r="D5" s="95"/>
      <c r="E5" s="95"/>
      <c r="F5" s="77" t="s">
        <v>86</v>
      </c>
      <c r="G5" s="97"/>
      <c r="H5" s="95"/>
      <c r="I5" s="95"/>
      <c r="J5" s="95"/>
      <c r="K5" s="95"/>
      <c r="L5" s="95"/>
      <c r="M5" s="95"/>
      <c r="N5" s="95"/>
      <c r="O5" s="95"/>
      <c r="P5" s="95"/>
      <c r="Q5" s="95"/>
      <c r="R5" s="95"/>
      <c r="S5" s="95"/>
      <c r="T5" s="95"/>
      <c r="U5" s="95"/>
      <c r="V5" s="95"/>
      <c r="W5" s="95"/>
      <c r="X5" s="95"/>
      <c r="Y5" s="95"/>
      <c r="Z5" s="95"/>
      <c r="AA5" s="95"/>
      <c r="AB5" s="95"/>
      <c r="AC5" s="95"/>
      <c r="AD5" s="95"/>
      <c r="AE5" s="95"/>
      <c r="AF5" s="95"/>
      <c r="AG5" s="95"/>
      <c r="AH5" s="95"/>
    </row>
    <row r="6" ht="61.5" customHeight="1">
      <c r="A6" s="95"/>
      <c r="B6" s="95"/>
      <c r="C6" s="95"/>
      <c r="D6" s="95"/>
      <c r="E6" s="95"/>
      <c r="F6" s="102" t="s">
        <v>92</v>
      </c>
      <c r="G6" s="97"/>
      <c r="H6" s="95"/>
      <c r="I6" s="95"/>
      <c r="J6" s="95"/>
      <c r="K6" s="95"/>
      <c r="L6" s="95"/>
      <c r="M6" s="95"/>
      <c r="N6" s="95"/>
      <c r="O6" s="95"/>
      <c r="P6" s="95"/>
      <c r="Q6" s="95"/>
      <c r="R6" s="95"/>
      <c r="S6" s="95"/>
      <c r="T6" s="95"/>
      <c r="U6" s="95"/>
      <c r="V6" s="95"/>
      <c r="W6" s="95"/>
      <c r="X6" s="95"/>
      <c r="Y6" s="95"/>
      <c r="Z6" s="95"/>
      <c r="AA6" s="95"/>
      <c r="AB6" s="95"/>
      <c r="AC6" s="95"/>
      <c r="AD6" s="95"/>
      <c r="AE6" s="95"/>
      <c r="AF6" s="95"/>
      <c r="AG6" s="95"/>
      <c r="AH6" s="95"/>
    </row>
    <row r="7" ht="129.0" customHeight="1">
      <c r="A7" s="16"/>
      <c r="B7" s="16"/>
      <c r="C7" s="16"/>
      <c r="D7" s="16"/>
      <c r="E7" s="16"/>
      <c r="F7" s="16"/>
      <c r="G7" s="105"/>
      <c r="H7" s="16"/>
      <c r="I7" s="16"/>
      <c r="J7" s="16"/>
      <c r="K7" s="16"/>
      <c r="L7" s="16"/>
      <c r="M7" s="16"/>
      <c r="N7" s="16"/>
      <c r="O7" s="16"/>
      <c r="P7" s="16"/>
      <c r="Q7" s="16"/>
      <c r="R7" s="16"/>
      <c r="S7" s="16"/>
      <c r="T7" s="16"/>
      <c r="U7" s="16"/>
      <c r="V7" s="16"/>
      <c r="W7" s="16"/>
      <c r="X7" s="16"/>
      <c r="Y7" s="16"/>
      <c r="Z7" s="16"/>
      <c r="AA7" s="16"/>
      <c r="AB7" s="16"/>
      <c r="AC7" s="16"/>
      <c r="AD7" s="16"/>
      <c r="AE7" s="16"/>
      <c r="AF7" s="16"/>
      <c r="AG7" s="16"/>
      <c r="AH7" s="16"/>
    </row>
    <row r="8" ht="124.5" customHeight="1">
      <c r="A8" s="72" t="s">
        <v>94</v>
      </c>
      <c r="B8" s="107" t="s">
        <v>95</v>
      </c>
      <c r="C8" s="72" t="s">
        <v>96</v>
      </c>
      <c r="D8" s="72" t="s">
        <v>97</v>
      </c>
      <c r="E8" s="107" t="s">
        <v>98</v>
      </c>
      <c r="F8" s="77" t="s">
        <v>99</v>
      </c>
      <c r="G8" s="78" t="s">
        <v>100</v>
      </c>
      <c r="H8" s="79">
        <v>2.0</v>
      </c>
      <c r="I8" s="81" t="s">
        <v>101</v>
      </c>
      <c r="J8" s="79">
        <v>2.0</v>
      </c>
      <c r="K8" s="108" t="s">
        <v>102</v>
      </c>
      <c r="L8" s="79">
        <v>2.0</v>
      </c>
      <c r="M8" s="108" t="s">
        <v>103</v>
      </c>
      <c r="N8" s="79">
        <v>3.0</v>
      </c>
      <c r="O8" s="81"/>
      <c r="P8" s="79">
        <v>3.0</v>
      </c>
      <c r="Q8" s="81"/>
      <c r="R8" s="79">
        <v>3.0</v>
      </c>
      <c r="S8" s="81"/>
      <c r="T8" s="79">
        <v>1.0</v>
      </c>
      <c r="U8" s="81"/>
      <c r="V8" s="79">
        <v>3.0</v>
      </c>
      <c r="W8" s="81"/>
      <c r="X8" s="79">
        <v>1.0</v>
      </c>
      <c r="Y8" s="81"/>
      <c r="Z8" s="79">
        <v>2.0</v>
      </c>
      <c r="AA8" s="81"/>
      <c r="AB8" s="79">
        <v>3.0</v>
      </c>
      <c r="AC8" s="81"/>
      <c r="AD8" s="79">
        <v>3.0</v>
      </c>
      <c r="AE8" s="81"/>
      <c r="AF8" s="79">
        <v>1.0</v>
      </c>
      <c r="AG8" s="81"/>
      <c r="AH8" s="79">
        <v>3.0</v>
      </c>
    </row>
    <row r="9" ht="100.5" customHeight="1">
      <c r="A9" s="95"/>
      <c r="B9" s="95"/>
      <c r="C9" s="95"/>
      <c r="D9" s="95"/>
      <c r="E9" s="95"/>
      <c r="F9" s="77" t="s">
        <v>104</v>
      </c>
      <c r="G9" s="97"/>
      <c r="H9" s="95"/>
      <c r="I9" s="95"/>
      <c r="J9" s="95"/>
      <c r="K9" s="95"/>
      <c r="L9" s="95"/>
      <c r="M9" s="95"/>
      <c r="N9" s="95"/>
      <c r="O9" s="95"/>
      <c r="P9" s="95"/>
      <c r="Q9" s="95"/>
      <c r="R9" s="95"/>
      <c r="S9" s="95"/>
      <c r="T9" s="95"/>
      <c r="U9" s="95"/>
      <c r="V9" s="95"/>
      <c r="W9" s="95"/>
      <c r="X9" s="95"/>
      <c r="Y9" s="95"/>
      <c r="Z9" s="95"/>
      <c r="AA9" s="95"/>
      <c r="AB9" s="95"/>
      <c r="AC9" s="95"/>
      <c r="AD9" s="95"/>
      <c r="AE9" s="95"/>
      <c r="AF9" s="95"/>
      <c r="AG9" s="95"/>
      <c r="AH9" s="95"/>
    </row>
    <row r="10" ht="285.75" customHeight="1">
      <c r="A10" s="16"/>
      <c r="B10" s="16"/>
      <c r="C10" s="16"/>
      <c r="D10" s="16"/>
      <c r="E10" s="16"/>
      <c r="F10" s="77" t="s">
        <v>105</v>
      </c>
      <c r="G10" s="105"/>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V8:V10"/>
    <mergeCell ref="W8:W10"/>
    <mergeCell ref="O8:O10"/>
    <mergeCell ref="P8:P10"/>
    <mergeCell ref="Q8:Q10"/>
    <mergeCell ref="R8:R10"/>
    <mergeCell ref="S8:S10"/>
    <mergeCell ref="T8:T10"/>
    <mergeCell ref="U8:U10"/>
    <mergeCell ref="AE8:AE10"/>
    <mergeCell ref="AF8:AF10"/>
    <mergeCell ref="X8:X10"/>
    <mergeCell ref="Y8:Y10"/>
    <mergeCell ref="Z8:Z10"/>
    <mergeCell ref="AA8:AA10"/>
    <mergeCell ref="AB8:AB10"/>
    <mergeCell ref="AC8:AC10"/>
    <mergeCell ref="AD8:AD10"/>
    <mergeCell ref="E4:E7"/>
    <mergeCell ref="G4:G7"/>
    <mergeCell ref="H4:H7"/>
    <mergeCell ref="I4:I7"/>
    <mergeCell ref="J4:J7"/>
    <mergeCell ref="K4:K7"/>
    <mergeCell ref="L4:L7"/>
    <mergeCell ref="M4:M7"/>
    <mergeCell ref="N4:N7"/>
    <mergeCell ref="O4:O7"/>
    <mergeCell ref="P4:P7"/>
    <mergeCell ref="Q4:Q7"/>
    <mergeCell ref="R4:R7"/>
    <mergeCell ref="S4:S7"/>
    <mergeCell ref="A1:F1"/>
    <mergeCell ref="A2:A3"/>
    <mergeCell ref="F2:F3"/>
    <mergeCell ref="B4:B7"/>
    <mergeCell ref="C4:C7"/>
    <mergeCell ref="D4:D7"/>
    <mergeCell ref="F6:F7"/>
    <mergeCell ref="A4:A7"/>
    <mergeCell ref="A8:A10"/>
    <mergeCell ref="B8:B10"/>
    <mergeCell ref="C8:C10"/>
    <mergeCell ref="D8:D10"/>
    <mergeCell ref="E8:E10"/>
    <mergeCell ref="G8:G10"/>
    <mergeCell ref="H8:H10"/>
    <mergeCell ref="I8:I10"/>
    <mergeCell ref="J8:J10"/>
    <mergeCell ref="K8:K10"/>
    <mergeCell ref="L8:L10"/>
    <mergeCell ref="M8:M10"/>
    <mergeCell ref="N8:N10"/>
    <mergeCell ref="T4:T7"/>
    <mergeCell ref="U4:U7"/>
    <mergeCell ref="V4:V7"/>
    <mergeCell ref="W4:W7"/>
    <mergeCell ref="X4:X7"/>
    <mergeCell ref="Y4:Y7"/>
    <mergeCell ref="Z4:Z7"/>
    <mergeCell ref="AG4:AG7"/>
    <mergeCell ref="AG8:AG10"/>
    <mergeCell ref="AH8:AH10"/>
    <mergeCell ref="AA4:AA7"/>
    <mergeCell ref="AB4:AB7"/>
    <mergeCell ref="AC4:AC7"/>
    <mergeCell ref="AD4:AD7"/>
    <mergeCell ref="AE4:AE7"/>
    <mergeCell ref="AF4:AF7"/>
    <mergeCell ref="AH4:AH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43"/>
    <col customWidth="1" min="2" max="2" width="16.14"/>
    <col customWidth="1" min="3" max="3" width="13.14"/>
    <col customWidth="1" min="4" max="4" width="28.14"/>
    <col customWidth="1" min="5" max="5" width="10.29"/>
    <col customWidth="1" min="6" max="6" width="11.71"/>
    <col customWidth="1" min="7" max="7" width="11.0"/>
    <col customWidth="1" min="8" max="8" width="9.14"/>
    <col customWidth="1" min="9" max="9" width="13.0"/>
    <col customWidth="1" min="10" max="10" width="45.14"/>
  </cols>
  <sheetData>
    <row r="1" ht="25.5" customHeight="1">
      <c r="A1" s="5" t="s">
        <v>2</v>
      </c>
    </row>
    <row r="2" ht="15.0" customHeight="1">
      <c r="A2" s="10" t="s">
        <v>5</v>
      </c>
      <c r="B2" s="4"/>
      <c r="C2" s="7"/>
      <c r="D2" s="12"/>
      <c r="E2" s="12"/>
      <c r="F2" s="12"/>
      <c r="G2" s="12"/>
      <c r="H2" s="12"/>
      <c r="I2" s="12"/>
      <c r="J2" s="12"/>
    </row>
    <row r="3" ht="45.0" customHeight="1">
      <c r="A3" s="15" t="s">
        <v>14</v>
      </c>
      <c r="B3" s="18" t="s">
        <v>15</v>
      </c>
      <c r="C3" s="18" t="s">
        <v>16</v>
      </c>
      <c r="D3" s="18" t="s">
        <v>18</v>
      </c>
      <c r="E3" s="20" t="s">
        <v>19</v>
      </c>
      <c r="F3" s="18" t="s">
        <v>21</v>
      </c>
      <c r="G3" s="18" t="s">
        <v>22</v>
      </c>
      <c r="H3" s="18" t="s">
        <v>23</v>
      </c>
      <c r="I3" s="18" t="s">
        <v>24</v>
      </c>
      <c r="J3" s="18" t="s">
        <v>25</v>
      </c>
    </row>
    <row r="4" ht="28.5" customHeight="1">
      <c r="A4" s="26">
        <v>1.0</v>
      </c>
      <c r="B4" s="28"/>
      <c r="C4" s="30"/>
      <c r="D4" s="30"/>
      <c r="E4" s="34"/>
      <c r="F4" s="34"/>
      <c r="G4" s="34"/>
      <c r="H4" s="42" t="str">
        <f t="shared" ref="H4:H17" si="1">IF(COUNT(E4:G4)=0,"",AVERAGE(E4:G4))</f>
        <v/>
      </c>
      <c r="I4" s="46" t="str">
        <f t="shared" ref="I4:I17" si="2">IF(H4="","",IF(H4&lt;1,"BE",IF(H4&lt;2,"DE",IF(H4&lt;3,"ME","AE"))))</f>
        <v/>
      </c>
      <c r="J4" s="47"/>
    </row>
    <row r="5" ht="33.75" customHeight="1">
      <c r="A5" s="48">
        <v>2.0</v>
      </c>
      <c r="B5" s="49"/>
      <c r="C5" s="50"/>
      <c r="D5" s="50"/>
      <c r="E5" s="51"/>
      <c r="F5" s="51"/>
      <c r="G5" s="51"/>
      <c r="H5" s="42" t="str">
        <f t="shared" si="1"/>
        <v/>
      </c>
      <c r="I5" s="52" t="str">
        <f t="shared" si="2"/>
        <v/>
      </c>
      <c r="J5" s="53"/>
    </row>
    <row r="6" ht="31.5" customHeight="1">
      <c r="A6" s="26">
        <v>3.0</v>
      </c>
      <c r="B6" s="28"/>
      <c r="C6" s="30"/>
      <c r="D6" s="30"/>
      <c r="E6" s="34"/>
      <c r="F6" s="34"/>
      <c r="G6" s="34"/>
      <c r="H6" s="42" t="str">
        <f t="shared" si="1"/>
        <v/>
      </c>
      <c r="I6" s="46" t="str">
        <f t="shared" si="2"/>
        <v/>
      </c>
      <c r="J6" s="47"/>
    </row>
    <row r="7" ht="36.0" customHeight="1">
      <c r="A7" s="48">
        <v>4.0</v>
      </c>
      <c r="B7" s="49"/>
      <c r="C7" s="50"/>
      <c r="D7" s="50"/>
      <c r="E7" s="51"/>
      <c r="F7" s="51"/>
      <c r="G7" s="51"/>
      <c r="H7" s="42" t="str">
        <f t="shared" si="1"/>
        <v/>
      </c>
      <c r="I7" s="52" t="str">
        <f t="shared" si="2"/>
        <v/>
      </c>
      <c r="J7" s="53"/>
    </row>
    <row r="8" ht="30.0" customHeight="1">
      <c r="A8" s="26">
        <v>5.0</v>
      </c>
      <c r="B8" s="28"/>
      <c r="C8" s="30"/>
      <c r="D8" s="30"/>
      <c r="E8" s="34"/>
      <c r="F8" s="34"/>
      <c r="G8" s="34"/>
      <c r="H8" s="42" t="str">
        <f t="shared" si="1"/>
        <v/>
      </c>
      <c r="I8" s="46" t="str">
        <f t="shared" si="2"/>
        <v/>
      </c>
      <c r="J8" s="56"/>
    </row>
    <row r="9" ht="30.75" customHeight="1">
      <c r="A9" s="48">
        <v>6.0</v>
      </c>
      <c r="B9" s="49"/>
      <c r="C9" s="50"/>
      <c r="D9" s="50"/>
      <c r="E9" s="51"/>
      <c r="F9" s="51"/>
      <c r="G9" s="51"/>
      <c r="H9" s="42" t="str">
        <f t="shared" si="1"/>
        <v/>
      </c>
      <c r="I9" s="52" t="str">
        <f t="shared" si="2"/>
        <v/>
      </c>
      <c r="J9" s="59"/>
    </row>
    <row r="10" ht="35.25" customHeight="1">
      <c r="A10" s="26">
        <v>7.0</v>
      </c>
      <c r="B10" s="28"/>
      <c r="C10" s="30"/>
      <c r="D10" s="30"/>
      <c r="E10" s="34"/>
      <c r="F10" s="34"/>
      <c r="G10" s="34"/>
      <c r="H10" s="42" t="str">
        <f t="shared" si="1"/>
        <v/>
      </c>
      <c r="I10" s="46" t="str">
        <f t="shared" si="2"/>
        <v/>
      </c>
      <c r="J10" s="56"/>
    </row>
    <row r="11" ht="36.75" customHeight="1">
      <c r="A11" s="48">
        <v>8.0</v>
      </c>
      <c r="B11" s="62"/>
      <c r="C11" s="48"/>
      <c r="D11" s="62"/>
      <c r="E11" s="62"/>
      <c r="F11" s="63"/>
      <c r="G11" s="63"/>
      <c r="H11" s="42" t="str">
        <f t="shared" si="1"/>
        <v/>
      </c>
      <c r="I11" s="52" t="str">
        <f t="shared" si="2"/>
        <v/>
      </c>
      <c r="J11" s="66"/>
    </row>
    <row r="12" ht="36.75" customHeight="1">
      <c r="A12" s="26">
        <v>9.0</v>
      </c>
      <c r="B12" s="67"/>
      <c r="C12" s="26"/>
      <c r="D12" s="67"/>
      <c r="E12" s="67"/>
      <c r="F12" s="68"/>
      <c r="G12" s="68"/>
      <c r="H12" s="42" t="str">
        <f t="shared" si="1"/>
        <v/>
      </c>
      <c r="I12" s="46" t="str">
        <f t="shared" si="2"/>
        <v/>
      </c>
      <c r="J12" s="70"/>
    </row>
    <row r="13" ht="27.0" customHeight="1">
      <c r="A13" s="48">
        <v>10.0</v>
      </c>
      <c r="B13" s="62"/>
      <c r="C13" s="48"/>
      <c r="D13" s="62"/>
      <c r="E13" s="62"/>
      <c r="F13" s="63"/>
      <c r="G13" s="63"/>
      <c r="H13" s="42" t="str">
        <f t="shared" si="1"/>
        <v/>
      </c>
      <c r="I13" s="52" t="str">
        <f t="shared" si="2"/>
        <v/>
      </c>
      <c r="J13" s="66"/>
    </row>
    <row r="14" ht="32.25" customHeight="1">
      <c r="A14" s="26">
        <v>11.0</v>
      </c>
      <c r="B14" s="67"/>
      <c r="C14" s="26"/>
      <c r="D14" s="67"/>
      <c r="E14" s="67"/>
      <c r="F14" s="68"/>
      <c r="G14" s="68"/>
      <c r="H14" s="42" t="str">
        <f t="shared" si="1"/>
        <v/>
      </c>
      <c r="I14" s="46" t="str">
        <f t="shared" si="2"/>
        <v/>
      </c>
      <c r="J14" s="70"/>
    </row>
    <row r="15" ht="30.0" customHeight="1">
      <c r="A15" s="48">
        <v>12.0</v>
      </c>
      <c r="B15" s="62"/>
      <c r="C15" s="48"/>
      <c r="D15" s="62"/>
      <c r="E15" s="62"/>
      <c r="F15" s="63"/>
      <c r="G15" s="63"/>
      <c r="H15" s="42" t="str">
        <f t="shared" si="1"/>
        <v/>
      </c>
      <c r="I15" s="52" t="str">
        <f t="shared" si="2"/>
        <v/>
      </c>
      <c r="J15" s="66"/>
    </row>
    <row r="16" ht="26.25" customHeight="1">
      <c r="A16" s="26">
        <v>13.0</v>
      </c>
      <c r="B16" s="67"/>
      <c r="C16" s="26"/>
      <c r="D16" s="67"/>
      <c r="E16" s="67"/>
      <c r="F16" s="68"/>
      <c r="G16" s="68"/>
      <c r="H16" s="42" t="str">
        <f t="shared" si="1"/>
        <v/>
      </c>
      <c r="I16" s="46" t="str">
        <f t="shared" si="2"/>
        <v/>
      </c>
      <c r="J16" s="70"/>
    </row>
    <row r="17" ht="27.75" customHeight="1">
      <c r="A17" s="48">
        <v>14.0</v>
      </c>
      <c r="B17" s="62"/>
      <c r="C17" s="62"/>
      <c r="D17" s="62"/>
      <c r="E17" s="62"/>
      <c r="F17" s="63"/>
      <c r="G17" s="63"/>
      <c r="H17" s="42" t="str">
        <f t="shared" si="1"/>
        <v/>
      </c>
      <c r="I17" s="52" t="str">
        <f t="shared" si="2"/>
        <v/>
      </c>
      <c r="J17" s="66"/>
    </row>
    <row r="18" ht="14.25" customHeight="1">
      <c r="A18" s="74"/>
      <c r="B18" s="75"/>
      <c r="C18" s="75"/>
      <c r="D18" s="76" t="s">
        <v>74</v>
      </c>
      <c r="E18" s="80" t="str">
        <f t="shared" ref="E18:G18" si="3">IFERROR(TEXT((COUNTIF(E4:E17,2)+COUNTIF(E4:E17,3))/COUNT(E4:E17),"0%"),"")</f>
        <v/>
      </c>
      <c r="F18" s="82" t="str">
        <f t="shared" si="3"/>
        <v/>
      </c>
      <c r="G18" s="82" t="str">
        <f t="shared" si="3"/>
        <v/>
      </c>
      <c r="H18" s="83" t="s">
        <v>79</v>
      </c>
      <c r="I18" s="84" t="str">
        <f>IFERROR(TEXT((COUNTIF(I4:I14,"AE")+COUNTIF(I4:I14,"ME"))/(COUNTIF(I4:I14,"AE")+COUNTIF(I4:I14,"ME")+COUNTIF(I4:I14,"DE")+COUNTIF(I4:I14,"BE")),"0%"),"")</f>
        <v/>
      </c>
      <c r="J18" s="85"/>
    </row>
    <row r="19" ht="40.5" customHeight="1">
      <c r="A19" s="86" t="s">
        <v>82</v>
      </c>
      <c r="B19" s="4"/>
      <c r="C19" s="4"/>
      <c r="D19" s="4"/>
      <c r="E19" s="4"/>
      <c r="F19" s="4"/>
      <c r="G19" s="4"/>
      <c r="H19" s="4"/>
      <c r="I19" s="4"/>
      <c r="J19" s="7"/>
    </row>
    <row r="20" ht="14.25" customHeight="1">
      <c r="B20" s="87"/>
      <c r="C20" s="88"/>
    </row>
    <row r="21" ht="14.25" customHeight="1">
      <c r="B21" s="87"/>
      <c r="C21" s="88"/>
    </row>
    <row r="22" ht="14.25" customHeight="1">
      <c r="B22" s="87"/>
      <c r="C22" s="88"/>
    </row>
    <row r="23" ht="14.25" customHeight="1">
      <c r="B23" s="89"/>
      <c r="C23" s="90"/>
    </row>
    <row r="24" ht="14.25" customHeight="1">
      <c r="B24" s="91"/>
    </row>
    <row r="25" ht="14.25" customHeight="1">
      <c r="B25" s="91"/>
    </row>
    <row r="26" ht="14.25" customHeight="1">
      <c r="B26" s="91"/>
    </row>
    <row r="27" ht="14.25" customHeight="1">
      <c r="B27" s="91"/>
    </row>
    <row r="28" ht="14.25" customHeight="1">
      <c r="B28" s="91"/>
    </row>
    <row r="29" ht="14.25" customHeight="1">
      <c r="B29" s="91"/>
    </row>
    <row r="30" ht="14.25" customHeight="1">
      <c r="B30" s="91"/>
    </row>
    <row r="31" ht="14.25" customHeight="1">
      <c r="B31" s="91"/>
    </row>
    <row r="32" ht="14.25" customHeight="1">
      <c r="B32" s="91"/>
    </row>
    <row r="33" ht="14.25" customHeight="1">
      <c r="B33" s="91"/>
    </row>
    <row r="34" ht="14.25" customHeight="1">
      <c r="B34" s="91"/>
    </row>
    <row r="35" ht="14.25" customHeight="1">
      <c r="B35" s="91"/>
    </row>
    <row r="36" ht="14.25" customHeight="1">
      <c r="B36" s="91"/>
    </row>
    <row r="37" ht="14.25" customHeight="1">
      <c r="B37" s="91"/>
    </row>
    <row r="38" ht="14.25" customHeight="1">
      <c r="B38" s="91"/>
    </row>
    <row r="39" ht="14.25" customHeight="1">
      <c r="B39" s="91"/>
    </row>
    <row r="40" ht="14.25" customHeight="1">
      <c r="B40" s="91"/>
    </row>
    <row r="41" ht="14.25" customHeight="1">
      <c r="B41" s="91"/>
    </row>
    <row r="42" ht="14.25" customHeight="1">
      <c r="B42" s="91"/>
    </row>
    <row r="43" ht="14.25" customHeight="1">
      <c r="B43" s="91"/>
    </row>
    <row r="44" ht="14.25" customHeight="1">
      <c r="B44" s="91"/>
    </row>
    <row r="45" ht="14.25" customHeight="1">
      <c r="B45" s="91"/>
    </row>
    <row r="46" ht="14.25" customHeight="1">
      <c r="B46" s="91"/>
    </row>
    <row r="47" ht="14.25" customHeight="1">
      <c r="B47" s="91"/>
    </row>
    <row r="48" ht="14.25" customHeight="1">
      <c r="B48" s="91"/>
    </row>
    <row r="49" ht="14.25" customHeight="1">
      <c r="B49" s="91"/>
    </row>
    <row r="50" ht="14.25" customHeight="1">
      <c r="B50" s="91"/>
    </row>
    <row r="51" ht="14.25" customHeight="1">
      <c r="B51" s="91"/>
    </row>
    <row r="52" ht="14.25" customHeight="1">
      <c r="B52" s="91"/>
    </row>
    <row r="53" ht="14.25" customHeight="1">
      <c r="B53" s="91"/>
    </row>
    <row r="54" ht="14.25" customHeight="1">
      <c r="B54" s="91"/>
    </row>
    <row r="55" ht="14.25" customHeight="1">
      <c r="B55" s="91"/>
    </row>
    <row r="56" ht="14.25" customHeight="1">
      <c r="B56" s="91"/>
    </row>
    <row r="57" ht="14.25" customHeight="1">
      <c r="B57" s="91"/>
    </row>
    <row r="58" ht="14.25" customHeight="1">
      <c r="B58" s="91"/>
    </row>
    <row r="59" ht="14.25" customHeight="1">
      <c r="B59" s="91"/>
    </row>
    <row r="60" ht="14.25" customHeight="1">
      <c r="B60" s="91"/>
    </row>
    <row r="61" ht="14.25" customHeight="1">
      <c r="B61" s="91"/>
    </row>
    <row r="62" ht="14.25" customHeight="1">
      <c r="B62" s="91"/>
    </row>
    <row r="63" ht="14.25" customHeight="1">
      <c r="B63" s="91"/>
    </row>
    <row r="64" ht="14.25" customHeight="1">
      <c r="B64" s="91"/>
    </row>
    <row r="65" ht="14.25" customHeight="1">
      <c r="B65" s="91"/>
    </row>
    <row r="66" ht="14.25" customHeight="1">
      <c r="B66" s="91"/>
    </row>
    <row r="67" ht="14.25" customHeight="1">
      <c r="B67" s="91"/>
    </row>
    <row r="68" ht="14.25" customHeight="1">
      <c r="B68" s="91"/>
    </row>
    <row r="69" ht="14.25" customHeight="1">
      <c r="B69" s="91"/>
    </row>
    <row r="70" ht="14.25" customHeight="1">
      <c r="B70" s="91"/>
    </row>
    <row r="71" ht="14.25" customHeight="1">
      <c r="B71" s="91"/>
    </row>
    <row r="72" ht="14.25" customHeight="1">
      <c r="B72" s="91"/>
    </row>
    <row r="73" ht="14.25" customHeight="1">
      <c r="B73" s="91"/>
    </row>
    <row r="74" ht="14.25" customHeight="1">
      <c r="B74" s="91"/>
    </row>
    <row r="75" ht="14.25" customHeight="1">
      <c r="B75" s="91"/>
    </row>
    <row r="76" ht="14.25" customHeight="1">
      <c r="B76" s="91"/>
    </row>
    <row r="77" ht="14.25" customHeight="1">
      <c r="B77" s="91"/>
    </row>
    <row r="78" ht="14.25" customHeight="1">
      <c r="B78" s="91"/>
    </row>
    <row r="79" ht="14.25" customHeight="1">
      <c r="B79" s="91"/>
    </row>
    <row r="80" ht="14.25" customHeight="1">
      <c r="B80" s="91"/>
    </row>
    <row r="81" ht="14.25" customHeight="1">
      <c r="B81" s="91"/>
    </row>
    <row r="82" ht="14.25" customHeight="1">
      <c r="B82" s="91"/>
    </row>
    <row r="83" ht="14.25" customHeight="1">
      <c r="B83" s="91"/>
    </row>
    <row r="84" ht="14.25" customHeight="1">
      <c r="B84" s="91"/>
    </row>
    <row r="85" ht="14.25" customHeight="1">
      <c r="B85" s="91"/>
    </row>
    <row r="86" ht="14.25" customHeight="1">
      <c r="B86" s="91"/>
    </row>
    <row r="87" ht="14.25" customHeight="1">
      <c r="B87" s="91"/>
    </row>
    <row r="88" ht="14.25" customHeight="1">
      <c r="B88" s="91"/>
    </row>
    <row r="89" ht="14.25" customHeight="1">
      <c r="B89" s="91"/>
    </row>
    <row r="90" ht="14.25" customHeight="1">
      <c r="B90" s="91"/>
    </row>
    <row r="91" ht="14.25" customHeight="1">
      <c r="B91" s="91"/>
    </row>
    <row r="92" ht="14.25" customHeight="1">
      <c r="B92" s="91"/>
    </row>
    <row r="93" ht="14.25" customHeight="1">
      <c r="B93" s="91"/>
    </row>
    <row r="94" ht="14.25" customHeight="1">
      <c r="B94" s="91"/>
    </row>
    <row r="95" ht="14.25" customHeight="1">
      <c r="B95" s="91"/>
    </row>
    <row r="96" ht="14.25" customHeight="1">
      <c r="B96" s="91"/>
    </row>
    <row r="97" ht="14.25" customHeight="1">
      <c r="B97" s="91"/>
    </row>
    <row r="98" ht="14.25" customHeight="1">
      <c r="B98" s="91"/>
    </row>
    <row r="99" ht="14.25" customHeight="1">
      <c r="B99" s="91"/>
    </row>
    <row r="100" ht="14.25" customHeight="1">
      <c r="B100" s="91"/>
    </row>
    <row r="101" ht="14.25" customHeight="1">
      <c r="B101" s="91"/>
    </row>
    <row r="102" ht="14.25" customHeight="1">
      <c r="B102" s="91"/>
    </row>
    <row r="103" ht="14.25" customHeight="1">
      <c r="B103" s="91"/>
    </row>
    <row r="104" ht="14.25" customHeight="1">
      <c r="B104" s="91"/>
    </row>
    <row r="105" ht="14.25" customHeight="1">
      <c r="B105" s="91"/>
    </row>
    <row r="106" ht="14.25" customHeight="1">
      <c r="B106" s="91"/>
    </row>
    <row r="107" ht="14.25" customHeight="1">
      <c r="B107" s="91"/>
    </row>
    <row r="108" ht="14.25" customHeight="1">
      <c r="B108" s="91"/>
    </row>
    <row r="109" ht="14.25" customHeight="1">
      <c r="B109" s="91"/>
    </row>
    <row r="110" ht="14.25" customHeight="1">
      <c r="B110" s="91"/>
    </row>
    <row r="111" ht="14.25" customHeight="1">
      <c r="B111" s="91"/>
    </row>
    <row r="112" ht="14.25" customHeight="1">
      <c r="B112" s="91"/>
    </row>
    <row r="113" ht="14.25" customHeight="1">
      <c r="B113" s="91"/>
    </row>
    <row r="114" ht="14.25" customHeight="1">
      <c r="B114" s="91"/>
    </row>
    <row r="115" ht="14.25" customHeight="1">
      <c r="B115" s="91"/>
    </row>
    <row r="116" ht="14.25" customHeight="1">
      <c r="B116" s="91"/>
    </row>
    <row r="117" ht="14.25" customHeight="1">
      <c r="B117" s="91"/>
    </row>
    <row r="118" ht="14.25" customHeight="1">
      <c r="B118" s="91"/>
    </row>
    <row r="119" ht="14.25" customHeight="1">
      <c r="B119" s="91"/>
    </row>
    <row r="120" ht="14.25" customHeight="1">
      <c r="B120" s="91"/>
    </row>
    <row r="121" ht="14.25" customHeight="1">
      <c r="B121" s="91"/>
    </row>
    <row r="122" ht="14.25" customHeight="1">
      <c r="B122" s="91"/>
    </row>
    <row r="123" ht="14.25" customHeight="1">
      <c r="B123" s="91"/>
    </row>
    <row r="124" ht="14.25" customHeight="1">
      <c r="B124" s="91"/>
    </row>
    <row r="125" ht="14.25" customHeight="1">
      <c r="B125" s="91"/>
    </row>
    <row r="126" ht="14.25" customHeight="1">
      <c r="B126" s="91"/>
    </row>
    <row r="127" ht="14.25" customHeight="1">
      <c r="B127" s="91"/>
    </row>
    <row r="128" ht="14.25" customHeight="1">
      <c r="B128" s="91"/>
    </row>
    <row r="129" ht="14.25" customHeight="1">
      <c r="B129" s="91"/>
    </row>
    <row r="130" ht="14.25" customHeight="1">
      <c r="B130" s="91"/>
    </row>
    <row r="131" ht="14.25" customHeight="1">
      <c r="B131" s="91"/>
    </row>
    <row r="132" ht="14.25" customHeight="1">
      <c r="B132" s="91"/>
    </row>
    <row r="133" ht="14.25" customHeight="1">
      <c r="B133" s="91"/>
    </row>
    <row r="134" ht="14.25" customHeight="1">
      <c r="B134" s="91"/>
    </row>
    <row r="135" ht="14.25" customHeight="1">
      <c r="B135" s="91"/>
    </row>
    <row r="136" ht="14.25" customHeight="1">
      <c r="B136" s="91"/>
    </row>
    <row r="137" ht="14.25" customHeight="1">
      <c r="B137" s="91"/>
    </row>
    <row r="138" ht="14.25" customHeight="1">
      <c r="B138" s="91"/>
    </row>
    <row r="139" ht="14.25" customHeight="1">
      <c r="B139" s="91"/>
    </row>
    <row r="140" ht="14.25" customHeight="1">
      <c r="B140" s="91"/>
    </row>
    <row r="141" ht="14.25" customHeight="1">
      <c r="B141" s="91"/>
    </row>
    <row r="142" ht="14.25" customHeight="1">
      <c r="B142" s="91"/>
    </row>
    <row r="143" ht="14.25" customHeight="1">
      <c r="B143" s="91"/>
    </row>
    <row r="144" ht="14.25" customHeight="1">
      <c r="B144" s="91"/>
    </row>
    <row r="145" ht="14.25" customHeight="1">
      <c r="B145" s="91"/>
    </row>
    <row r="146" ht="14.25" customHeight="1">
      <c r="B146" s="91"/>
    </row>
    <row r="147" ht="14.25" customHeight="1">
      <c r="B147" s="91"/>
    </row>
    <row r="148" ht="14.25" customHeight="1">
      <c r="B148" s="91"/>
    </row>
    <row r="149" ht="14.25" customHeight="1">
      <c r="B149" s="91"/>
    </row>
    <row r="150" ht="14.25" customHeight="1">
      <c r="B150" s="91"/>
    </row>
    <row r="151" ht="14.25" customHeight="1">
      <c r="B151" s="91"/>
    </row>
    <row r="152" ht="14.25" customHeight="1">
      <c r="B152" s="91"/>
    </row>
    <row r="153" ht="14.25" customHeight="1">
      <c r="B153" s="91"/>
    </row>
    <row r="154" ht="14.25" customHeight="1">
      <c r="B154" s="91"/>
    </row>
    <row r="155" ht="14.25" customHeight="1">
      <c r="B155" s="91"/>
    </row>
    <row r="156" ht="14.25" customHeight="1">
      <c r="B156" s="91"/>
    </row>
    <row r="157" ht="14.25" customHeight="1">
      <c r="B157" s="91"/>
    </row>
    <row r="158" ht="14.25" customHeight="1">
      <c r="B158" s="91"/>
    </row>
    <row r="159" ht="14.25" customHeight="1">
      <c r="B159" s="91"/>
    </row>
    <row r="160" ht="14.25" customHeight="1">
      <c r="B160" s="91"/>
    </row>
    <row r="161" ht="14.25" customHeight="1">
      <c r="B161" s="91"/>
    </row>
    <row r="162" ht="14.25" customHeight="1">
      <c r="B162" s="91"/>
    </row>
    <row r="163" ht="14.25" customHeight="1">
      <c r="B163" s="91"/>
    </row>
    <row r="164" ht="14.25" customHeight="1">
      <c r="B164" s="91"/>
    </row>
    <row r="165" ht="14.25" customHeight="1">
      <c r="B165" s="91"/>
    </row>
    <row r="166" ht="14.25" customHeight="1">
      <c r="B166" s="91"/>
    </row>
    <row r="167" ht="14.25" customHeight="1">
      <c r="B167" s="91"/>
    </row>
    <row r="168" ht="14.25" customHeight="1">
      <c r="B168" s="91"/>
    </row>
    <row r="169" ht="14.25" customHeight="1">
      <c r="B169" s="91"/>
    </row>
    <row r="170" ht="14.25" customHeight="1">
      <c r="B170" s="91"/>
    </row>
    <row r="171" ht="14.25" customHeight="1">
      <c r="B171" s="91"/>
    </row>
    <row r="172" ht="14.25" customHeight="1">
      <c r="B172" s="91"/>
    </row>
    <row r="173" ht="14.25" customHeight="1">
      <c r="B173" s="91"/>
    </row>
    <row r="174" ht="14.25" customHeight="1">
      <c r="B174" s="91"/>
    </row>
    <row r="175" ht="14.25" customHeight="1">
      <c r="B175" s="91"/>
    </row>
    <row r="176" ht="14.25" customHeight="1">
      <c r="B176" s="91"/>
    </row>
    <row r="177" ht="14.25" customHeight="1">
      <c r="B177" s="91"/>
    </row>
    <row r="178" ht="14.25" customHeight="1">
      <c r="B178" s="91"/>
    </row>
    <row r="179" ht="14.25" customHeight="1">
      <c r="B179" s="91"/>
    </row>
    <row r="180" ht="14.25" customHeight="1">
      <c r="B180" s="91"/>
    </row>
    <row r="181" ht="14.25" customHeight="1">
      <c r="B181" s="91"/>
    </row>
    <row r="182" ht="14.25" customHeight="1">
      <c r="B182" s="91"/>
    </row>
    <row r="183" ht="14.25" customHeight="1">
      <c r="B183" s="91"/>
    </row>
    <row r="184" ht="14.25" customHeight="1">
      <c r="B184" s="91"/>
    </row>
    <row r="185" ht="14.25" customHeight="1">
      <c r="B185" s="91"/>
    </row>
    <row r="186" ht="14.25" customHeight="1">
      <c r="B186" s="91"/>
    </row>
    <row r="187" ht="14.25" customHeight="1">
      <c r="B187" s="91"/>
    </row>
    <row r="188" ht="14.25" customHeight="1">
      <c r="B188" s="91"/>
    </row>
    <row r="189" ht="14.25" customHeight="1">
      <c r="B189" s="91"/>
    </row>
    <row r="190" ht="14.25" customHeight="1">
      <c r="B190" s="91"/>
    </row>
    <row r="191" ht="14.25" customHeight="1">
      <c r="B191" s="91"/>
    </row>
    <row r="192" ht="14.25" customHeight="1">
      <c r="B192" s="91"/>
    </row>
    <row r="193" ht="14.25" customHeight="1">
      <c r="B193" s="91"/>
    </row>
    <row r="194" ht="14.25" customHeight="1">
      <c r="B194" s="91"/>
    </row>
    <row r="195" ht="14.25" customHeight="1">
      <c r="B195" s="91"/>
    </row>
    <row r="196" ht="14.25" customHeight="1">
      <c r="B196" s="91"/>
    </row>
    <row r="197" ht="14.25" customHeight="1">
      <c r="B197" s="91"/>
    </row>
    <row r="198" ht="14.25" customHeight="1">
      <c r="B198" s="91"/>
    </row>
    <row r="199" ht="14.25" customHeight="1">
      <c r="B199" s="91"/>
    </row>
    <row r="200" ht="14.25" customHeight="1">
      <c r="B200" s="91"/>
    </row>
    <row r="201" ht="14.25" customHeight="1">
      <c r="B201" s="91"/>
    </row>
    <row r="202" ht="14.25" customHeight="1">
      <c r="B202" s="91"/>
    </row>
    <row r="203" ht="14.25" customHeight="1">
      <c r="B203" s="91"/>
    </row>
    <row r="204" ht="14.25" customHeight="1">
      <c r="B204" s="91"/>
    </row>
    <row r="205" ht="14.25" customHeight="1">
      <c r="B205" s="91"/>
    </row>
    <row r="206" ht="14.25" customHeight="1">
      <c r="B206" s="91"/>
    </row>
    <row r="207" ht="14.25" customHeight="1">
      <c r="B207" s="91"/>
    </row>
    <row r="208" ht="14.25" customHeight="1">
      <c r="B208" s="91"/>
    </row>
    <row r="209" ht="14.25" customHeight="1">
      <c r="B209" s="91"/>
    </row>
    <row r="210" ht="14.25" customHeight="1">
      <c r="B210" s="91"/>
    </row>
    <row r="211" ht="14.25" customHeight="1">
      <c r="B211" s="91"/>
    </row>
    <row r="212" ht="14.25" customHeight="1">
      <c r="B212" s="91"/>
    </row>
    <row r="213" ht="14.25" customHeight="1">
      <c r="B213" s="91"/>
    </row>
    <row r="214" ht="14.25" customHeight="1">
      <c r="B214" s="91"/>
    </row>
    <row r="215" ht="14.25" customHeight="1">
      <c r="B215" s="91"/>
    </row>
    <row r="216" ht="14.25" customHeight="1">
      <c r="B216" s="91"/>
    </row>
    <row r="217" ht="14.25" customHeight="1">
      <c r="B217" s="91"/>
    </row>
    <row r="218" ht="14.25" customHeight="1">
      <c r="B218" s="91"/>
    </row>
    <row r="219" ht="14.25" customHeight="1">
      <c r="B219" s="91"/>
    </row>
    <row r="220" ht="14.25" customHeight="1">
      <c r="B220" s="9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C2"/>
    <mergeCell ref="A19:J1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14"/>
    <col customWidth="1" min="2" max="2" width="19.29"/>
    <col customWidth="1" min="3" max="3" width="28.14"/>
    <col customWidth="1" min="4" max="4" width="9.71"/>
    <col customWidth="1" min="5" max="5" width="8.57"/>
    <col customWidth="1" min="6" max="6" width="9.14"/>
    <col customWidth="1" min="7" max="7" width="13.14"/>
    <col customWidth="1" min="8" max="8" width="3.29"/>
    <col customWidth="1" min="9" max="9" width="10.29"/>
    <col customWidth="1" min="10" max="12" width="7.71"/>
    <col customWidth="1" min="13" max="13" width="9.14"/>
  </cols>
  <sheetData>
    <row r="1" ht="14.25" customHeight="1">
      <c r="A1" s="91"/>
      <c r="C1" s="92" t="s">
        <v>83</v>
      </c>
      <c r="D1" s="93" t="s">
        <v>84</v>
      </c>
      <c r="E1" s="93" t="s">
        <v>84</v>
      </c>
      <c r="F1" s="91"/>
      <c r="G1" s="91"/>
      <c r="L1" s="91"/>
      <c r="M1" s="91"/>
    </row>
    <row r="2" ht="32.25" customHeight="1">
      <c r="A2" s="94" t="s">
        <v>85</v>
      </c>
      <c r="B2" s="96" t="s">
        <v>16</v>
      </c>
      <c r="C2" s="96" t="s">
        <v>87</v>
      </c>
      <c r="D2" s="98" t="s">
        <v>88</v>
      </c>
      <c r="E2" s="98" t="s">
        <v>89</v>
      </c>
      <c r="F2" s="99" t="s">
        <v>90</v>
      </c>
      <c r="G2" s="99" t="s">
        <v>91</v>
      </c>
      <c r="I2" s="100"/>
      <c r="J2" s="101"/>
      <c r="K2" s="8"/>
      <c r="L2" s="3"/>
    </row>
    <row r="3" ht="14.25" customHeight="1">
      <c r="A3" s="16"/>
      <c r="B3" s="16"/>
      <c r="C3" s="16"/>
      <c r="D3" s="103">
        <v>1.0</v>
      </c>
      <c r="E3" s="103">
        <v>1.0</v>
      </c>
      <c r="F3" s="16"/>
      <c r="G3" s="16"/>
      <c r="I3" s="100" t="s">
        <v>84</v>
      </c>
      <c r="J3" s="101" t="s">
        <v>93</v>
      </c>
      <c r="K3" s="8"/>
      <c r="L3" s="3"/>
    </row>
    <row r="4" ht="15.75" customHeight="1">
      <c r="A4" s="104">
        <v>1.0</v>
      </c>
      <c r="B4" s="106" t="str">
        <f t="shared" ref="B4:C4" si="1">IF(#REF!="","",#REF!)</f>
        <v>#REF!</v>
      </c>
      <c r="C4" s="106" t="str">
        <f t="shared" si="1"/>
        <v>#REF!</v>
      </c>
      <c r="D4" s="109" t="str">
        <f t="array" ref="D4">IF(#REF!="","", INDEX('SO4 Rubric'!$H$4:$ZZ$4, 1, (ROW()-4)*2+1))</f>
        <v>#REF!</v>
      </c>
      <c r="E4" s="110" t="str">
        <f t="array" ref="E4">IF(#REF!="","", INDEX('SO4 Rubric'!$H$8:$ZZ$8, 1, (ROW()-4)*2+1))</f>
        <v>#REF!</v>
      </c>
      <c r="F4" s="111" t="str">
        <f t="shared" ref="F4:F23" si="3">IF(SUMPRODUCT(--(D4:E4&lt;&gt;""))=0,"",ROUND(SUMPRODUCT($D$3:$E$3,D4:E4)/COUNTIF($D$3:$E$3,1),0))</f>
        <v>#REF!</v>
      </c>
      <c r="G4" s="110" t="str">
        <f>IF(F4=""," ",VLOOKUP(F4,'Lookup Tables'!$D$9:$E$12,2))</f>
        <v>#REF!</v>
      </c>
    </row>
    <row r="5" ht="17.25" customHeight="1">
      <c r="A5" s="104">
        <v>2.0</v>
      </c>
      <c r="B5" s="106" t="str">
        <f t="shared" ref="B5:C5" si="2">IF(#REF!="","",#REF!)</f>
        <v>#REF!</v>
      </c>
      <c r="C5" s="106" t="str">
        <f t="shared" si="2"/>
        <v>#REF!</v>
      </c>
      <c r="D5" s="109" t="str">
        <f t="array" ref="D5">IF(#REF!="","", INDEX('SO4 Rubric'!$H$4:$ZZ$4, 1, (ROW()-4)*2+1))</f>
        <v>#REF!</v>
      </c>
      <c r="E5" s="110" t="str">
        <f t="array" ref="E5">IF(#REF!="","", INDEX('SO4 Rubric'!$H$8:$ZZ$8, 1, (ROW()-4)*2+1))</f>
        <v>#REF!</v>
      </c>
      <c r="F5" s="111" t="str">
        <f t="shared" si="3"/>
        <v>#REF!</v>
      </c>
      <c r="G5" s="110" t="str">
        <f>IF(F5=""," ",VLOOKUP(F5,'Lookup Tables'!$D$9:$E$12,2))</f>
        <v>#REF!</v>
      </c>
      <c r="I5" s="112"/>
      <c r="J5" s="112"/>
      <c r="K5" s="112"/>
      <c r="L5" s="112"/>
      <c r="M5" s="112"/>
    </row>
    <row r="6" ht="17.25" customHeight="1">
      <c r="A6" s="104">
        <v>3.0</v>
      </c>
      <c r="B6" s="106" t="str">
        <f t="shared" ref="B6:C6" si="4">IF(#REF!="","",#REF!)</f>
        <v>#REF!</v>
      </c>
      <c r="C6" s="106" t="str">
        <f t="shared" si="4"/>
        <v>#REF!</v>
      </c>
      <c r="D6" s="109" t="str">
        <f t="array" ref="D6">IF(#REF!="","", INDEX('SO4 Rubric'!$H$4:$ZZ$4, 1, (ROW()-4)*2+1))</f>
        <v>#REF!</v>
      </c>
      <c r="E6" s="110" t="str">
        <f t="array" ref="E6">IF(#REF!="","", INDEX('SO4 Rubric'!$H$8:$ZZ$8, 1, (ROW()-4)*2+1))</f>
        <v>#REF!</v>
      </c>
      <c r="F6" s="111" t="str">
        <f t="shared" si="3"/>
        <v>#REF!</v>
      </c>
      <c r="G6" s="110" t="str">
        <f>IF(F6=""," ",VLOOKUP(F6,'Lookup Tables'!$D$9:$E$12,2))</f>
        <v>#REF!</v>
      </c>
      <c r="I6" s="112"/>
      <c r="J6" s="112"/>
      <c r="K6" s="112"/>
      <c r="L6" s="112"/>
      <c r="M6" s="112"/>
    </row>
    <row r="7" ht="17.25" customHeight="1">
      <c r="A7" s="104">
        <v>4.0</v>
      </c>
      <c r="B7" s="106" t="str">
        <f t="shared" ref="B7:C7" si="5">IF(#REF!="","",#REF!)</f>
        <v>#REF!</v>
      </c>
      <c r="C7" s="106" t="str">
        <f t="shared" si="5"/>
        <v>#REF!</v>
      </c>
      <c r="D7" s="109" t="str">
        <f t="array" ref="D7">IF(#REF!="","", INDEX('SO4 Rubric'!$H$4:$ZZ$4, 1, (ROW()-4)*2+1))</f>
        <v>#REF!</v>
      </c>
      <c r="E7" s="110" t="str">
        <f t="array" ref="E7">IF(#REF!="","", INDEX('SO4 Rubric'!$H$8:$ZZ$8, 1, (ROW()-4)*2+1))</f>
        <v>#REF!</v>
      </c>
      <c r="F7" s="111" t="str">
        <f t="shared" si="3"/>
        <v>#REF!</v>
      </c>
      <c r="G7" s="110" t="str">
        <f>IF(F7=""," ",VLOOKUP(F7,'Lookup Tables'!$D$9:$E$12,2))</f>
        <v>#REF!</v>
      </c>
      <c r="I7" s="112"/>
      <c r="J7" s="112"/>
      <c r="K7" s="112"/>
      <c r="L7" s="112"/>
      <c r="M7" s="112"/>
    </row>
    <row r="8" ht="17.25" customHeight="1">
      <c r="A8" s="104">
        <v>5.0</v>
      </c>
      <c r="B8" s="106" t="str">
        <f t="shared" ref="B8:C8" si="6">IF(#REF!="","",#REF!)</f>
        <v>#REF!</v>
      </c>
      <c r="C8" s="106" t="str">
        <f t="shared" si="6"/>
        <v>#REF!</v>
      </c>
      <c r="D8" s="109" t="str">
        <f t="array" ref="D8">IF(#REF!="","", INDEX('SO4 Rubric'!$H$4:$ZZ$4, 1, (ROW()-4)*2+1))</f>
        <v>#REF!</v>
      </c>
      <c r="E8" s="110" t="str">
        <f t="array" ref="E8">IF(#REF!="","", INDEX('SO4 Rubric'!$H$8:$ZZ$8, 1, (ROW()-4)*2+1))</f>
        <v>#REF!</v>
      </c>
      <c r="F8" s="111" t="str">
        <f t="shared" si="3"/>
        <v>#REF!</v>
      </c>
      <c r="G8" s="110" t="str">
        <f>IF(F8=""," ",VLOOKUP(F8,'Lookup Tables'!$D$9:$E$12,2))</f>
        <v>#REF!</v>
      </c>
      <c r="I8" s="112"/>
      <c r="J8" s="112"/>
      <c r="K8" s="112"/>
      <c r="L8" s="112"/>
      <c r="M8" s="112"/>
    </row>
    <row r="9" ht="17.25" customHeight="1">
      <c r="A9" s="104">
        <v>6.0</v>
      </c>
      <c r="B9" s="106" t="str">
        <f t="shared" ref="B9:C9" si="7">IF(#REF!="","",#REF!)</f>
        <v>#REF!</v>
      </c>
      <c r="C9" s="106" t="str">
        <f t="shared" si="7"/>
        <v>#REF!</v>
      </c>
      <c r="D9" s="109" t="str">
        <f t="array" ref="D9">IF(#REF!="","", INDEX('SO4 Rubric'!$H$4:$ZZ$4, 1, (ROW()-4)*2+1))</f>
        <v>#REF!</v>
      </c>
      <c r="E9" s="110" t="str">
        <f t="array" ref="E9">IF(#REF!="","", INDEX('SO4 Rubric'!$H$8:$ZZ$8, 1, (ROW()-4)*2+1))</f>
        <v>#REF!</v>
      </c>
      <c r="F9" s="111" t="str">
        <f t="shared" si="3"/>
        <v>#REF!</v>
      </c>
      <c r="G9" s="110" t="str">
        <f>IF(F9=""," ",VLOOKUP(F9,'Lookup Tables'!$D$9:$E$12,2))</f>
        <v>#REF!</v>
      </c>
      <c r="I9" s="112"/>
      <c r="J9" s="112"/>
      <c r="K9" s="112"/>
      <c r="L9" s="112"/>
      <c r="M9" s="112"/>
    </row>
    <row r="10" ht="17.25" customHeight="1">
      <c r="A10" s="104">
        <v>7.0</v>
      </c>
      <c r="B10" s="106" t="str">
        <f t="shared" ref="B10:C10" si="8">IF(#REF!="","",#REF!)</f>
        <v>#REF!</v>
      </c>
      <c r="C10" s="106" t="str">
        <f t="shared" si="8"/>
        <v>#REF!</v>
      </c>
      <c r="D10" s="109" t="str">
        <f t="array" ref="D10">IF(#REF!="","", INDEX('SO4 Rubric'!$H$4:$ZZ$4, 1, (ROW()-4)*2+1))</f>
        <v>#REF!</v>
      </c>
      <c r="E10" s="110" t="str">
        <f t="array" ref="E10">IF(#REF!="","", INDEX('SO4 Rubric'!$H$8:$ZZ$8, 1, (ROW()-4)*2+1))</f>
        <v>#REF!</v>
      </c>
      <c r="F10" s="111" t="str">
        <f t="shared" si="3"/>
        <v>#REF!</v>
      </c>
      <c r="G10" s="110" t="str">
        <f>IF(F10=""," ",VLOOKUP(F10,'Lookup Tables'!$D$9:$E$12,2))</f>
        <v>#REF!</v>
      </c>
    </row>
    <row r="11" ht="17.25" customHeight="1">
      <c r="A11" s="104">
        <v>8.0</v>
      </c>
      <c r="B11" s="106" t="str">
        <f t="shared" ref="B11:C11" si="9">IF(#REF!="","",#REF!)</f>
        <v>#REF!</v>
      </c>
      <c r="C11" s="106" t="str">
        <f t="shared" si="9"/>
        <v>#REF!</v>
      </c>
      <c r="D11" s="109" t="str">
        <f t="array" ref="D11">IF(#REF!="","", INDEX('SO4 Rubric'!$H$4:$ZZ$4, 1, (ROW()-4)*2+1))</f>
        <v>#REF!</v>
      </c>
      <c r="E11" s="110" t="str">
        <f t="array" ref="E11">IF(#REF!="","", INDEX('SO4 Rubric'!$H$8:$ZZ$8, 1, (ROW()-4)*2+1))</f>
        <v>#REF!</v>
      </c>
      <c r="F11" s="111" t="str">
        <f t="shared" si="3"/>
        <v>#REF!</v>
      </c>
      <c r="G11" s="110" t="str">
        <f>IF(F11=""," ",VLOOKUP(F11,'Lookup Tables'!$D$9:$E$12,2))</f>
        <v>#REF!</v>
      </c>
      <c r="H11" s="151" t="str">
        <f t="shared" ref="H11:K11" si="10">IF(ISBLANK(#REF!),"",IFERROR(ROUND(3*(#REF!/#REF!),0),""))</f>
        <v/>
      </c>
      <c r="I11" s="91" t="str">
        <f t="shared" si="10"/>
        <v/>
      </c>
      <c r="J11" s="91" t="str">
        <f t="shared" si="10"/>
        <v/>
      </c>
      <c r="K11" s="91" t="str">
        <f t="shared" si="10"/>
        <v/>
      </c>
      <c r="L11" s="152" t="str">
        <f t="shared" ref="L11:L23" si="13">IF(SUMPRODUCT(--(H11:K11&lt;&gt;""))=0,"",SUMPRODUCT(#REF!,H11:K11)/COUNTIF(#REF!,1))</f>
        <v/>
      </c>
      <c r="M11" s="153" t="str">
        <f t="shared" ref="M11:M23" si="14">IF(L11="","",L11/3)</f>
        <v/>
      </c>
    </row>
    <row r="12" ht="17.25" customHeight="1">
      <c r="A12" s="104">
        <v>9.0</v>
      </c>
      <c r="B12" s="106" t="str">
        <f t="shared" ref="B12:C12" si="11">IF(#REF!="","",#REF!)</f>
        <v>#REF!</v>
      </c>
      <c r="C12" s="106" t="str">
        <f t="shared" si="11"/>
        <v>#REF!</v>
      </c>
      <c r="D12" s="109" t="str">
        <f t="array" ref="D12">IF(#REF!="","", INDEX('SO4 Rubric'!$H$4:$ZZ$4, 1, (ROW()-4)*2+1))</f>
        <v>#REF!</v>
      </c>
      <c r="E12" s="110" t="str">
        <f t="array" ref="E12">IF(#REF!="","", INDEX('SO4 Rubric'!$H$8:$ZZ$8, 1, (ROW()-4)*2+1))</f>
        <v>#REF!</v>
      </c>
      <c r="F12" s="111" t="str">
        <f t="shared" si="3"/>
        <v>#REF!</v>
      </c>
      <c r="G12" s="110" t="str">
        <f>IF(F12=""," ",VLOOKUP(F12,'Lookup Tables'!$D$9:$E$12,2))</f>
        <v>#REF!</v>
      </c>
      <c r="H12" s="151" t="str">
        <f t="shared" ref="H12:K12" si="12">IF(ISBLANK(#REF!),"",IFERROR(ROUND(3*(#REF!/#REF!),0),""))</f>
        <v/>
      </c>
      <c r="I12" s="91" t="str">
        <f t="shared" si="12"/>
        <v/>
      </c>
      <c r="J12" s="91" t="str">
        <f t="shared" si="12"/>
        <v/>
      </c>
      <c r="K12" s="91" t="str">
        <f t="shared" si="12"/>
        <v/>
      </c>
      <c r="L12" s="152" t="str">
        <f t="shared" si="13"/>
        <v/>
      </c>
      <c r="M12" s="153" t="str">
        <f t="shared" si="14"/>
        <v/>
      </c>
    </row>
    <row r="13" ht="17.25" customHeight="1">
      <c r="A13" s="104">
        <v>10.0</v>
      </c>
      <c r="B13" s="106" t="str">
        <f t="shared" ref="B13:C13" si="15">IF(#REF!="","",#REF!)</f>
        <v>#REF!</v>
      </c>
      <c r="C13" s="106" t="str">
        <f t="shared" si="15"/>
        <v>#REF!</v>
      </c>
      <c r="D13" s="109" t="str">
        <f t="array" ref="D13">IF(#REF!="","", INDEX('SO4 Rubric'!$H$4:$ZZ$4, 1, (ROW()-4)*2+1))</f>
        <v>#REF!</v>
      </c>
      <c r="E13" s="110" t="str">
        <f t="array" ref="E13">IF(#REF!="","", INDEX('SO4 Rubric'!$H$8:$ZZ$8, 1, (ROW()-4)*2+1))</f>
        <v>#REF!</v>
      </c>
      <c r="F13" s="111" t="str">
        <f t="shared" si="3"/>
        <v>#REF!</v>
      </c>
      <c r="G13" s="110" t="str">
        <f>IF(F13=""," ",VLOOKUP(F13,'Lookup Tables'!$D$9:$E$12,2))</f>
        <v>#REF!</v>
      </c>
      <c r="H13" s="158" t="str">
        <f t="shared" ref="H13:K13" si="16">IF(ISBLANK(#REF!),"",IFERROR(ROUND(3*(#REF!/#REF!),0),""))</f>
        <v/>
      </c>
      <c r="I13" s="91" t="str">
        <f t="shared" si="16"/>
        <v/>
      </c>
      <c r="J13" s="91" t="str">
        <f t="shared" si="16"/>
        <v/>
      </c>
      <c r="K13" s="91" t="str">
        <f t="shared" si="16"/>
        <v/>
      </c>
      <c r="L13" s="152" t="str">
        <f t="shared" si="13"/>
        <v/>
      </c>
      <c r="M13" s="153" t="str">
        <f t="shared" si="14"/>
        <v/>
      </c>
    </row>
    <row r="14" ht="17.25" customHeight="1">
      <c r="A14" s="104">
        <v>11.0</v>
      </c>
      <c r="B14" s="106" t="str">
        <f t="shared" ref="B14:C14" si="17">IF(#REF!="","",#REF!)</f>
        <v>#REF!</v>
      </c>
      <c r="C14" s="106" t="str">
        <f t="shared" si="17"/>
        <v>#REF!</v>
      </c>
      <c r="D14" s="109" t="str">
        <f t="array" ref="D14">IF(#REF!="","", INDEX('SO4 Rubric'!$H$4:$ZZ$4, 1, (ROW()-4)*2+1))</f>
        <v>#REF!</v>
      </c>
      <c r="E14" s="110" t="str">
        <f t="array" ref="E14">IF(#REF!="","", INDEX('SO4 Rubric'!$H$8:$ZZ$8, 1, (ROW()-4)*2+1))</f>
        <v>#REF!</v>
      </c>
      <c r="F14" s="111" t="str">
        <f t="shared" si="3"/>
        <v>#REF!</v>
      </c>
      <c r="G14" s="110" t="str">
        <f>IF(F14=""," ",VLOOKUP(F14,'Lookup Tables'!$D$9:$E$12,2))</f>
        <v>#REF!</v>
      </c>
      <c r="H14" s="91" t="str">
        <f t="shared" ref="H14:K14" si="18">IF(ISBLANK(#REF!),"",IFERROR(ROUND(3*(#REF!/#REF!),0),""))</f>
        <v/>
      </c>
      <c r="I14" s="91" t="str">
        <f t="shared" si="18"/>
        <v/>
      </c>
      <c r="J14" s="91" t="str">
        <f t="shared" si="18"/>
        <v/>
      </c>
      <c r="K14" s="91" t="str">
        <f t="shared" si="18"/>
        <v/>
      </c>
      <c r="L14" s="152" t="str">
        <f t="shared" si="13"/>
        <v/>
      </c>
      <c r="M14" s="153" t="str">
        <f t="shared" si="14"/>
        <v/>
      </c>
    </row>
    <row r="15" ht="17.25" customHeight="1">
      <c r="A15" s="104">
        <v>12.0</v>
      </c>
      <c r="B15" s="106" t="str">
        <f t="shared" ref="B15:C15" si="19">IF(#REF!="","",#REF!)</f>
        <v>#REF!</v>
      </c>
      <c r="C15" s="106" t="str">
        <f t="shared" si="19"/>
        <v>#REF!</v>
      </c>
      <c r="D15" s="109" t="str">
        <f t="array" ref="D15">IF(#REF!="","", INDEX('SO4 Rubric'!$H$4:$ZZ$4, 1, (ROW()-4)*2+1))</f>
        <v>#REF!</v>
      </c>
      <c r="E15" s="110" t="str">
        <f t="array" ref="E15">IF(#REF!="","", INDEX('SO4 Rubric'!$H$8:$ZZ$8, 1, (ROW()-4)*2+1))</f>
        <v>#REF!</v>
      </c>
      <c r="F15" s="111" t="str">
        <f t="shared" si="3"/>
        <v>#REF!</v>
      </c>
      <c r="G15" s="110" t="str">
        <f>IF(F15=""," ",VLOOKUP(F15,'Lookup Tables'!$D$9:$E$12,2))</f>
        <v>#REF!</v>
      </c>
      <c r="H15" s="91" t="str">
        <f t="shared" ref="H15:K15" si="20">IF(ISBLANK(#REF!),"",IFERROR(ROUND(3*(#REF!/#REF!),0),""))</f>
        <v/>
      </c>
      <c r="I15" s="91" t="str">
        <f t="shared" si="20"/>
        <v/>
      </c>
      <c r="J15" s="91" t="str">
        <f t="shared" si="20"/>
        <v/>
      </c>
      <c r="K15" s="91" t="str">
        <f t="shared" si="20"/>
        <v/>
      </c>
      <c r="L15" s="152" t="str">
        <f t="shared" si="13"/>
        <v/>
      </c>
      <c r="M15" s="153" t="str">
        <f t="shared" si="14"/>
        <v/>
      </c>
    </row>
    <row r="16" ht="14.25" customHeight="1">
      <c r="A16" s="104">
        <v>13.0</v>
      </c>
      <c r="B16" s="106" t="str">
        <f t="shared" ref="B16:C16" si="21">IF(#REF!="","",#REF!)</f>
        <v>#REF!</v>
      </c>
      <c r="C16" s="106" t="str">
        <f t="shared" si="21"/>
        <v>#REF!</v>
      </c>
      <c r="D16" s="109" t="str">
        <f t="array" ref="D16">IF(#REF!="","", INDEX('SO4 Rubric'!$H$4:$ZZ$4, 1, (ROW()-4)*2+1))</f>
        <v>#REF!</v>
      </c>
      <c r="E16" s="110" t="str">
        <f t="array" ref="E16">IF(#REF!="","", INDEX('SO4 Rubric'!$H$8:$ZZ$8, 1, (ROW()-4)*2+1))</f>
        <v>#REF!</v>
      </c>
      <c r="F16" s="111" t="str">
        <f t="shared" si="3"/>
        <v>#REF!</v>
      </c>
      <c r="G16" s="110" t="str">
        <f>IF(F16=""," ",VLOOKUP(F16,'Lookup Tables'!$D$9:$E$12,2))</f>
        <v>#REF!</v>
      </c>
      <c r="H16" s="91" t="str">
        <f t="shared" ref="H16:K16" si="22">IF(ISBLANK(#REF!),"",IFERROR(ROUND(3*(#REF!/#REF!),0),""))</f>
        <v/>
      </c>
      <c r="I16" s="91" t="str">
        <f t="shared" si="22"/>
        <v/>
      </c>
      <c r="J16" s="91" t="str">
        <f t="shared" si="22"/>
        <v/>
      </c>
      <c r="K16" s="91" t="str">
        <f t="shared" si="22"/>
        <v/>
      </c>
      <c r="L16" s="152" t="str">
        <f t="shared" si="13"/>
        <v/>
      </c>
      <c r="M16" s="153" t="str">
        <f t="shared" si="14"/>
        <v/>
      </c>
    </row>
    <row r="17" ht="14.25" customHeight="1">
      <c r="A17" s="104">
        <v>14.0</v>
      </c>
      <c r="B17" s="106" t="str">
        <f t="shared" ref="B17:C17" si="23">IF(#REF!="","",#REF!)</f>
        <v>#REF!</v>
      </c>
      <c r="C17" s="106" t="str">
        <f t="shared" si="23"/>
        <v>#REF!</v>
      </c>
      <c r="D17" s="109" t="str">
        <f t="array" ref="D17">IF(#REF!="","", INDEX('SO4 Rubric'!$H$4:$ZZ$4, 1, (ROW()-4)*2+1))</f>
        <v>#REF!</v>
      </c>
      <c r="E17" s="110" t="str">
        <f t="array" ref="E17">IF(#REF!="","", INDEX('SO4 Rubric'!$H$8:$ZZ$8, 1, (ROW()-4)*2+1))</f>
        <v>#REF!</v>
      </c>
      <c r="F17" s="111" t="str">
        <f t="shared" si="3"/>
        <v>#REF!</v>
      </c>
      <c r="G17" s="110" t="str">
        <f>IF(F17=""," ",VLOOKUP(F17,'Lookup Tables'!$D$9:$E$12,2))</f>
        <v>#REF!</v>
      </c>
      <c r="H17" s="91" t="str">
        <f t="shared" ref="H17:K17" si="24">IF(ISBLANK(#REF!),"",IFERROR(ROUND(3*(#REF!/#REF!),0),""))</f>
        <v/>
      </c>
      <c r="I17" s="91" t="str">
        <f t="shared" si="24"/>
        <v/>
      </c>
      <c r="J17" s="91" t="str">
        <f t="shared" si="24"/>
        <v/>
      </c>
      <c r="K17" s="91" t="str">
        <f t="shared" si="24"/>
        <v/>
      </c>
      <c r="L17" s="152" t="str">
        <f t="shared" si="13"/>
        <v/>
      </c>
      <c r="M17" s="153" t="str">
        <f t="shared" si="14"/>
        <v/>
      </c>
    </row>
    <row r="18" ht="14.25" customHeight="1">
      <c r="A18" s="104">
        <v>15.0</v>
      </c>
      <c r="B18" s="106" t="str">
        <f t="shared" ref="B18:C18" si="25">IF(#REF!="","",#REF!)</f>
        <v>#REF!</v>
      </c>
      <c r="C18" s="106" t="str">
        <f t="shared" si="25"/>
        <v>#REF!</v>
      </c>
      <c r="D18" s="109" t="str">
        <f t="array" ref="D18">IF(#REF!="","", INDEX('SO4 Rubric'!$H$4:$ZZ$4, 1, (ROW()-4)*2+1))</f>
        <v>#REF!</v>
      </c>
      <c r="E18" s="110" t="str">
        <f t="array" ref="E18">IF(#REF!="","", INDEX('SO4 Rubric'!$H$8:$ZZ$8, 1, (ROW()-4)*2+1))</f>
        <v>#REF!</v>
      </c>
      <c r="F18" s="111" t="str">
        <f t="shared" si="3"/>
        <v>#REF!</v>
      </c>
      <c r="G18" s="110" t="str">
        <f>IF(F18=""," ",VLOOKUP(F18,'Lookup Tables'!$D$9:$E$12,2))</f>
        <v>#REF!</v>
      </c>
      <c r="H18" s="91" t="str">
        <f t="shared" ref="H18:K18" si="26">IF(ISBLANK(#REF!),"",IFERROR(ROUND(3*(#REF!/#REF!),0),""))</f>
        <v/>
      </c>
      <c r="I18" s="91" t="str">
        <f t="shared" si="26"/>
        <v/>
      </c>
      <c r="J18" s="91" t="str">
        <f t="shared" si="26"/>
        <v/>
      </c>
      <c r="K18" s="91" t="str">
        <f t="shared" si="26"/>
        <v/>
      </c>
      <c r="L18" s="152" t="str">
        <f t="shared" si="13"/>
        <v/>
      </c>
      <c r="M18" s="153" t="str">
        <f t="shared" si="14"/>
        <v/>
      </c>
    </row>
    <row r="19" ht="14.25" customHeight="1">
      <c r="A19" s="104">
        <v>16.0</v>
      </c>
      <c r="B19" s="106" t="str">
        <f t="shared" ref="B19:C19" si="27">IF(#REF!="","",#REF!)</f>
        <v>#REF!</v>
      </c>
      <c r="C19" s="106" t="str">
        <f t="shared" si="27"/>
        <v>#REF!</v>
      </c>
      <c r="D19" s="109" t="str">
        <f t="array" ref="D19">IF(#REF!="","", INDEX('SO4 Rubric'!$H$4:$ZZ$4, 1, (ROW()-4)*2+1))</f>
        <v>#REF!</v>
      </c>
      <c r="E19" s="110" t="str">
        <f t="array" ref="E19">IF(#REF!="","", INDEX('SO4 Rubric'!$H$8:$ZZ$8, 1, (ROW()-4)*2+1))</f>
        <v>#REF!</v>
      </c>
      <c r="F19" s="111" t="str">
        <f t="shared" si="3"/>
        <v>#REF!</v>
      </c>
      <c r="G19" s="110" t="str">
        <f>IF(F19=""," ",VLOOKUP(F19,'Lookup Tables'!$D$9:$E$12,2))</f>
        <v>#REF!</v>
      </c>
      <c r="H19" s="91" t="str">
        <f t="shared" ref="H19:K19" si="28">IF(ISBLANK(#REF!),"",IFERROR(ROUND(3*(#REF!/#REF!),0),""))</f>
        <v/>
      </c>
      <c r="I19" s="91" t="str">
        <f t="shared" si="28"/>
        <v/>
      </c>
      <c r="J19" s="91" t="str">
        <f t="shared" si="28"/>
        <v/>
      </c>
      <c r="K19" s="91" t="str">
        <f t="shared" si="28"/>
        <v/>
      </c>
      <c r="L19" s="152" t="str">
        <f t="shared" si="13"/>
        <v/>
      </c>
      <c r="M19" s="153" t="str">
        <f t="shared" si="14"/>
        <v/>
      </c>
    </row>
    <row r="20" ht="14.25" customHeight="1">
      <c r="A20" s="104">
        <v>17.0</v>
      </c>
      <c r="B20" s="106" t="str">
        <f t="shared" ref="B20:C20" si="29">IF(#REF!="","",#REF!)</f>
        <v>#REF!</v>
      </c>
      <c r="C20" s="106" t="str">
        <f t="shared" si="29"/>
        <v>#REF!</v>
      </c>
      <c r="D20" s="109" t="str">
        <f t="array" ref="D20">IF(#REF!="","", INDEX('SO4 Rubric'!$H$4:$ZZ$4, 1, (ROW()-4)*2+1))</f>
        <v>#REF!</v>
      </c>
      <c r="E20" s="110" t="str">
        <f t="array" ref="E20">IF(#REF!="","", INDEX('SO4 Rubric'!$H$8:$ZZ$8, 1, (ROW()-4)*2+1))</f>
        <v>#REF!</v>
      </c>
      <c r="F20" s="111" t="str">
        <f t="shared" si="3"/>
        <v>#REF!</v>
      </c>
      <c r="G20" s="110" t="str">
        <f>IF(F20=""," ",VLOOKUP(F20,'Lookup Tables'!$D$9:$E$12,2))</f>
        <v>#REF!</v>
      </c>
      <c r="H20" s="91" t="str">
        <f t="shared" ref="H20:K20" si="30">IF(ISBLANK(#REF!),"",IFERROR(ROUND(3*(#REF!/#REF!),0),""))</f>
        <v/>
      </c>
      <c r="I20" s="91" t="str">
        <f t="shared" si="30"/>
        <v/>
      </c>
      <c r="J20" s="91" t="str">
        <f t="shared" si="30"/>
        <v/>
      </c>
      <c r="K20" s="91" t="str">
        <f t="shared" si="30"/>
        <v/>
      </c>
      <c r="L20" s="152" t="str">
        <f t="shared" si="13"/>
        <v/>
      </c>
      <c r="M20" s="153" t="str">
        <f t="shared" si="14"/>
        <v/>
      </c>
    </row>
    <row r="21" ht="14.25" customHeight="1">
      <c r="A21" s="104">
        <v>18.0</v>
      </c>
      <c r="B21" s="106" t="str">
        <f t="shared" ref="B21:C21" si="31">IF(#REF!="","",#REF!)</f>
        <v>#REF!</v>
      </c>
      <c r="C21" s="106" t="str">
        <f t="shared" si="31"/>
        <v>#REF!</v>
      </c>
      <c r="D21" s="109" t="str">
        <f t="array" ref="D21">IF(#REF!="","", INDEX('SO4 Rubric'!$H$4:$ZZ$4, 1, (ROW()-4)*2+1))</f>
        <v>#REF!</v>
      </c>
      <c r="E21" s="110" t="str">
        <f t="array" ref="E21">IF(#REF!="","", INDEX('SO4 Rubric'!$H$8:$ZZ$8, 1, (ROW()-4)*2+1))</f>
        <v>#REF!</v>
      </c>
      <c r="F21" s="111" t="str">
        <f t="shared" si="3"/>
        <v>#REF!</v>
      </c>
      <c r="G21" s="110" t="str">
        <f>IF(F21=""," ",VLOOKUP(F21,'Lookup Tables'!$D$9:$E$12,2))</f>
        <v>#REF!</v>
      </c>
      <c r="H21" s="91" t="str">
        <f t="shared" ref="H21:K21" si="32">IF(ISBLANK(#REF!),"",IFERROR(ROUND(3*(#REF!/#REF!),0),""))</f>
        <v/>
      </c>
      <c r="I21" s="91" t="str">
        <f t="shared" si="32"/>
        <v/>
      </c>
      <c r="J21" s="91" t="str">
        <f t="shared" si="32"/>
        <v/>
      </c>
      <c r="K21" s="91" t="str">
        <f t="shared" si="32"/>
        <v/>
      </c>
      <c r="L21" s="152" t="str">
        <f t="shared" si="13"/>
        <v/>
      </c>
      <c r="M21" s="153" t="str">
        <f t="shared" si="14"/>
        <v/>
      </c>
    </row>
    <row r="22" ht="14.25" customHeight="1">
      <c r="A22" s="104">
        <v>19.0</v>
      </c>
      <c r="B22" s="106" t="str">
        <f t="shared" ref="B22:C22" si="33">IF(#REF!="","",#REF!)</f>
        <v>#REF!</v>
      </c>
      <c r="C22" s="106" t="str">
        <f t="shared" si="33"/>
        <v>#REF!</v>
      </c>
      <c r="D22" s="109" t="str">
        <f t="array" ref="D22">IF(#REF!="","", INDEX('SO4 Rubric'!$H$4:$ZZ$4, 1, (ROW()-4)*2+1))</f>
        <v>#REF!</v>
      </c>
      <c r="E22" s="110" t="str">
        <f t="array" ref="E22">IF(#REF!="","", INDEX('SO4 Rubric'!$H$8:$ZZ$8, 1, (ROW()-4)*2+1))</f>
        <v>#REF!</v>
      </c>
      <c r="F22" s="111" t="str">
        <f t="shared" si="3"/>
        <v>#REF!</v>
      </c>
      <c r="G22" s="110" t="str">
        <f>IF(F22=""," ",VLOOKUP(F22,'Lookup Tables'!$D$9:$E$12,2))</f>
        <v>#REF!</v>
      </c>
      <c r="H22" s="91" t="str">
        <f t="shared" ref="H22:K22" si="34">IF(ISBLANK(#REF!),"",IFERROR(ROUND(3*(#REF!/#REF!),0),""))</f>
        <v/>
      </c>
      <c r="I22" s="91" t="str">
        <f t="shared" si="34"/>
        <v/>
      </c>
      <c r="J22" s="91" t="str">
        <f t="shared" si="34"/>
        <v/>
      </c>
      <c r="K22" s="91" t="str">
        <f t="shared" si="34"/>
        <v/>
      </c>
      <c r="L22" s="152" t="str">
        <f t="shared" si="13"/>
        <v/>
      </c>
      <c r="M22" s="153" t="str">
        <f t="shared" si="14"/>
        <v/>
      </c>
    </row>
    <row r="23" ht="14.25" customHeight="1">
      <c r="A23" s="104">
        <v>20.0</v>
      </c>
      <c r="B23" s="106" t="str">
        <f t="shared" ref="B23:C23" si="35">IF(#REF!="","",#REF!)</f>
        <v>#REF!</v>
      </c>
      <c r="C23" s="106" t="str">
        <f t="shared" si="35"/>
        <v>#REF!</v>
      </c>
      <c r="D23" s="109" t="str">
        <f t="array" ref="D23">IF(#REF!="","", INDEX('SO4 Rubric'!$H$4:$ZZ$4, 1, (ROW()-4)*2+1))</f>
        <v>#REF!</v>
      </c>
      <c r="E23" s="110" t="str">
        <f t="array" ref="E23">IF(#REF!="","", INDEX('SO4 Rubric'!$H$8:$ZZ$8, 1, (ROW()-4)*2+1))</f>
        <v>#REF!</v>
      </c>
      <c r="F23" s="111" t="str">
        <f t="shared" si="3"/>
        <v>#REF!</v>
      </c>
      <c r="G23" s="110" t="str">
        <f>IF(F23=""," ",VLOOKUP(F23,'Lookup Tables'!$D$9:$E$12,2))</f>
        <v>#REF!</v>
      </c>
      <c r="H23" s="91" t="str">
        <f t="shared" ref="H23:K23" si="36">IF(ISBLANK(#REF!),"",IFERROR(ROUND(3*(#REF!/#REF!),0),""))</f>
        <v/>
      </c>
      <c r="I23" s="91" t="str">
        <f t="shared" si="36"/>
        <v/>
      </c>
      <c r="J23" s="91" t="str">
        <f t="shared" si="36"/>
        <v/>
      </c>
      <c r="K23" s="91" t="str">
        <f t="shared" si="36"/>
        <v/>
      </c>
      <c r="L23" s="152" t="str">
        <f t="shared" si="13"/>
        <v/>
      </c>
      <c r="M23" s="153" t="str">
        <f t="shared" si="14"/>
        <v/>
      </c>
    </row>
    <row r="24" ht="14.25" customHeight="1">
      <c r="A24" s="182"/>
      <c r="B24" s="173"/>
      <c r="C24" s="173"/>
      <c r="D24" s="183" t="s">
        <v>250</v>
      </c>
      <c r="E24" s="184"/>
      <c r="F24" s="185" t="s">
        <v>79</v>
      </c>
      <c r="G24" s="186" t="s">
        <v>233</v>
      </c>
      <c r="H24" s="187">
        <f>COUNTIF('SO4 Assessment Results'!$G$4:$G$23,G24)</f>
        <v>0</v>
      </c>
      <c r="I24" s="188" t="str">
        <f>IFERROR(TEXT(((H26+H27)/SUM(H24:H27)),"0%"),"")</f>
        <v/>
      </c>
      <c r="J24" s="115"/>
      <c r="K24" s="91"/>
      <c r="L24" s="152"/>
      <c r="M24" s="153"/>
    </row>
    <row r="25" ht="14.25" customHeight="1">
      <c r="A25" s="182"/>
      <c r="B25" s="173"/>
      <c r="C25" s="173"/>
      <c r="D25" s="189" t="s">
        <v>88</v>
      </c>
      <c r="E25" s="189" t="s">
        <v>89</v>
      </c>
      <c r="F25" s="95"/>
      <c r="G25" s="186" t="s">
        <v>235</v>
      </c>
      <c r="H25" s="190">
        <f>COUNTIF('SO4 Assessment Results'!$G$4:$G$23,G25)</f>
        <v>0</v>
      </c>
      <c r="I25" s="191"/>
      <c r="J25" s="192"/>
      <c r="K25" s="91"/>
      <c r="L25" s="152"/>
      <c r="M25" s="153"/>
    </row>
    <row r="26" ht="14.25" customHeight="1">
      <c r="A26" s="91"/>
      <c r="C26" s="193"/>
      <c r="D26" s="194" t="str">
        <f t="shared" ref="D26:E26" si="37">IFERROR(AVERAGE(D4:D20),"")</f>
        <v/>
      </c>
      <c r="E26" s="194" t="str">
        <f t="shared" si="37"/>
        <v/>
      </c>
      <c r="F26" s="95"/>
      <c r="G26" s="186" t="s">
        <v>236</v>
      </c>
      <c r="H26" s="190">
        <f>COUNTIF('SO4 Assessment Results'!$G$4:$G$23,G26)</f>
        <v>0</v>
      </c>
      <c r="I26" s="191"/>
      <c r="J26" s="192"/>
      <c r="K26" s="17" t="str">
        <f>IFERROR(AVERAGE(K11:K23),"")</f>
        <v/>
      </c>
      <c r="L26" s="91"/>
      <c r="M26" s="91"/>
    </row>
    <row r="27" ht="14.25" customHeight="1">
      <c r="A27" s="91"/>
      <c r="C27" s="195"/>
      <c r="D27" s="110" t="str">
        <f t="shared" ref="D27:E27" si="38">IFERROR(TEXT((COUNTIF(D4:D23,2) + COUNTIF(D4:D23,3)) / COUNT(D4:D23),"0%"),"")</f>
        <v/>
      </c>
      <c r="E27" s="110" t="str">
        <f t="shared" si="38"/>
        <v/>
      </c>
      <c r="F27" s="16"/>
      <c r="G27" s="186" t="s">
        <v>238</v>
      </c>
      <c r="H27" s="190">
        <f>COUNTIF('SO4 Assessment Results'!$G$4:$G$23,G27)</f>
        <v>0</v>
      </c>
      <c r="I27" s="196"/>
      <c r="J27" s="197"/>
      <c r="M27" s="91"/>
    </row>
    <row r="28" ht="14.25" customHeight="1">
      <c r="A28" s="91"/>
      <c r="C28" s="195"/>
      <c r="D28" s="91"/>
      <c r="E28" s="91"/>
      <c r="H28" s="91"/>
    </row>
    <row r="29" ht="14.25" customHeight="1">
      <c r="A29" s="91"/>
      <c r="C29" s="195"/>
      <c r="D29" s="91"/>
      <c r="E29" s="91"/>
      <c r="F29" s="91"/>
      <c r="G29" s="91"/>
      <c r="H29" s="91"/>
      <c r="M29" s="91"/>
    </row>
    <row r="30" ht="14.25" customHeight="1">
      <c r="A30" s="91"/>
      <c r="B30" s="198" t="s">
        <v>251</v>
      </c>
      <c r="C30" s="8"/>
      <c r="D30" s="8"/>
      <c r="E30" s="184"/>
      <c r="F30" s="91"/>
      <c r="G30" s="91"/>
      <c r="H30" s="91"/>
      <c r="M30" s="91"/>
    </row>
    <row r="31" ht="14.25" customHeight="1">
      <c r="A31" s="91"/>
      <c r="B31" s="199" t="s">
        <v>252</v>
      </c>
      <c r="C31" s="200"/>
      <c r="D31" s="200"/>
      <c r="E31" s="201"/>
      <c r="F31" s="91"/>
      <c r="G31" s="91"/>
      <c r="H31" s="91"/>
      <c r="M31" s="91"/>
    </row>
    <row r="32" ht="14.25" customHeight="1">
      <c r="B32" s="191"/>
      <c r="E32" s="192"/>
      <c r="F32" s="91"/>
      <c r="G32" s="91"/>
      <c r="H32" s="91"/>
      <c r="M32" s="91"/>
    </row>
    <row r="33" ht="14.25" customHeight="1">
      <c r="A33" s="91"/>
      <c r="B33" s="191"/>
      <c r="E33" s="192"/>
      <c r="F33" s="91"/>
      <c r="G33" s="91"/>
      <c r="H33" s="91"/>
      <c r="M33" s="91"/>
    </row>
    <row r="34" ht="14.25" customHeight="1">
      <c r="A34" s="91"/>
      <c r="B34" s="202"/>
      <c r="C34" s="117"/>
      <c r="D34" s="117"/>
      <c r="E34" s="118"/>
      <c r="F34" s="91"/>
      <c r="G34" s="91"/>
      <c r="H34" s="91"/>
      <c r="M34" s="91"/>
    </row>
    <row r="35" ht="14.25" customHeight="1">
      <c r="A35" s="91"/>
      <c r="F35" s="91"/>
      <c r="G35" s="91"/>
      <c r="H35" s="91"/>
      <c r="M35" s="91"/>
    </row>
    <row r="36" ht="14.25" customHeight="1">
      <c r="A36" s="91"/>
      <c r="F36" s="91"/>
      <c r="G36" s="91"/>
      <c r="H36" s="91"/>
      <c r="M36" s="91"/>
    </row>
    <row r="37" ht="14.25" customHeight="1">
      <c r="A37" s="91"/>
      <c r="F37" s="91"/>
      <c r="G37" s="91"/>
      <c r="H37" s="91"/>
      <c r="M37" s="91"/>
    </row>
    <row r="38" ht="14.25" customHeight="1">
      <c r="A38" s="91"/>
      <c r="F38" s="91"/>
      <c r="G38" s="91"/>
      <c r="H38" s="91"/>
      <c r="M38" s="91"/>
    </row>
    <row r="39" ht="14.25" customHeight="1">
      <c r="A39" s="91"/>
      <c r="F39" s="91"/>
      <c r="G39" s="91"/>
      <c r="H39" s="91"/>
      <c r="M39" s="91"/>
    </row>
    <row r="40" ht="14.25" customHeight="1">
      <c r="A40" s="91"/>
      <c r="F40" s="91"/>
      <c r="G40" s="91"/>
      <c r="H40" s="91"/>
      <c r="M40" s="91"/>
    </row>
    <row r="41" ht="14.25" customHeight="1">
      <c r="A41" s="91"/>
      <c r="F41" s="91"/>
      <c r="G41" s="91"/>
      <c r="H41" s="91"/>
      <c r="M41" s="91"/>
    </row>
    <row r="42" ht="14.25" customHeight="1">
      <c r="A42" s="91"/>
      <c r="F42" s="91"/>
      <c r="G42" s="91"/>
      <c r="H42" s="91"/>
      <c r="M42" s="91"/>
    </row>
    <row r="43" ht="14.25" customHeight="1">
      <c r="A43" s="91"/>
      <c r="F43" s="91"/>
      <c r="G43" s="91"/>
      <c r="H43" s="91"/>
      <c r="M43" s="91"/>
    </row>
    <row r="44" ht="14.25" customHeight="1">
      <c r="A44" s="91"/>
      <c r="F44" s="91"/>
      <c r="G44" s="91"/>
      <c r="H44" s="91"/>
      <c r="M44" s="91"/>
    </row>
    <row r="45" ht="14.25" customHeight="1">
      <c r="A45" s="91"/>
      <c r="F45" s="91"/>
      <c r="G45" s="91"/>
      <c r="H45" s="91"/>
      <c r="M45" s="91"/>
    </row>
    <row r="46" ht="14.25" customHeight="1">
      <c r="A46" s="91"/>
      <c r="F46" s="91"/>
      <c r="G46" s="91"/>
      <c r="H46" s="91"/>
      <c r="M46" s="91"/>
    </row>
    <row r="47" ht="14.25" customHeight="1">
      <c r="A47" s="91"/>
      <c r="F47" s="91"/>
      <c r="G47" s="91"/>
      <c r="H47" s="91"/>
      <c r="M47" s="91"/>
    </row>
    <row r="48" ht="14.25" customHeight="1">
      <c r="A48" s="91"/>
      <c r="F48" s="91"/>
      <c r="G48" s="91"/>
      <c r="H48" s="91"/>
      <c r="M48" s="91"/>
    </row>
    <row r="49" ht="14.25" customHeight="1">
      <c r="A49" s="91"/>
      <c r="F49" s="91"/>
      <c r="G49" s="91"/>
      <c r="H49" s="91"/>
      <c r="M49" s="91"/>
    </row>
    <row r="50" ht="14.25" customHeight="1">
      <c r="A50" s="91"/>
      <c r="F50" s="91"/>
      <c r="G50" s="91"/>
      <c r="H50" s="91"/>
      <c r="M50" s="91"/>
    </row>
    <row r="51" ht="14.25" customHeight="1">
      <c r="A51" s="91"/>
      <c r="F51" s="91"/>
      <c r="G51" s="91"/>
      <c r="H51" s="91"/>
      <c r="M51" s="91"/>
    </row>
    <row r="52" ht="14.25" customHeight="1">
      <c r="A52" s="91"/>
      <c r="F52" s="91"/>
      <c r="G52" s="91"/>
      <c r="H52" s="91"/>
      <c r="M52" s="91"/>
    </row>
    <row r="53" ht="14.25" customHeight="1">
      <c r="A53" s="91"/>
      <c r="F53" s="91"/>
      <c r="G53" s="91"/>
      <c r="H53" s="91"/>
      <c r="M53" s="91"/>
    </row>
    <row r="54" ht="14.25" customHeight="1">
      <c r="A54" s="91"/>
      <c r="F54" s="91"/>
      <c r="G54" s="91"/>
      <c r="H54" s="91"/>
      <c r="M54" s="91"/>
    </row>
    <row r="55" ht="14.25" customHeight="1">
      <c r="A55" s="91"/>
      <c r="F55" s="91"/>
      <c r="G55" s="91"/>
      <c r="H55" s="91"/>
      <c r="M55" s="91"/>
    </row>
    <row r="56" ht="14.25" customHeight="1">
      <c r="A56" s="91"/>
      <c r="F56" s="91"/>
      <c r="G56" s="91"/>
      <c r="H56" s="91"/>
      <c r="M56" s="91"/>
    </row>
    <row r="57" ht="14.25" customHeight="1">
      <c r="A57" s="91"/>
      <c r="F57" s="91"/>
      <c r="G57" s="91"/>
      <c r="H57" s="91"/>
      <c r="M57" s="91"/>
    </row>
    <row r="58" ht="14.25" customHeight="1">
      <c r="A58" s="91"/>
      <c r="F58" s="91"/>
      <c r="G58" s="91"/>
      <c r="H58" s="91"/>
      <c r="M58" s="91"/>
    </row>
    <row r="59" ht="14.25" customHeight="1">
      <c r="A59" s="91"/>
      <c r="F59" s="91"/>
      <c r="G59" s="91"/>
      <c r="H59" s="91"/>
      <c r="M59" s="91"/>
    </row>
    <row r="60" ht="14.25" customHeight="1">
      <c r="A60" s="91"/>
      <c r="F60" s="91"/>
      <c r="G60" s="91"/>
      <c r="H60" s="91"/>
      <c r="M60" s="91"/>
    </row>
    <row r="61" ht="14.25" customHeight="1">
      <c r="A61" s="91"/>
      <c r="F61" s="91"/>
      <c r="G61" s="91"/>
      <c r="H61" s="91"/>
      <c r="M61" s="91"/>
    </row>
    <row r="62" ht="14.25" customHeight="1">
      <c r="A62" s="91"/>
      <c r="F62" s="91"/>
      <c r="G62" s="91"/>
      <c r="H62" s="91"/>
      <c r="M62" s="91"/>
    </row>
    <row r="63" ht="14.25" customHeight="1">
      <c r="A63" s="91"/>
      <c r="F63" s="91"/>
      <c r="G63" s="91"/>
      <c r="H63" s="91"/>
      <c r="M63" s="91"/>
    </row>
    <row r="64" ht="14.25" customHeight="1">
      <c r="A64" s="91"/>
      <c r="F64" s="91"/>
      <c r="G64" s="91"/>
      <c r="H64" s="91"/>
      <c r="M64" s="91"/>
    </row>
    <row r="65" ht="14.25" customHeight="1">
      <c r="A65" s="91"/>
      <c r="F65" s="91"/>
      <c r="G65" s="91"/>
      <c r="H65" s="91"/>
      <c r="M65" s="91"/>
    </row>
    <row r="66" ht="14.25" customHeight="1">
      <c r="A66" s="91"/>
      <c r="F66" s="91"/>
      <c r="G66" s="91"/>
      <c r="H66" s="91"/>
      <c r="M66" s="91"/>
    </row>
    <row r="67" ht="14.25" customHeight="1">
      <c r="A67" s="91"/>
      <c r="F67" s="91"/>
      <c r="G67" s="91"/>
      <c r="H67" s="91"/>
      <c r="M67" s="91"/>
    </row>
    <row r="68" ht="14.25" customHeight="1">
      <c r="A68" s="91"/>
      <c r="F68" s="91"/>
      <c r="G68" s="91"/>
      <c r="H68" s="91"/>
      <c r="M68" s="91"/>
    </row>
    <row r="69" ht="14.25" customHeight="1">
      <c r="A69" s="91"/>
      <c r="F69" s="91"/>
      <c r="G69" s="91"/>
      <c r="H69" s="91"/>
      <c r="M69" s="91"/>
    </row>
    <row r="70" ht="14.25" customHeight="1">
      <c r="A70" s="91"/>
      <c r="F70" s="91"/>
      <c r="G70" s="91"/>
      <c r="H70" s="91"/>
      <c r="M70" s="91"/>
    </row>
    <row r="71" ht="14.25" customHeight="1">
      <c r="A71" s="91"/>
      <c r="F71" s="91"/>
      <c r="G71" s="91"/>
      <c r="H71" s="91"/>
      <c r="M71" s="91"/>
    </row>
    <row r="72" ht="14.25" customHeight="1">
      <c r="A72" s="91"/>
      <c r="F72" s="91"/>
      <c r="G72" s="91"/>
      <c r="H72" s="91"/>
      <c r="M72" s="91"/>
    </row>
    <row r="73" ht="14.25" customHeight="1">
      <c r="A73" s="91"/>
      <c r="F73" s="91"/>
      <c r="G73" s="91"/>
      <c r="H73" s="91"/>
      <c r="M73" s="91"/>
    </row>
    <row r="74" ht="14.25" customHeight="1">
      <c r="A74" s="91"/>
      <c r="F74" s="91"/>
      <c r="G74" s="91"/>
      <c r="H74" s="91"/>
      <c r="M74" s="91"/>
    </row>
    <row r="75" ht="14.25" customHeight="1">
      <c r="A75" s="91"/>
      <c r="F75" s="91"/>
      <c r="G75" s="91"/>
      <c r="H75" s="91"/>
      <c r="M75" s="91"/>
    </row>
    <row r="76" ht="14.25" customHeight="1">
      <c r="A76" s="91"/>
      <c r="F76" s="91"/>
      <c r="G76" s="91"/>
      <c r="H76" s="91"/>
      <c r="M76" s="91"/>
    </row>
    <row r="77" ht="14.25" customHeight="1">
      <c r="A77" s="91"/>
      <c r="F77" s="91"/>
      <c r="G77" s="91"/>
      <c r="H77" s="91"/>
      <c r="M77" s="91"/>
    </row>
    <row r="78" ht="14.25" customHeight="1">
      <c r="A78" s="91"/>
      <c r="F78" s="91"/>
      <c r="G78" s="91"/>
      <c r="H78" s="91"/>
      <c r="M78" s="91"/>
    </row>
    <row r="79" ht="14.25" customHeight="1">
      <c r="A79" s="91"/>
      <c r="F79" s="91"/>
      <c r="G79" s="91"/>
      <c r="H79" s="91"/>
      <c r="M79" s="91"/>
    </row>
    <row r="80" ht="14.25" customHeight="1">
      <c r="A80" s="91"/>
      <c r="F80" s="91"/>
      <c r="G80" s="91"/>
      <c r="H80" s="91"/>
      <c r="M80" s="91"/>
    </row>
    <row r="81" ht="14.25" customHeight="1">
      <c r="A81" s="91"/>
      <c r="F81" s="91"/>
      <c r="G81" s="91"/>
      <c r="H81" s="91"/>
      <c r="M81" s="91"/>
    </row>
    <row r="82" ht="14.25" customHeight="1">
      <c r="A82" s="91"/>
      <c r="F82" s="91"/>
      <c r="G82" s="91"/>
      <c r="H82" s="91"/>
      <c r="M82" s="91"/>
    </row>
    <row r="83" ht="14.25" customHeight="1">
      <c r="A83" s="91"/>
      <c r="F83" s="91"/>
      <c r="G83" s="91"/>
      <c r="H83" s="91"/>
      <c r="M83" s="91"/>
    </row>
    <row r="84" ht="14.25" customHeight="1">
      <c r="A84" s="91"/>
      <c r="F84" s="91"/>
      <c r="G84" s="91"/>
      <c r="H84" s="91"/>
      <c r="M84" s="91"/>
    </row>
    <row r="85" ht="14.25" customHeight="1">
      <c r="A85" s="91"/>
      <c r="F85" s="91"/>
      <c r="G85" s="91"/>
      <c r="H85" s="91"/>
      <c r="M85" s="91"/>
    </row>
    <row r="86" ht="14.25" customHeight="1">
      <c r="A86" s="91"/>
      <c r="F86" s="91"/>
      <c r="G86" s="91"/>
      <c r="H86" s="91"/>
      <c r="M86" s="91"/>
    </row>
    <row r="87" ht="14.25" customHeight="1">
      <c r="A87" s="91"/>
      <c r="F87" s="91"/>
      <c r="G87" s="91"/>
      <c r="H87" s="91"/>
      <c r="M87" s="91"/>
    </row>
    <row r="88" ht="14.25" customHeight="1">
      <c r="A88" s="91"/>
      <c r="F88" s="91"/>
      <c r="G88" s="91"/>
      <c r="H88" s="91"/>
      <c r="M88" s="91"/>
    </row>
    <row r="89" ht="14.25" customHeight="1">
      <c r="A89" s="91"/>
      <c r="F89" s="91"/>
      <c r="G89" s="91"/>
      <c r="H89" s="91"/>
      <c r="M89" s="91"/>
    </row>
    <row r="90" ht="14.25" customHeight="1">
      <c r="A90" s="91"/>
      <c r="F90" s="91"/>
      <c r="G90" s="91"/>
      <c r="H90" s="91"/>
      <c r="M90" s="91"/>
    </row>
    <row r="91" ht="14.25" customHeight="1">
      <c r="A91" s="91"/>
      <c r="F91" s="91"/>
      <c r="G91" s="91"/>
      <c r="H91" s="91"/>
      <c r="M91" s="91"/>
    </row>
    <row r="92" ht="14.25" customHeight="1">
      <c r="A92" s="91"/>
      <c r="F92" s="91"/>
      <c r="G92" s="91"/>
      <c r="H92" s="91"/>
      <c r="M92" s="91"/>
    </row>
    <row r="93" ht="14.25" customHeight="1">
      <c r="A93" s="91"/>
      <c r="F93" s="91"/>
      <c r="G93" s="91"/>
      <c r="H93" s="91"/>
      <c r="M93" s="91"/>
    </row>
    <row r="94" ht="14.25" customHeight="1">
      <c r="A94" s="91"/>
      <c r="F94" s="91"/>
      <c r="G94" s="91"/>
      <c r="H94" s="91"/>
      <c r="M94" s="91"/>
    </row>
    <row r="95" ht="14.25" customHeight="1">
      <c r="A95" s="91"/>
      <c r="F95" s="91"/>
      <c r="G95" s="91"/>
      <c r="H95" s="91"/>
      <c r="M95" s="91"/>
    </row>
    <row r="96" ht="14.25" customHeight="1">
      <c r="A96" s="91"/>
      <c r="F96" s="91"/>
      <c r="G96" s="91"/>
      <c r="H96" s="91"/>
      <c r="M96" s="91"/>
    </row>
    <row r="97" ht="14.25" customHeight="1">
      <c r="A97" s="91"/>
      <c r="F97" s="91"/>
      <c r="G97" s="91"/>
      <c r="H97" s="91"/>
      <c r="M97" s="91"/>
    </row>
    <row r="98" ht="14.25" customHeight="1">
      <c r="A98" s="91"/>
      <c r="F98" s="91"/>
      <c r="G98" s="91"/>
      <c r="H98" s="91"/>
      <c r="M98" s="91"/>
    </row>
    <row r="99" ht="14.25" customHeight="1">
      <c r="A99" s="91"/>
      <c r="F99" s="91"/>
      <c r="G99" s="91"/>
      <c r="H99" s="91"/>
      <c r="M99" s="91"/>
    </row>
    <row r="100" ht="14.25" customHeight="1">
      <c r="A100" s="91"/>
      <c r="F100" s="91"/>
      <c r="G100" s="91"/>
      <c r="H100" s="91"/>
      <c r="M100" s="91"/>
    </row>
    <row r="101" ht="14.25" customHeight="1">
      <c r="A101" s="91"/>
      <c r="F101" s="91"/>
      <c r="G101" s="91"/>
      <c r="H101" s="91"/>
      <c r="M101" s="91"/>
    </row>
    <row r="102" ht="14.25" customHeight="1">
      <c r="A102" s="91"/>
      <c r="F102" s="91"/>
      <c r="G102" s="91"/>
      <c r="H102" s="91"/>
      <c r="M102" s="91"/>
    </row>
    <row r="103" ht="14.25" customHeight="1">
      <c r="A103" s="91"/>
      <c r="F103" s="91"/>
      <c r="G103" s="91"/>
      <c r="H103" s="91"/>
      <c r="M103" s="91"/>
    </row>
    <row r="104" ht="14.25" customHeight="1">
      <c r="A104" s="91"/>
      <c r="F104" s="91"/>
      <c r="G104" s="91"/>
      <c r="H104" s="91"/>
      <c r="M104" s="91"/>
    </row>
    <row r="105" ht="14.25" customHeight="1">
      <c r="A105" s="91"/>
      <c r="F105" s="91"/>
      <c r="G105" s="91"/>
      <c r="H105" s="91"/>
      <c r="M105" s="91"/>
    </row>
    <row r="106" ht="14.25" customHeight="1">
      <c r="A106" s="91"/>
      <c r="F106" s="91"/>
      <c r="G106" s="91"/>
      <c r="H106" s="91"/>
      <c r="M106" s="91"/>
    </row>
    <row r="107" ht="14.25" customHeight="1">
      <c r="A107" s="91"/>
      <c r="F107" s="91"/>
      <c r="G107" s="91"/>
      <c r="H107" s="91"/>
      <c r="M107" s="91"/>
    </row>
    <row r="108" ht="14.25" customHeight="1">
      <c r="A108" s="91"/>
      <c r="F108" s="91"/>
      <c r="G108" s="91"/>
      <c r="H108" s="91"/>
      <c r="M108" s="91"/>
    </row>
    <row r="109" ht="14.25" customHeight="1">
      <c r="A109" s="91"/>
      <c r="F109" s="91"/>
      <c r="G109" s="91"/>
      <c r="H109" s="91"/>
      <c r="M109" s="91"/>
    </row>
    <row r="110" ht="14.25" customHeight="1">
      <c r="A110" s="91"/>
      <c r="F110" s="91"/>
      <c r="G110" s="91"/>
      <c r="H110" s="91"/>
      <c r="M110" s="91"/>
    </row>
    <row r="111" ht="14.25" customHeight="1">
      <c r="A111" s="91"/>
      <c r="F111" s="91"/>
      <c r="G111" s="91"/>
      <c r="H111" s="91"/>
      <c r="M111" s="91"/>
    </row>
    <row r="112" ht="14.25" customHeight="1">
      <c r="A112" s="91"/>
      <c r="F112" s="91"/>
      <c r="G112" s="91"/>
      <c r="H112" s="91"/>
      <c r="M112" s="91"/>
    </row>
    <row r="113" ht="14.25" customHeight="1">
      <c r="A113" s="91"/>
      <c r="F113" s="91"/>
      <c r="G113" s="91"/>
      <c r="H113" s="91"/>
      <c r="M113" s="91"/>
    </row>
    <row r="114" ht="14.25" customHeight="1">
      <c r="A114" s="91"/>
      <c r="F114" s="91"/>
      <c r="G114" s="91"/>
      <c r="H114" s="91"/>
      <c r="M114" s="91"/>
    </row>
    <row r="115" ht="14.25" customHeight="1">
      <c r="A115" s="91"/>
      <c r="F115" s="91"/>
      <c r="G115" s="91"/>
      <c r="H115" s="91"/>
      <c r="M115" s="91"/>
    </row>
    <row r="116" ht="14.25" customHeight="1">
      <c r="A116" s="91"/>
      <c r="F116" s="91"/>
      <c r="G116" s="91"/>
      <c r="H116" s="91"/>
      <c r="M116" s="91"/>
    </row>
    <row r="117" ht="14.25" customHeight="1">
      <c r="A117" s="91"/>
      <c r="F117" s="91"/>
      <c r="G117" s="91"/>
      <c r="H117" s="91"/>
      <c r="M117" s="91"/>
    </row>
    <row r="118" ht="14.25" customHeight="1">
      <c r="A118" s="91"/>
      <c r="F118" s="91"/>
      <c r="G118" s="91"/>
      <c r="H118" s="91"/>
      <c r="M118" s="91"/>
    </row>
    <row r="119" ht="14.25" customHeight="1">
      <c r="A119" s="91"/>
      <c r="F119" s="91"/>
      <c r="G119" s="91"/>
      <c r="H119" s="91"/>
      <c r="M119" s="91"/>
    </row>
    <row r="120" ht="14.25" customHeight="1">
      <c r="A120" s="91"/>
      <c r="F120" s="91"/>
      <c r="G120" s="91"/>
      <c r="H120" s="91"/>
      <c r="M120" s="91"/>
    </row>
    <row r="121" ht="14.25" customHeight="1">
      <c r="A121" s="91"/>
      <c r="F121" s="91"/>
      <c r="G121" s="91"/>
      <c r="H121" s="91"/>
      <c r="M121" s="91"/>
    </row>
    <row r="122" ht="14.25" customHeight="1">
      <c r="A122" s="91"/>
      <c r="F122" s="91"/>
      <c r="G122" s="91"/>
      <c r="H122" s="91"/>
      <c r="M122" s="91"/>
    </row>
    <row r="123" ht="14.25" customHeight="1">
      <c r="A123" s="91"/>
      <c r="F123" s="91"/>
      <c r="G123" s="91"/>
      <c r="H123" s="91"/>
      <c r="M123" s="91"/>
    </row>
    <row r="124" ht="14.25" customHeight="1">
      <c r="A124" s="91"/>
      <c r="F124" s="91"/>
      <c r="G124" s="91"/>
      <c r="H124" s="91"/>
      <c r="M124" s="91"/>
    </row>
    <row r="125" ht="14.25" customHeight="1">
      <c r="A125" s="91"/>
      <c r="F125" s="91"/>
      <c r="G125" s="91"/>
      <c r="H125" s="91"/>
      <c r="M125" s="91"/>
    </row>
    <row r="126" ht="14.25" customHeight="1">
      <c r="A126" s="91"/>
      <c r="F126" s="91"/>
      <c r="G126" s="91"/>
      <c r="H126" s="91"/>
      <c r="M126" s="91"/>
    </row>
    <row r="127" ht="14.25" customHeight="1">
      <c r="A127" s="91"/>
      <c r="F127" s="91"/>
      <c r="G127" s="91"/>
      <c r="H127" s="91"/>
      <c r="M127" s="91"/>
    </row>
    <row r="128" ht="14.25" customHeight="1">
      <c r="A128" s="91"/>
      <c r="F128" s="91"/>
      <c r="G128" s="91"/>
      <c r="H128" s="91"/>
      <c r="M128" s="91"/>
    </row>
    <row r="129" ht="14.25" customHeight="1">
      <c r="A129" s="91"/>
      <c r="F129" s="91"/>
      <c r="G129" s="91"/>
      <c r="H129" s="91"/>
      <c r="M129" s="91"/>
    </row>
    <row r="130" ht="14.25" customHeight="1">
      <c r="A130" s="91"/>
      <c r="F130" s="91"/>
      <c r="G130" s="91"/>
      <c r="H130" s="91"/>
      <c r="M130" s="91"/>
    </row>
    <row r="131" ht="14.25" customHeight="1">
      <c r="A131" s="91"/>
      <c r="F131" s="91"/>
      <c r="G131" s="91"/>
      <c r="H131" s="91"/>
      <c r="M131" s="91"/>
    </row>
    <row r="132" ht="14.25" customHeight="1">
      <c r="A132" s="91"/>
      <c r="F132" s="91"/>
      <c r="G132" s="91"/>
      <c r="H132" s="91"/>
      <c r="M132" s="91"/>
    </row>
    <row r="133" ht="14.25" customHeight="1">
      <c r="A133" s="91"/>
      <c r="F133" s="91"/>
      <c r="G133" s="91"/>
      <c r="H133" s="91"/>
      <c r="M133" s="91"/>
    </row>
    <row r="134" ht="14.25" customHeight="1">
      <c r="A134" s="91"/>
      <c r="F134" s="91"/>
      <c r="G134" s="91"/>
      <c r="H134" s="91"/>
      <c r="M134" s="91"/>
    </row>
    <row r="135" ht="14.25" customHeight="1">
      <c r="A135" s="91"/>
      <c r="F135" s="91"/>
      <c r="G135" s="91"/>
      <c r="H135" s="91"/>
      <c r="M135" s="91"/>
    </row>
    <row r="136" ht="14.25" customHeight="1">
      <c r="A136" s="91"/>
      <c r="F136" s="91"/>
      <c r="G136" s="91"/>
      <c r="H136" s="91"/>
      <c r="M136" s="91"/>
    </row>
    <row r="137" ht="14.25" customHeight="1">
      <c r="A137" s="91"/>
      <c r="F137" s="91"/>
      <c r="G137" s="91"/>
      <c r="H137" s="91"/>
      <c r="M137" s="91"/>
    </row>
    <row r="138" ht="14.25" customHeight="1">
      <c r="A138" s="91"/>
      <c r="F138" s="91"/>
      <c r="G138" s="91"/>
      <c r="H138" s="91"/>
      <c r="M138" s="91"/>
    </row>
    <row r="139" ht="14.25" customHeight="1">
      <c r="A139" s="91"/>
      <c r="F139" s="91"/>
      <c r="G139" s="91"/>
      <c r="H139" s="91"/>
      <c r="M139" s="91"/>
    </row>
    <row r="140" ht="14.25" customHeight="1">
      <c r="A140" s="91"/>
      <c r="F140" s="91"/>
      <c r="G140" s="91"/>
      <c r="H140" s="91"/>
      <c r="M140" s="91"/>
    </row>
    <row r="141" ht="14.25" customHeight="1">
      <c r="A141" s="91"/>
      <c r="F141" s="91"/>
      <c r="G141" s="91"/>
      <c r="H141" s="91"/>
      <c r="M141" s="91"/>
    </row>
    <row r="142" ht="14.25" customHeight="1">
      <c r="A142" s="91"/>
      <c r="F142" s="91"/>
      <c r="G142" s="91"/>
      <c r="H142" s="91"/>
      <c r="M142" s="91"/>
    </row>
    <row r="143" ht="14.25" customHeight="1">
      <c r="A143" s="91"/>
      <c r="F143" s="91"/>
      <c r="G143" s="91"/>
      <c r="H143" s="91"/>
      <c r="M143" s="91"/>
    </row>
    <row r="144" ht="14.25" customHeight="1">
      <c r="A144" s="91"/>
      <c r="F144" s="91"/>
      <c r="G144" s="91"/>
      <c r="H144" s="91"/>
      <c r="M144" s="91"/>
    </row>
    <row r="145" ht="14.25" customHeight="1">
      <c r="A145" s="91"/>
      <c r="F145" s="91"/>
      <c r="G145" s="91"/>
      <c r="H145" s="91"/>
      <c r="M145" s="91"/>
    </row>
    <row r="146" ht="14.25" customHeight="1">
      <c r="A146" s="91"/>
      <c r="F146" s="91"/>
      <c r="G146" s="91"/>
      <c r="H146" s="91"/>
      <c r="M146" s="91"/>
    </row>
    <row r="147" ht="14.25" customHeight="1">
      <c r="A147" s="91"/>
      <c r="F147" s="91"/>
      <c r="G147" s="91"/>
      <c r="H147" s="91"/>
      <c r="M147" s="91"/>
    </row>
    <row r="148" ht="14.25" customHeight="1">
      <c r="A148" s="91"/>
      <c r="F148" s="91"/>
      <c r="G148" s="91"/>
      <c r="H148" s="91"/>
      <c r="M148" s="91"/>
    </row>
    <row r="149" ht="14.25" customHeight="1">
      <c r="A149" s="91"/>
      <c r="F149" s="91"/>
      <c r="G149" s="91"/>
      <c r="H149" s="91"/>
      <c r="M149" s="91"/>
    </row>
    <row r="150" ht="14.25" customHeight="1">
      <c r="A150" s="91"/>
      <c r="F150" s="91"/>
      <c r="G150" s="91"/>
      <c r="H150" s="91"/>
      <c r="M150" s="91"/>
    </row>
    <row r="151" ht="14.25" customHeight="1">
      <c r="A151" s="91"/>
      <c r="F151" s="91"/>
      <c r="G151" s="91"/>
      <c r="H151" s="91"/>
      <c r="M151" s="91"/>
    </row>
    <row r="152" ht="14.25" customHeight="1">
      <c r="A152" s="91"/>
      <c r="F152" s="91"/>
      <c r="G152" s="91"/>
      <c r="H152" s="91"/>
      <c r="M152" s="91"/>
    </row>
    <row r="153" ht="14.25" customHeight="1">
      <c r="A153" s="91"/>
      <c r="F153" s="91"/>
      <c r="G153" s="91"/>
      <c r="H153" s="91"/>
      <c r="M153" s="91"/>
    </row>
    <row r="154" ht="14.25" customHeight="1">
      <c r="A154" s="91"/>
      <c r="F154" s="91"/>
      <c r="G154" s="91"/>
      <c r="H154" s="91"/>
      <c r="M154" s="91"/>
    </row>
    <row r="155" ht="14.25" customHeight="1">
      <c r="A155" s="91"/>
      <c r="F155" s="91"/>
      <c r="G155" s="91"/>
      <c r="H155" s="91"/>
      <c r="M155" s="91"/>
    </row>
    <row r="156" ht="14.25" customHeight="1">
      <c r="A156" s="91"/>
      <c r="F156" s="91"/>
      <c r="G156" s="91"/>
      <c r="H156" s="91"/>
      <c r="M156" s="91"/>
    </row>
    <row r="157" ht="14.25" customHeight="1">
      <c r="A157" s="91"/>
      <c r="F157" s="91"/>
      <c r="G157" s="91"/>
      <c r="H157" s="91"/>
      <c r="M157" s="91"/>
    </row>
    <row r="158" ht="14.25" customHeight="1">
      <c r="A158" s="91"/>
      <c r="F158" s="91"/>
      <c r="G158" s="91"/>
      <c r="H158" s="91"/>
      <c r="M158" s="91"/>
    </row>
    <row r="159" ht="14.25" customHeight="1">
      <c r="A159" s="91"/>
      <c r="F159" s="91"/>
      <c r="G159" s="91"/>
      <c r="H159" s="91"/>
      <c r="M159" s="91"/>
    </row>
    <row r="160" ht="14.25" customHeight="1">
      <c r="A160" s="91"/>
      <c r="F160" s="91"/>
      <c r="G160" s="91"/>
      <c r="H160" s="91"/>
      <c r="M160" s="91"/>
    </row>
    <row r="161" ht="14.25" customHeight="1">
      <c r="A161" s="91"/>
      <c r="F161" s="91"/>
      <c r="G161" s="91"/>
      <c r="H161" s="91"/>
      <c r="M161" s="91"/>
    </row>
    <row r="162" ht="14.25" customHeight="1">
      <c r="A162" s="91"/>
      <c r="F162" s="91"/>
      <c r="G162" s="91"/>
      <c r="H162" s="91"/>
      <c r="M162" s="91"/>
    </row>
    <row r="163" ht="14.25" customHeight="1">
      <c r="A163" s="91"/>
      <c r="F163" s="91"/>
      <c r="G163" s="91"/>
      <c r="H163" s="91"/>
      <c r="M163" s="91"/>
    </row>
    <row r="164" ht="14.25" customHeight="1">
      <c r="A164" s="91"/>
      <c r="F164" s="91"/>
      <c r="G164" s="91"/>
      <c r="H164" s="91"/>
      <c r="M164" s="91"/>
    </row>
    <row r="165" ht="14.25" customHeight="1">
      <c r="A165" s="91"/>
      <c r="F165" s="91"/>
      <c r="G165" s="91"/>
      <c r="H165" s="91"/>
      <c r="M165" s="91"/>
    </row>
    <row r="166" ht="14.25" customHeight="1">
      <c r="A166" s="91"/>
      <c r="F166" s="91"/>
      <c r="G166" s="91"/>
      <c r="H166" s="91"/>
      <c r="M166" s="91"/>
    </row>
    <row r="167" ht="14.25" customHeight="1">
      <c r="A167" s="91"/>
      <c r="F167" s="91"/>
      <c r="G167" s="91"/>
      <c r="H167" s="91"/>
      <c r="M167" s="91"/>
    </row>
    <row r="168" ht="14.25" customHeight="1">
      <c r="A168" s="91"/>
      <c r="F168" s="91"/>
      <c r="G168" s="91"/>
      <c r="H168" s="91"/>
      <c r="M168" s="91"/>
    </row>
    <row r="169" ht="14.25" customHeight="1">
      <c r="A169" s="91"/>
      <c r="F169" s="91"/>
      <c r="G169" s="91"/>
      <c r="H169" s="91"/>
      <c r="M169" s="91"/>
    </row>
    <row r="170" ht="14.25" customHeight="1">
      <c r="A170" s="91"/>
      <c r="F170" s="91"/>
      <c r="G170" s="91"/>
      <c r="H170" s="91"/>
      <c r="M170" s="91"/>
    </row>
    <row r="171" ht="14.25" customHeight="1">
      <c r="A171" s="91"/>
      <c r="F171" s="91"/>
      <c r="G171" s="91"/>
      <c r="H171" s="91"/>
      <c r="M171" s="91"/>
    </row>
    <row r="172" ht="14.25" customHeight="1">
      <c r="A172" s="91"/>
      <c r="F172" s="91"/>
      <c r="G172" s="91"/>
      <c r="H172" s="91"/>
      <c r="M172" s="91"/>
    </row>
    <row r="173" ht="14.25" customHeight="1">
      <c r="A173" s="91"/>
      <c r="F173" s="91"/>
      <c r="G173" s="91"/>
      <c r="H173" s="91"/>
      <c r="M173" s="91"/>
    </row>
    <row r="174" ht="14.25" customHeight="1">
      <c r="A174" s="91"/>
      <c r="F174" s="91"/>
      <c r="G174" s="91"/>
      <c r="H174" s="91"/>
      <c r="M174" s="91"/>
    </row>
    <row r="175" ht="14.25" customHeight="1">
      <c r="A175" s="91"/>
      <c r="F175" s="91"/>
      <c r="G175" s="91"/>
      <c r="H175" s="91"/>
      <c r="M175" s="91"/>
    </row>
    <row r="176" ht="14.25" customHeight="1">
      <c r="A176" s="91"/>
      <c r="F176" s="91"/>
      <c r="G176" s="91"/>
      <c r="H176" s="91"/>
      <c r="M176" s="91"/>
    </row>
    <row r="177" ht="14.25" customHeight="1">
      <c r="A177" s="91"/>
      <c r="F177" s="91"/>
      <c r="G177" s="91"/>
      <c r="H177" s="91"/>
      <c r="M177" s="91"/>
    </row>
    <row r="178" ht="14.25" customHeight="1">
      <c r="A178" s="91"/>
      <c r="F178" s="91"/>
      <c r="G178" s="91"/>
      <c r="H178" s="91"/>
      <c r="M178" s="91"/>
    </row>
    <row r="179" ht="14.25" customHeight="1">
      <c r="A179" s="91"/>
      <c r="F179" s="91"/>
      <c r="G179" s="91"/>
      <c r="H179" s="91"/>
      <c r="M179" s="91"/>
    </row>
    <row r="180" ht="14.25" customHeight="1">
      <c r="A180" s="91"/>
      <c r="F180" s="91"/>
      <c r="G180" s="91"/>
      <c r="H180" s="91"/>
      <c r="M180" s="91"/>
    </row>
    <row r="181" ht="14.25" customHeight="1">
      <c r="A181" s="91"/>
      <c r="F181" s="91"/>
      <c r="G181" s="91"/>
      <c r="H181" s="91"/>
      <c r="M181" s="91"/>
    </row>
    <row r="182" ht="14.25" customHeight="1">
      <c r="A182" s="91"/>
      <c r="F182" s="91"/>
      <c r="G182" s="91"/>
      <c r="H182" s="91"/>
      <c r="M182" s="91"/>
    </row>
    <row r="183" ht="14.25" customHeight="1">
      <c r="A183" s="91"/>
      <c r="F183" s="91"/>
      <c r="G183" s="91"/>
      <c r="H183" s="91"/>
      <c r="M183" s="91"/>
    </row>
    <row r="184" ht="14.25" customHeight="1">
      <c r="A184" s="91"/>
      <c r="F184" s="91"/>
      <c r="G184" s="91"/>
      <c r="H184" s="91"/>
      <c r="M184" s="91"/>
    </row>
    <row r="185" ht="14.25" customHeight="1">
      <c r="A185" s="91"/>
      <c r="F185" s="91"/>
      <c r="G185" s="91"/>
      <c r="H185" s="91"/>
      <c r="M185" s="91"/>
    </row>
    <row r="186" ht="14.25" customHeight="1">
      <c r="A186" s="91"/>
      <c r="F186" s="91"/>
      <c r="G186" s="91"/>
      <c r="H186" s="91"/>
      <c r="M186" s="91"/>
    </row>
    <row r="187" ht="14.25" customHeight="1">
      <c r="A187" s="91"/>
      <c r="F187" s="91"/>
      <c r="G187" s="91"/>
      <c r="H187" s="91"/>
      <c r="M187" s="91"/>
    </row>
    <row r="188" ht="14.25" customHeight="1">
      <c r="A188" s="91"/>
      <c r="F188" s="91"/>
      <c r="G188" s="91"/>
      <c r="H188" s="91"/>
      <c r="M188" s="91"/>
    </row>
    <row r="189" ht="14.25" customHeight="1">
      <c r="A189" s="91"/>
      <c r="F189" s="91"/>
      <c r="G189" s="91"/>
      <c r="H189" s="91"/>
      <c r="M189" s="91"/>
    </row>
    <row r="190" ht="14.25" customHeight="1">
      <c r="A190" s="91"/>
      <c r="F190" s="91"/>
      <c r="G190" s="91"/>
      <c r="H190" s="91"/>
      <c r="M190" s="91"/>
    </row>
    <row r="191" ht="14.25" customHeight="1">
      <c r="A191" s="91"/>
      <c r="F191" s="91"/>
      <c r="G191" s="91"/>
      <c r="H191" s="91"/>
      <c r="M191" s="91"/>
    </row>
    <row r="192" ht="14.25" customHeight="1">
      <c r="A192" s="91"/>
      <c r="F192" s="91"/>
      <c r="G192" s="91"/>
      <c r="H192" s="91"/>
      <c r="M192" s="91"/>
    </row>
    <row r="193" ht="14.25" customHeight="1">
      <c r="A193" s="91"/>
      <c r="F193" s="91"/>
      <c r="G193" s="91"/>
      <c r="H193" s="91"/>
      <c r="M193" s="91"/>
    </row>
    <row r="194" ht="14.25" customHeight="1">
      <c r="A194" s="91"/>
      <c r="F194" s="91"/>
      <c r="G194" s="91"/>
      <c r="H194" s="91"/>
      <c r="M194" s="91"/>
    </row>
    <row r="195" ht="14.25" customHeight="1">
      <c r="A195" s="91"/>
      <c r="F195" s="91"/>
      <c r="G195" s="91"/>
      <c r="H195" s="91"/>
      <c r="M195" s="91"/>
    </row>
    <row r="196" ht="14.25" customHeight="1">
      <c r="A196" s="91"/>
      <c r="F196" s="91"/>
      <c r="G196" s="91"/>
      <c r="H196" s="91"/>
      <c r="M196" s="91"/>
    </row>
    <row r="197" ht="14.25" customHeight="1">
      <c r="A197" s="91"/>
      <c r="F197" s="91"/>
      <c r="G197" s="91"/>
      <c r="H197" s="91"/>
      <c r="M197" s="91"/>
    </row>
    <row r="198" ht="14.25" customHeight="1">
      <c r="A198" s="91"/>
      <c r="F198" s="91"/>
      <c r="G198" s="91"/>
      <c r="H198" s="91"/>
      <c r="M198" s="91"/>
    </row>
    <row r="199" ht="14.25" customHeight="1">
      <c r="A199" s="91"/>
      <c r="F199" s="91"/>
      <c r="G199" s="91"/>
      <c r="H199" s="91"/>
      <c r="M199" s="91"/>
    </row>
    <row r="200" ht="14.25" customHeight="1">
      <c r="A200" s="91"/>
      <c r="F200" s="91"/>
      <c r="G200" s="91"/>
      <c r="H200" s="91"/>
      <c r="M200" s="91"/>
    </row>
    <row r="201" ht="14.25" customHeight="1">
      <c r="A201" s="91"/>
      <c r="F201" s="91"/>
      <c r="G201" s="91"/>
      <c r="H201" s="91"/>
      <c r="M201" s="91"/>
    </row>
    <row r="202" ht="14.25" customHeight="1">
      <c r="A202" s="91"/>
      <c r="F202" s="91"/>
      <c r="G202" s="91"/>
      <c r="H202" s="91"/>
      <c r="M202" s="91"/>
    </row>
    <row r="203" ht="14.25" customHeight="1">
      <c r="A203" s="91"/>
      <c r="F203" s="91"/>
      <c r="G203" s="91"/>
      <c r="H203" s="91"/>
      <c r="M203" s="91"/>
    </row>
    <row r="204" ht="14.25" customHeight="1">
      <c r="A204" s="91"/>
      <c r="F204" s="91"/>
      <c r="G204" s="91"/>
      <c r="H204" s="91"/>
      <c r="M204" s="91"/>
    </row>
    <row r="205" ht="14.25" customHeight="1">
      <c r="A205" s="91"/>
      <c r="F205" s="91"/>
      <c r="G205" s="91"/>
      <c r="H205" s="91"/>
      <c r="M205" s="91"/>
    </row>
    <row r="206" ht="14.25" customHeight="1">
      <c r="A206" s="91"/>
      <c r="F206" s="91"/>
      <c r="G206" s="91"/>
      <c r="H206" s="91"/>
      <c r="M206" s="91"/>
    </row>
    <row r="207" ht="14.25" customHeight="1">
      <c r="A207" s="91"/>
      <c r="F207" s="91"/>
      <c r="G207" s="91"/>
      <c r="H207" s="91"/>
      <c r="M207" s="91"/>
    </row>
    <row r="208" ht="14.25" customHeight="1">
      <c r="A208" s="91"/>
      <c r="F208" s="91"/>
      <c r="G208" s="91"/>
      <c r="H208" s="91"/>
      <c r="M208" s="91"/>
    </row>
    <row r="209" ht="14.25" customHeight="1">
      <c r="A209" s="91"/>
      <c r="F209" s="91"/>
      <c r="G209" s="91"/>
      <c r="H209" s="91"/>
      <c r="M209" s="91"/>
    </row>
    <row r="210" ht="14.25" customHeight="1">
      <c r="A210" s="91"/>
      <c r="F210" s="91"/>
      <c r="G210" s="91"/>
      <c r="H210" s="91"/>
      <c r="M210" s="91"/>
    </row>
    <row r="211" ht="14.25" customHeight="1">
      <c r="A211" s="91"/>
      <c r="F211" s="91"/>
      <c r="G211" s="91"/>
      <c r="H211" s="91"/>
      <c r="M211" s="91"/>
    </row>
    <row r="212" ht="14.25" customHeight="1">
      <c r="A212" s="91"/>
      <c r="F212" s="91"/>
      <c r="G212" s="91"/>
      <c r="H212" s="91"/>
      <c r="M212" s="91"/>
    </row>
    <row r="213" ht="14.25" customHeight="1">
      <c r="A213" s="91"/>
      <c r="F213" s="91"/>
      <c r="G213" s="91"/>
      <c r="H213" s="91"/>
      <c r="M213" s="91"/>
    </row>
    <row r="214" ht="14.25" customHeight="1">
      <c r="A214" s="91"/>
      <c r="F214" s="91"/>
      <c r="G214" s="91"/>
      <c r="H214" s="91"/>
      <c r="M214" s="91"/>
    </row>
    <row r="215" ht="14.25" customHeight="1">
      <c r="A215" s="91"/>
      <c r="F215" s="91"/>
      <c r="G215" s="91"/>
      <c r="H215" s="91"/>
      <c r="M215" s="91"/>
    </row>
    <row r="216" ht="14.25" customHeight="1">
      <c r="A216" s="91"/>
      <c r="F216" s="91"/>
      <c r="G216" s="91"/>
      <c r="H216" s="91"/>
      <c r="M216" s="91"/>
    </row>
    <row r="217" ht="14.25" customHeight="1">
      <c r="A217" s="91"/>
      <c r="F217" s="91"/>
      <c r="G217" s="91"/>
      <c r="H217" s="91"/>
      <c r="M217" s="91"/>
    </row>
    <row r="218" ht="14.25" customHeight="1">
      <c r="A218" s="91"/>
      <c r="F218" s="91"/>
      <c r="G218" s="91"/>
      <c r="H218" s="91"/>
      <c r="M218" s="91"/>
    </row>
    <row r="219" ht="14.25" customHeight="1">
      <c r="A219" s="91"/>
      <c r="F219" s="91"/>
      <c r="G219" s="91"/>
      <c r="H219" s="91"/>
      <c r="M219" s="91"/>
    </row>
    <row r="220" ht="14.25" customHeight="1">
      <c r="A220" s="91"/>
      <c r="F220" s="91"/>
      <c r="G220" s="91"/>
      <c r="H220" s="91"/>
      <c r="M220" s="91"/>
    </row>
    <row r="221" ht="14.25" customHeight="1">
      <c r="A221" s="91"/>
      <c r="F221" s="91"/>
      <c r="G221" s="91"/>
      <c r="H221" s="91"/>
      <c r="M221" s="91"/>
    </row>
    <row r="222" ht="14.25" customHeight="1">
      <c r="A222" s="91"/>
      <c r="F222" s="91"/>
      <c r="G222" s="91"/>
      <c r="H222" s="91"/>
      <c r="M222" s="91"/>
    </row>
    <row r="223" ht="14.25" customHeight="1">
      <c r="A223" s="91"/>
      <c r="F223" s="91"/>
      <c r="G223" s="91"/>
      <c r="H223" s="91"/>
      <c r="M223" s="91"/>
    </row>
    <row r="224" ht="14.25" customHeight="1">
      <c r="A224" s="91"/>
      <c r="F224" s="91"/>
      <c r="G224" s="91"/>
      <c r="H224" s="91"/>
      <c r="M224" s="91"/>
    </row>
    <row r="225" ht="14.25" customHeight="1">
      <c r="A225" s="91"/>
      <c r="F225" s="91"/>
      <c r="G225" s="91"/>
      <c r="H225" s="91"/>
      <c r="M225" s="91"/>
    </row>
    <row r="226" ht="14.25" customHeight="1">
      <c r="A226" s="91"/>
      <c r="F226" s="91"/>
      <c r="G226" s="91"/>
      <c r="H226" s="91"/>
      <c r="M226" s="91"/>
    </row>
    <row r="227" ht="14.25" customHeight="1">
      <c r="A227" s="91"/>
      <c r="F227" s="91"/>
      <c r="G227" s="91"/>
      <c r="H227" s="91"/>
      <c r="M227" s="91"/>
    </row>
    <row r="228" ht="14.25" customHeight="1">
      <c r="A228" s="91"/>
      <c r="F228" s="91"/>
      <c r="G228" s="91"/>
      <c r="H228" s="91"/>
      <c r="M228" s="91"/>
    </row>
    <row r="229" ht="14.25" customHeight="1">
      <c r="A229" s="91"/>
      <c r="F229" s="91"/>
      <c r="G229" s="91"/>
      <c r="H229" s="91"/>
      <c r="M229" s="91"/>
    </row>
    <row r="230" ht="14.25" customHeight="1">
      <c r="A230" s="91"/>
      <c r="F230" s="91"/>
      <c r="G230" s="91"/>
      <c r="H230" s="91"/>
      <c r="M230" s="91"/>
    </row>
    <row r="231" ht="14.25" customHeight="1">
      <c r="A231" s="91"/>
      <c r="F231" s="91"/>
      <c r="G231" s="91"/>
      <c r="H231" s="91"/>
      <c r="M231" s="9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24:E24"/>
    <mergeCell ref="F24:F27"/>
    <mergeCell ref="I24:J27"/>
    <mergeCell ref="B30:E30"/>
    <mergeCell ref="B31:E34"/>
    <mergeCell ref="A2:A3"/>
    <mergeCell ref="B2:B3"/>
    <mergeCell ref="C2:C3"/>
    <mergeCell ref="F2:F3"/>
    <mergeCell ref="G2:G3"/>
    <mergeCell ref="J2:L2"/>
    <mergeCell ref="J3:L3"/>
  </mergeCells>
  <dataValidations>
    <dataValidation type="list" allowBlank="1" showInputMessage="1" showErrorMessage="1" prompt="Invalid - Invalid" sqref="D3:E3">
      <formula1>'Lookup Tables'!$C$9:$C$10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8.71"/>
    <col customWidth="1" min="3" max="3" width="14.71"/>
    <col customWidth="1" min="4" max="26" width="8.71"/>
  </cols>
  <sheetData>
    <row r="1" ht="14.25" customHeight="1">
      <c r="A1" s="113" t="s">
        <v>106</v>
      </c>
      <c r="B1" s="114"/>
      <c r="C1" s="114"/>
      <c r="D1" s="114"/>
      <c r="E1" s="114"/>
      <c r="F1" s="114"/>
      <c r="G1" s="114"/>
      <c r="H1" s="114"/>
      <c r="I1" s="114"/>
      <c r="J1" s="114"/>
      <c r="K1" s="114"/>
      <c r="L1" s="114"/>
      <c r="M1" s="114"/>
      <c r="N1" s="114"/>
      <c r="O1" s="114"/>
      <c r="P1" s="114"/>
      <c r="Q1" s="114"/>
      <c r="R1" s="114"/>
      <c r="S1" s="114"/>
      <c r="T1" s="114"/>
      <c r="U1" s="114"/>
      <c r="V1" s="114"/>
      <c r="W1" s="115"/>
    </row>
    <row r="2" ht="14.25" customHeight="1">
      <c r="A2" s="116"/>
      <c r="B2" s="117"/>
      <c r="C2" s="117"/>
      <c r="D2" s="117"/>
      <c r="E2" s="117"/>
      <c r="F2" s="117"/>
      <c r="G2" s="117"/>
      <c r="H2" s="117"/>
      <c r="I2" s="117"/>
      <c r="J2" s="117"/>
      <c r="K2" s="117"/>
      <c r="L2" s="117"/>
      <c r="M2" s="117"/>
      <c r="N2" s="117"/>
      <c r="O2" s="117"/>
      <c r="P2" s="117"/>
      <c r="Q2" s="117"/>
      <c r="R2" s="117"/>
      <c r="S2" s="117"/>
      <c r="T2" s="117"/>
      <c r="U2" s="117"/>
      <c r="V2" s="117"/>
      <c r="W2" s="118"/>
    </row>
    <row r="3" ht="14.25" customHeight="1">
      <c r="A3" s="119" t="s">
        <v>107</v>
      </c>
      <c r="B3" s="120" t="s">
        <v>108</v>
      </c>
      <c r="C3" s="32"/>
      <c r="D3" s="120" t="s">
        <v>109</v>
      </c>
      <c r="E3" s="29"/>
      <c r="F3" s="29"/>
      <c r="G3" s="29"/>
      <c r="H3" s="29"/>
      <c r="I3" s="29"/>
      <c r="J3" s="29"/>
      <c r="K3" s="29"/>
      <c r="L3" s="29"/>
      <c r="M3" s="32"/>
      <c r="N3" s="120" t="s">
        <v>110</v>
      </c>
      <c r="O3" s="29"/>
      <c r="P3" s="29"/>
      <c r="Q3" s="29"/>
      <c r="R3" s="29"/>
      <c r="S3" s="29"/>
      <c r="T3" s="29"/>
      <c r="U3" s="29"/>
      <c r="V3" s="29"/>
      <c r="W3" s="32"/>
    </row>
    <row r="4" ht="43.5" customHeight="1">
      <c r="A4" s="121" t="str">
        <f t="shared" ref="A4:A15" si="1">#REF!</f>
        <v>#REF!</v>
      </c>
      <c r="B4" s="122" t="str">
        <f t="shared" ref="B4:B15" si="2">IF(#REF!=0,"",#REF! &amp; " - " &amp;#REF!)</f>
        <v>#REF!</v>
      </c>
      <c r="C4" s="123"/>
      <c r="D4" s="124"/>
      <c r="E4" s="125"/>
      <c r="F4" s="125"/>
      <c r="G4" s="125"/>
      <c r="H4" s="125"/>
      <c r="I4" s="125"/>
      <c r="J4" s="125"/>
      <c r="K4" s="125"/>
      <c r="L4" s="125"/>
      <c r="M4" s="123"/>
      <c r="N4" s="124"/>
      <c r="O4" s="125"/>
      <c r="P4" s="125"/>
      <c r="Q4" s="125"/>
      <c r="R4" s="125"/>
      <c r="S4" s="125"/>
      <c r="T4" s="125"/>
      <c r="U4" s="125"/>
      <c r="V4" s="125"/>
      <c r="W4" s="123"/>
    </row>
    <row r="5" ht="43.5" customHeight="1">
      <c r="A5" s="126" t="str">
        <f t="shared" si="1"/>
        <v>#REF!</v>
      </c>
      <c r="B5" s="127" t="str">
        <f t="shared" si="2"/>
        <v>#REF!</v>
      </c>
      <c r="C5" s="128"/>
      <c r="D5" s="129"/>
      <c r="E5" s="8"/>
      <c r="F5" s="8"/>
      <c r="G5" s="8"/>
      <c r="H5" s="8"/>
      <c r="I5" s="8"/>
      <c r="J5" s="8"/>
      <c r="K5" s="8"/>
      <c r="L5" s="8"/>
      <c r="M5" s="128"/>
      <c r="N5" s="129"/>
      <c r="O5" s="8"/>
      <c r="P5" s="8"/>
      <c r="Q5" s="8"/>
      <c r="R5" s="8"/>
      <c r="S5" s="8"/>
      <c r="T5" s="8"/>
      <c r="U5" s="8"/>
      <c r="V5" s="8"/>
      <c r="W5" s="128"/>
    </row>
    <row r="6" ht="43.5" customHeight="1">
      <c r="A6" s="126" t="str">
        <f t="shared" si="1"/>
        <v>#REF!</v>
      </c>
      <c r="B6" s="127" t="str">
        <f t="shared" si="2"/>
        <v>#REF!</v>
      </c>
      <c r="C6" s="128"/>
      <c r="D6" s="129"/>
      <c r="E6" s="8"/>
      <c r="F6" s="8"/>
      <c r="G6" s="8"/>
      <c r="H6" s="8"/>
      <c r="I6" s="8"/>
      <c r="J6" s="8"/>
      <c r="K6" s="8"/>
      <c r="L6" s="8"/>
      <c r="M6" s="128"/>
      <c r="N6" s="129"/>
      <c r="O6" s="8"/>
      <c r="P6" s="8"/>
      <c r="Q6" s="8"/>
      <c r="R6" s="8"/>
      <c r="S6" s="8"/>
      <c r="T6" s="8"/>
      <c r="U6" s="8"/>
      <c r="V6" s="8"/>
      <c r="W6" s="128"/>
    </row>
    <row r="7" ht="43.5" customHeight="1">
      <c r="A7" s="130" t="str">
        <f t="shared" si="1"/>
        <v>#REF!</v>
      </c>
      <c r="B7" s="131" t="str">
        <f t="shared" si="2"/>
        <v>#REF!</v>
      </c>
      <c r="C7" s="132"/>
      <c r="D7" s="133"/>
      <c r="E7" s="134"/>
      <c r="F7" s="134"/>
      <c r="G7" s="134"/>
      <c r="H7" s="134"/>
      <c r="I7" s="134"/>
      <c r="J7" s="134"/>
      <c r="K7" s="134"/>
      <c r="L7" s="134"/>
      <c r="M7" s="135"/>
      <c r="N7" s="133"/>
      <c r="O7" s="134"/>
      <c r="P7" s="134"/>
      <c r="Q7" s="134"/>
      <c r="R7" s="134"/>
      <c r="S7" s="134"/>
      <c r="T7" s="134"/>
      <c r="U7" s="134"/>
      <c r="V7" s="134"/>
      <c r="W7" s="135"/>
    </row>
    <row r="8" ht="43.5" customHeight="1">
      <c r="A8" s="121" t="str">
        <f t="shared" si="1"/>
        <v>#REF!</v>
      </c>
      <c r="B8" s="122" t="str">
        <f t="shared" si="2"/>
        <v>#REF!</v>
      </c>
      <c r="C8" s="123"/>
      <c r="D8" s="124"/>
      <c r="E8" s="125"/>
      <c r="F8" s="125"/>
      <c r="G8" s="125"/>
      <c r="H8" s="125"/>
      <c r="I8" s="125"/>
      <c r="J8" s="125"/>
      <c r="K8" s="125"/>
      <c r="L8" s="125"/>
      <c r="M8" s="123"/>
      <c r="N8" s="124"/>
      <c r="O8" s="125"/>
      <c r="P8" s="125"/>
      <c r="Q8" s="125"/>
      <c r="R8" s="125"/>
      <c r="S8" s="125"/>
      <c r="T8" s="125"/>
      <c r="U8" s="125"/>
      <c r="V8" s="125"/>
      <c r="W8" s="123"/>
    </row>
    <row r="9" ht="43.5" customHeight="1">
      <c r="A9" s="126" t="str">
        <f t="shared" si="1"/>
        <v>#REF!</v>
      </c>
      <c r="B9" s="127" t="str">
        <f t="shared" si="2"/>
        <v>#REF!</v>
      </c>
      <c r="C9" s="128"/>
      <c r="D9" s="136"/>
      <c r="E9" s="8"/>
      <c r="F9" s="8"/>
      <c r="G9" s="8"/>
      <c r="H9" s="8"/>
      <c r="I9" s="8"/>
      <c r="J9" s="8"/>
      <c r="K9" s="8"/>
      <c r="L9" s="8"/>
      <c r="M9" s="128"/>
      <c r="N9" s="136"/>
      <c r="O9" s="8"/>
      <c r="P9" s="8"/>
      <c r="Q9" s="8"/>
      <c r="R9" s="8"/>
      <c r="S9" s="8"/>
      <c r="T9" s="8"/>
      <c r="U9" s="8"/>
      <c r="V9" s="8"/>
      <c r="W9" s="128"/>
    </row>
    <row r="10" ht="43.5" customHeight="1">
      <c r="A10" s="126" t="str">
        <f t="shared" si="1"/>
        <v>#REF!</v>
      </c>
      <c r="B10" s="127" t="str">
        <f t="shared" si="2"/>
        <v>#REF!</v>
      </c>
      <c r="C10" s="128"/>
      <c r="D10" s="136"/>
      <c r="E10" s="8"/>
      <c r="F10" s="8"/>
      <c r="G10" s="8"/>
      <c r="H10" s="8"/>
      <c r="I10" s="8"/>
      <c r="J10" s="8"/>
      <c r="K10" s="8"/>
      <c r="L10" s="8"/>
      <c r="M10" s="128"/>
      <c r="N10" s="136"/>
      <c r="O10" s="8"/>
      <c r="P10" s="8"/>
      <c r="Q10" s="8"/>
      <c r="R10" s="8"/>
      <c r="S10" s="8"/>
      <c r="T10" s="8"/>
      <c r="U10" s="8"/>
      <c r="V10" s="8"/>
      <c r="W10" s="128"/>
    </row>
    <row r="11" ht="43.5" customHeight="1">
      <c r="A11" s="130" t="str">
        <f t="shared" si="1"/>
        <v>#REF!</v>
      </c>
      <c r="B11" s="131" t="str">
        <f t="shared" si="2"/>
        <v>#REF!</v>
      </c>
      <c r="C11" s="132"/>
      <c r="D11" s="133"/>
      <c r="E11" s="134"/>
      <c r="F11" s="134"/>
      <c r="G11" s="134"/>
      <c r="H11" s="134"/>
      <c r="I11" s="134"/>
      <c r="J11" s="134"/>
      <c r="K11" s="134"/>
      <c r="L11" s="134"/>
      <c r="M11" s="135"/>
      <c r="N11" s="133"/>
      <c r="O11" s="134"/>
      <c r="P11" s="134"/>
      <c r="Q11" s="134"/>
      <c r="R11" s="134"/>
      <c r="S11" s="134"/>
      <c r="T11" s="134"/>
      <c r="U11" s="134"/>
      <c r="V11" s="134"/>
      <c r="W11" s="135"/>
    </row>
    <row r="12" ht="43.5" customHeight="1">
      <c r="A12" s="121" t="str">
        <f t="shared" si="1"/>
        <v>#REF!</v>
      </c>
      <c r="B12" s="122" t="str">
        <f t="shared" si="2"/>
        <v>#REF!</v>
      </c>
      <c r="C12" s="123"/>
      <c r="D12" s="124"/>
      <c r="E12" s="125"/>
      <c r="F12" s="125"/>
      <c r="G12" s="125"/>
      <c r="H12" s="125"/>
      <c r="I12" s="125"/>
      <c r="J12" s="125"/>
      <c r="K12" s="125"/>
      <c r="L12" s="125"/>
      <c r="M12" s="123"/>
      <c r="N12" s="124"/>
      <c r="O12" s="125"/>
      <c r="P12" s="125"/>
      <c r="Q12" s="125"/>
      <c r="R12" s="125"/>
      <c r="S12" s="125"/>
      <c r="T12" s="125"/>
      <c r="U12" s="125"/>
      <c r="V12" s="125"/>
      <c r="W12" s="123"/>
    </row>
    <row r="13" ht="43.5" customHeight="1">
      <c r="A13" s="126" t="str">
        <f t="shared" si="1"/>
        <v>#REF!</v>
      </c>
      <c r="B13" s="127" t="str">
        <f t="shared" si="2"/>
        <v>#REF!</v>
      </c>
      <c r="C13" s="128"/>
      <c r="D13" s="129"/>
      <c r="E13" s="8"/>
      <c r="F13" s="8"/>
      <c r="G13" s="8"/>
      <c r="H13" s="8"/>
      <c r="I13" s="8"/>
      <c r="J13" s="8"/>
      <c r="K13" s="8"/>
      <c r="L13" s="8"/>
      <c r="M13" s="128"/>
      <c r="N13" s="129"/>
      <c r="O13" s="8"/>
      <c r="P13" s="8"/>
      <c r="Q13" s="8"/>
      <c r="R13" s="8"/>
      <c r="S13" s="8"/>
      <c r="T13" s="8"/>
      <c r="U13" s="8"/>
      <c r="V13" s="8"/>
      <c r="W13" s="128"/>
    </row>
    <row r="14" ht="43.5" customHeight="1">
      <c r="A14" s="126" t="str">
        <f t="shared" si="1"/>
        <v>#REF!</v>
      </c>
      <c r="B14" s="127" t="str">
        <f t="shared" si="2"/>
        <v>#REF!</v>
      </c>
      <c r="C14" s="128"/>
      <c r="D14" s="129"/>
      <c r="E14" s="8"/>
      <c r="F14" s="8"/>
      <c r="G14" s="8"/>
      <c r="H14" s="8"/>
      <c r="I14" s="8"/>
      <c r="J14" s="8"/>
      <c r="K14" s="8"/>
      <c r="L14" s="8"/>
      <c r="M14" s="128"/>
      <c r="N14" s="129"/>
      <c r="O14" s="8"/>
      <c r="P14" s="8"/>
      <c r="Q14" s="8"/>
      <c r="R14" s="8"/>
      <c r="S14" s="8"/>
      <c r="T14" s="8"/>
      <c r="U14" s="8"/>
      <c r="V14" s="8"/>
      <c r="W14" s="128"/>
    </row>
    <row r="15" ht="41.25" customHeight="1">
      <c r="A15" s="137" t="str">
        <f t="shared" si="1"/>
        <v>#REF!</v>
      </c>
      <c r="B15" s="138" t="str">
        <f t="shared" si="2"/>
        <v>#REF!</v>
      </c>
      <c r="C15" s="135"/>
      <c r="D15" s="133"/>
      <c r="E15" s="134"/>
      <c r="F15" s="134"/>
      <c r="G15" s="134"/>
      <c r="H15" s="134"/>
      <c r="I15" s="134"/>
      <c r="J15" s="134"/>
      <c r="K15" s="134"/>
      <c r="L15" s="134"/>
      <c r="M15" s="135"/>
      <c r="N15" s="133"/>
      <c r="O15" s="134"/>
      <c r="P15" s="134"/>
      <c r="Q15" s="134"/>
      <c r="R15" s="134"/>
      <c r="S15" s="134"/>
      <c r="T15" s="134"/>
      <c r="U15" s="134"/>
      <c r="V15" s="134"/>
      <c r="W15" s="135"/>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0">
    <mergeCell ref="A1:W2"/>
    <mergeCell ref="B3:C3"/>
    <mergeCell ref="D3:M3"/>
    <mergeCell ref="N3:W3"/>
    <mergeCell ref="B4:C4"/>
    <mergeCell ref="D4:M4"/>
    <mergeCell ref="N4:W4"/>
    <mergeCell ref="D7:M7"/>
    <mergeCell ref="N7:W7"/>
    <mergeCell ref="B5:C5"/>
    <mergeCell ref="D5:M5"/>
    <mergeCell ref="N5:W5"/>
    <mergeCell ref="B6:C6"/>
    <mergeCell ref="D6:M6"/>
    <mergeCell ref="N6:W6"/>
    <mergeCell ref="B7:C7"/>
    <mergeCell ref="D10:M10"/>
    <mergeCell ref="N10:W10"/>
    <mergeCell ref="B8:C8"/>
    <mergeCell ref="D8:M8"/>
    <mergeCell ref="N8:W8"/>
    <mergeCell ref="B9:C9"/>
    <mergeCell ref="D9:M9"/>
    <mergeCell ref="N9:W9"/>
    <mergeCell ref="B10:C10"/>
    <mergeCell ref="D13:M13"/>
    <mergeCell ref="N13:W13"/>
    <mergeCell ref="B14:C14"/>
    <mergeCell ref="D14:M14"/>
    <mergeCell ref="N14:W14"/>
    <mergeCell ref="B15:C15"/>
    <mergeCell ref="D15:M15"/>
    <mergeCell ref="N15:W15"/>
    <mergeCell ref="B11:C11"/>
    <mergeCell ref="D11:M11"/>
    <mergeCell ref="N11:W11"/>
    <mergeCell ref="B12:C12"/>
    <mergeCell ref="D12:M12"/>
    <mergeCell ref="N12:W12"/>
    <mergeCell ref="B13:C13"/>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4" width="24.0"/>
    <col customWidth="1" min="5" max="5" width="29.29"/>
    <col customWidth="1" min="6" max="7" width="25.71"/>
    <col customWidth="1" min="8" max="26" width="9.14"/>
  </cols>
  <sheetData>
    <row r="1" ht="14.25" customHeight="1"/>
    <row r="2" ht="14.25" customHeight="1"/>
    <row r="3" ht="14.25" customHeight="1">
      <c r="A3" s="139"/>
      <c r="B3" s="140" t="s">
        <v>111</v>
      </c>
      <c r="H3" s="141"/>
      <c r="I3" s="141"/>
      <c r="J3" s="141"/>
      <c r="K3" s="141"/>
      <c r="L3" s="141"/>
      <c r="M3" s="141"/>
      <c r="N3" s="139"/>
      <c r="O3" s="139"/>
      <c r="P3" s="139"/>
      <c r="Q3" s="139"/>
      <c r="R3" s="139"/>
      <c r="S3" s="139"/>
      <c r="T3" s="139"/>
      <c r="U3" s="139"/>
      <c r="V3" s="139"/>
      <c r="W3" s="139"/>
      <c r="X3" s="139"/>
      <c r="Y3" s="139"/>
      <c r="Z3" s="139"/>
    </row>
    <row r="4" ht="14.25" customHeight="1">
      <c r="B4" s="142" t="s">
        <v>112</v>
      </c>
      <c r="C4" s="8"/>
      <c r="D4" s="8"/>
      <c r="E4" s="8"/>
      <c r="F4" s="8"/>
      <c r="G4" s="3"/>
      <c r="H4" s="143"/>
      <c r="I4" s="143"/>
      <c r="J4" s="143"/>
      <c r="K4" s="143"/>
      <c r="L4" s="143"/>
      <c r="M4" s="143"/>
      <c r="N4" s="144"/>
      <c r="O4" s="144"/>
      <c r="P4" s="144"/>
      <c r="Q4" s="144"/>
      <c r="R4" s="144"/>
      <c r="S4" s="144"/>
    </row>
    <row r="5" ht="14.25" customHeight="1">
      <c r="A5" s="145"/>
      <c r="B5" s="146" t="s">
        <v>113</v>
      </c>
      <c r="C5" s="146" t="s">
        <v>114</v>
      </c>
      <c r="D5" s="147" t="s">
        <v>115</v>
      </c>
      <c r="E5" s="147" t="s">
        <v>116</v>
      </c>
      <c r="F5" s="147" t="s">
        <v>117</v>
      </c>
      <c r="G5" s="147" t="s">
        <v>118</v>
      </c>
      <c r="H5" s="145"/>
      <c r="I5" s="145"/>
      <c r="J5" s="145"/>
      <c r="K5" s="145"/>
      <c r="L5" s="145"/>
      <c r="M5" s="145"/>
      <c r="N5" s="145"/>
      <c r="O5" s="145"/>
      <c r="P5" s="145"/>
      <c r="Q5" s="145"/>
      <c r="R5" s="145"/>
      <c r="S5" s="145"/>
      <c r="T5" s="145"/>
      <c r="U5" s="145"/>
      <c r="V5" s="145"/>
      <c r="W5" s="145"/>
      <c r="X5" s="145"/>
      <c r="Y5" s="145"/>
      <c r="Z5" s="145"/>
    </row>
    <row r="6" ht="14.25" customHeight="1">
      <c r="B6" s="148">
        <v>4.1</v>
      </c>
      <c r="C6" s="149" t="s">
        <v>119</v>
      </c>
      <c r="D6" s="149" t="s">
        <v>120</v>
      </c>
      <c r="E6" s="150" t="s">
        <v>121</v>
      </c>
      <c r="F6" s="149" t="s">
        <v>122</v>
      </c>
      <c r="G6" s="149" t="s">
        <v>123</v>
      </c>
    </row>
    <row r="7" ht="14.25" customHeight="1">
      <c r="B7" s="148">
        <v>4.2</v>
      </c>
      <c r="C7" s="149" t="s">
        <v>124</v>
      </c>
      <c r="D7" s="149" t="s">
        <v>125</v>
      </c>
      <c r="E7" s="150" t="s">
        <v>126</v>
      </c>
      <c r="F7" s="149" t="s">
        <v>127</v>
      </c>
      <c r="G7" s="149" t="s">
        <v>128</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4" width="24.0"/>
    <col customWidth="1" min="5" max="5" width="28.43"/>
    <col customWidth="1" min="6" max="7" width="25.71"/>
    <col customWidth="1" min="8" max="26" width="9.14"/>
  </cols>
  <sheetData>
    <row r="1" ht="14.25" customHeight="1"/>
    <row r="2" ht="14.25" customHeight="1"/>
    <row r="3" ht="14.25" customHeight="1">
      <c r="B3" s="140" t="s">
        <v>111</v>
      </c>
      <c r="H3" s="141"/>
      <c r="I3" s="141"/>
      <c r="J3" s="141"/>
      <c r="K3" s="141"/>
      <c r="L3" s="141"/>
      <c r="M3" s="141"/>
    </row>
    <row r="4" ht="15.75" customHeight="1">
      <c r="A4" s="91"/>
      <c r="B4" s="154" t="s">
        <v>129</v>
      </c>
      <c r="C4" s="8"/>
      <c r="D4" s="8"/>
      <c r="E4" s="8"/>
      <c r="F4" s="8"/>
      <c r="G4" s="3"/>
      <c r="H4" s="155"/>
      <c r="I4" s="155"/>
      <c r="J4" s="155"/>
      <c r="K4" s="155"/>
      <c r="L4" s="155"/>
      <c r="M4" s="155"/>
      <c r="N4" s="156"/>
      <c r="O4" s="156"/>
      <c r="P4" s="156"/>
      <c r="Q4" s="156"/>
      <c r="R4" s="156"/>
      <c r="S4" s="156"/>
      <c r="T4" s="91"/>
      <c r="U4" s="91"/>
      <c r="V4" s="91"/>
      <c r="W4" s="91"/>
      <c r="X4" s="91"/>
      <c r="Y4" s="91"/>
      <c r="Z4" s="91"/>
    </row>
    <row r="5" ht="14.25" customHeight="1">
      <c r="A5" s="145"/>
      <c r="B5" s="146" t="s">
        <v>113</v>
      </c>
      <c r="C5" s="146" t="s">
        <v>114</v>
      </c>
      <c r="D5" s="147" t="s">
        <v>115</v>
      </c>
      <c r="E5" s="147" t="s">
        <v>116</v>
      </c>
      <c r="F5" s="147" t="s">
        <v>117</v>
      </c>
      <c r="G5" s="147" t="s">
        <v>118</v>
      </c>
      <c r="H5" s="145"/>
      <c r="I5" s="145"/>
      <c r="J5" s="145"/>
      <c r="K5" s="145"/>
      <c r="L5" s="145"/>
      <c r="M5" s="145"/>
      <c r="N5" s="145"/>
      <c r="O5" s="145"/>
      <c r="P5" s="145"/>
      <c r="Q5" s="145"/>
      <c r="R5" s="145"/>
      <c r="S5" s="145"/>
      <c r="T5" s="145"/>
      <c r="U5" s="145"/>
      <c r="V5" s="145"/>
      <c r="W5" s="145"/>
      <c r="X5" s="145"/>
      <c r="Y5" s="145"/>
      <c r="Z5" s="145"/>
    </row>
    <row r="6" ht="14.25" customHeight="1">
      <c r="B6" s="148">
        <v>4.1</v>
      </c>
      <c r="C6" s="157" t="s">
        <v>131</v>
      </c>
      <c r="D6" s="157" t="s">
        <v>132</v>
      </c>
      <c r="E6" s="149" t="s">
        <v>133</v>
      </c>
      <c r="F6" s="149" t="s">
        <v>134</v>
      </c>
      <c r="G6" s="149" t="s">
        <v>135</v>
      </c>
    </row>
    <row r="7" ht="14.25" customHeight="1">
      <c r="B7" s="148">
        <v>4.2</v>
      </c>
      <c r="C7" s="157" t="s">
        <v>136</v>
      </c>
      <c r="D7" s="149" t="s">
        <v>137</v>
      </c>
      <c r="E7" s="149" t="s">
        <v>138</v>
      </c>
      <c r="F7" s="149" t="s">
        <v>139</v>
      </c>
      <c r="G7" s="149" t="s">
        <v>140</v>
      </c>
    </row>
    <row r="8" ht="14.25" customHeight="1">
      <c r="B8" s="148">
        <v>4.3</v>
      </c>
      <c r="C8" s="157" t="s">
        <v>141</v>
      </c>
      <c r="D8" s="149" t="s">
        <v>142</v>
      </c>
      <c r="E8" s="149" t="s">
        <v>143</v>
      </c>
      <c r="F8" s="149" t="s">
        <v>144</v>
      </c>
      <c r="G8" s="149" t="s">
        <v>145</v>
      </c>
    </row>
    <row r="9" ht="14.25" customHeight="1">
      <c r="B9" s="148">
        <v>4.4</v>
      </c>
      <c r="C9" s="157" t="s">
        <v>146</v>
      </c>
      <c r="D9" s="149" t="s">
        <v>147</v>
      </c>
      <c r="E9" s="149" t="s">
        <v>148</v>
      </c>
      <c r="F9" s="149" t="s">
        <v>149</v>
      </c>
      <c r="G9" s="149" t="s">
        <v>150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42.14"/>
    <col customWidth="1" min="4" max="4" width="24.0"/>
    <col customWidth="1" min="5" max="5" width="29.14"/>
    <col customWidth="1" min="6" max="6" width="28.57"/>
    <col customWidth="1" min="7" max="7" width="25.86"/>
    <col customWidth="1" min="8" max="26" width="8.86"/>
  </cols>
  <sheetData>
    <row r="1" ht="14.25" customHeight="1"/>
    <row r="2" ht="14.25" customHeight="1"/>
    <row r="3" ht="14.25" customHeight="1">
      <c r="B3" s="140" t="s">
        <v>111</v>
      </c>
      <c r="H3" s="141"/>
      <c r="I3" s="141"/>
      <c r="J3" s="141"/>
      <c r="K3" s="141"/>
      <c r="L3" s="141"/>
      <c r="M3" s="141"/>
    </row>
    <row r="4" ht="14.25" customHeight="1">
      <c r="B4" s="154" t="s">
        <v>130</v>
      </c>
      <c r="C4" s="8"/>
      <c r="D4" s="8"/>
      <c r="E4" s="8"/>
      <c r="F4" s="8"/>
      <c r="G4" s="3"/>
      <c r="H4" s="143"/>
      <c r="I4" s="143"/>
      <c r="J4" s="143"/>
      <c r="K4" s="143"/>
      <c r="L4" s="143"/>
      <c r="M4" s="143"/>
      <c r="N4" s="144"/>
      <c r="O4" s="144"/>
      <c r="P4" s="144"/>
      <c r="Q4" s="144"/>
      <c r="R4" s="144"/>
      <c r="S4" s="144"/>
    </row>
    <row r="5" ht="14.25" customHeight="1">
      <c r="A5" s="145"/>
      <c r="B5" s="146" t="s">
        <v>113</v>
      </c>
      <c r="C5" s="146" t="s">
        <v>114</v>
      </c>
      <c r="D5" s="147" t="s">
        <v>115</v>
      </c>
      <c r="E5" s="147" t="s">
        <v>116</v>
      </c>
      <c r="F5" s="147" t="s">
        <v>117</v>
      </c>
      <c r="G5" s="147" t="s">
        <v>118</v>
      </c>
      <c r="H5" s="145"/>
      <c r="I5" s="145"/>
      <c r="J5" s="145"/>
      <c r="K5" s="145"/>
      <c r="L5" s="145"/>
      <c r="M5" s="145"/>
      <c r="N5" s="145"/>
      <c r="O5" s="145"/>
      <c r="P5" s="145"/>
      <c r="Q5" s="145"/>
      <c r="R5" s="145"/>
      <c r="S5" s="145"/>
      <c r="T5" s="145"/>
      <c r="U5" s="145"/>
      <c r="V5" s="145"/>
      <c r="W5" s="145"/>
      <c r="X5" s="145"/>
      <c r="Y5" s="145"/>
      <c r="Z5" s="145"/>
    </row>
    <row r="6" ht="14.25" customHeight="1">
      <c r="B6" s="148">
        <v>6.1</v>
      </c>
      <c r="C6" s="157" t="s">
        <v>151</v>
      </c>
      <c r="D6" s="157" t="s">
        <v>152</v>
      </c>
      <c r="E6" s="157" t="s">
        <v>153</v>
      </c>
      <c r="F6" s="157" t="s">
        <v>154</v>
      </c>
      <c r="G6" s="157" t="s">
        <v>155</v>
      </c>
    </row>
    <row r="7" ht="14.25" customHeight="1">
      <c r="B7" s="148">
        <v>6.2</v>
      </c>
      <c r="C7" s="157" t="s">
        <v>156</v>
      </c>
      <c r="D7" s="157" t="s">
        <v>157</v>
      </c>
      <c r="E7" s="157" t="s">
        <v>158</v>
      </c>
      <c r="F7" s="157" t="s">
        <v>159</v>
      </c>
      <c r="G7" s="157" t="s">
        <v>160</v>
      </c>
    </row>
    <row r="8" ht="14.25" customHeight="1">
      <c r="B8" s="148">
        <v>6.3</v>
      </c>
      <c r="C8" s="157" t="s">
        <v>161</v>
      </c>
      <c r="D8" s="157" t="s">
        <v>162</v>
      </c>
      <c r="E8" s="157" t="s">
        <v>163</v>
      </c>
      <c r="F8" s="157" t="s">
        <v>164</v>
      </c>
      <c r="G8" s="157" t="s">
        <v>165</v>
      </c>
    </row>
    <row r="9" ht="14.25" customHeight="1">
      <c r="B9" s="148">
        <v>6.4</v>
      </c>
      <c r="C9" s="157" t="s">
        <v>166</v>
      </c>
      <c r="D9" s="157" t="s">
        <v>167</v>
      </c>
      <c r="E9" s="157" t="s">
        <v>168</v>
      </c>
      <c r="F9" s="157" t="s">
        <v>169</v>
      </c>
      <c r="G9" s="157" t="s">
        <v>170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4" width="24.0"/>
    <col customWidth="1" min="5" max="5" width="29.43"/>
    <col customWidth="1" min="6" max="7" width="25.71"/>
    <col customWidth="1" min="8" max="26" width="9.14"/>
  </cols>
  <sheetData>
    <row r="1" ht="14.25" customHeight="1"/>
    <row r="2" ht="14.25" customHeight="1"/>
    <row r="3" ht="14.25" customHeight="1">
      <c r="B3" s="159" t="s">
        <v>111</v>
      </c>
      <c r="C3" s="4"/>
      <c r="D3" s="4"/>
      <c r="E3" s="4"/>
      <c r="F3" s="4"/>
      <c r="G3" s="7"/>
      <c r="H3" s="141"/>
      <c r="I3" s="141"/>
      <c r="J3" s="141"/>
      <c r="K3" s="141"/>
      <c r="L3" s="141"/>
      <c r="M3" s="141"/>
    </row>
    <row r="4" ht="14.25" customHeight="1">
      <c r="B4" s="160" t="s">
        <v>171</v>
      </c>
      <c r="C4" s="8"/>
      <c r="D4" s="8"/>
      <c r="E4" s="8"/>
      <c r="F4" s="8"/>
      <c r="G4" s="3"/>
      <c r="H4" s="143"/>
      <c r="I4" s="143"/>
      <c r="J4" s="143"/>
      <c r="K4" s="143"/>
      <c r="L4" s="143"/>
      <c r="M4" s="143"/>
      <c r="N4" s="144"/>
      <c r="O4" s="144"/>
      <c r="P4" s="144"/>
      <c r="Q4" s="144"/>
      <c r="R4" s="144"/>
      <c r="S4" s="144"/>
    </row>
    <row r="5" ht="14.25" customHeight="1">
      <c r="A5" s="145"/>
      <c r="B5" s="161" t="s">
        <v>113</v>
      </c>
      <c r="C5" s="161" t="s">
        <v>114</v>
      </c>
      <c r="D5" s="162" t="s">
        <v>115</v>
      </c>
      <c r="E5" s="162" t="s">
        <v>116</v>
      </c>
      <c r="F5" s="162" t="s">
        <v>117</v>
      </c>
      <c r="G5" s="162" t="s">
        <v>118</v>
      </c>
      <c r="H5" s="145"/>
      <c r="I5" s="145"/>
      <c r="J5" s="145"/>
      <c r="K5" s="145"/>
      <c r="L5" s="145"/>
      <c r="M5" s="145"/>
      <c r="N5" s="145"/>
      <c r="O5" s="145"/>
      <c r="P5" s="145"/>
      <c r="Q5" s="145"/>
      <c r="R5" s="145"/>
      <c r="S5" s="145"/>
      <c r="T5" s="145"/>
      <c r="U5" s="145"/>
      <c r="V5" s="145"/>
      <c r="W5" s="145"/>
      <c r="X5" s="145"/>
      <c r="Y5" s="145"/>
      <c r="Z5" s="145"/>
    </row>
    <row r="6" ht="14.25" customHeight="1">
      <c r="B6" s="163">
        <v>7.1</v>
      </c>
      <c r="C6" s="164" t="s">
        <v>172</v>
      </c>
      <c r="D6" s="164" t="s">
        <v>173</v>
      </c>
      <c r="E6" s="164" t="s">
        <v>174</v>
      </c>
      <c r="F6" s="164" t="s">
        <v>175</v>
      </c>
      <c r="G6" s="164" t="s">
        <v>176</v>
      </c>
    </row>
    <row r="7" ht="14.25" customHeight="1">
      <c r="B7" s="163">
        <v>7.2</v>
      </c>
      <c r="C7" s="164" t="s">
        <v>177</v>
      </c>
      <c r="D7" s="164" t="s">
        <v>178</v>
      </c>
      <c r="E7" s="164" t="s">
        <v>179</v>
      </c>
      <c r="F7" s="164" t="s">
        <v>180</v>
      </c>
      <c r="G7" s="164" t="s">
        <v>181</v>
      </c>
    </row>
    <row r="8" ht="14.25" customHeight="1">
      <c r="B8" s="163">
        <v>7.3</v>
      </c>
      <c r="C8" s="164" t="s">
        <v>182</v>
      </c>
      <c r="D8" s="164" t="s">
        <v>183</v>
      </c>
      <c r="E8" s="164" t="s">
        <v>184</v>
      </c>
      <c r="F8" s="164" t="s">
        <v>185</v>
      </c>
      <c r="G8" s="164" t="s">
        <v>186</v>
      </c>
    </row>
    <row r="9" ht="14.25" customHeight="1">
      <c r="B9" s="163">
        <v>7.4</v>
      </c>
      <c r="C9" s="164" t="s">
        <v>187</v>
      </c>
      <c r="D9" s="164" t="s">
        <v>188</v>
      </c>
      <c r="E9" s="164" t="s">
        <v>189</v>
      </c>
      <c r="F9" s="164" t="s">
        <v>190</v>
      </c>
      <c r="G9" s="164" t="s">
        <v>191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31.57"/>
    <col customWidth="1" min="4" max="7" width="26.43"/>
    <col customWidth="1" min="8" max="26" width="9.14"/>
  </cols>
  <sheetData>
    <row r="1" ht="14.25" customHeight="1"/>
    <row r="2" ht="14.25" customHeight="1"/>
    <row r="3" ht="14.25" customHeight="1"/>
    <row r="4" ht="14.25" customHeight="1">
      <c r="B4" s="165" t="s">
        <v>192</v>
      </c>
      <c r="C4" s="8"/>
      <c r="D4" s="8"/>
      <c r="E4" s="8"/>
      <c r="F4" s="8"/>
      <c r="G4" s="3"/>
    </row>
    <row r="5" ht="14.25" customHeight="1">
      <c r="B5" s="165" t="s">
        <v>193</v>
      </c>
      <c r="C5" s="8"/>
      <c r="D5" s="8"/>
      <c r="E5" s="8"/>
      <c r="F5" s="8"/>
      <c r="G5" s="3"/>
    </row>
    <row r="6" ht="14.25" customHeight="1">
      <c r="B6" s="166"/>
      <c r="C6" s="166" t="s">
        <v>194</v>
      </c>
      <c r="D6" s="167" t="s">
        <v>195</v>
      </c>
      <c r="E6" s="8"/>
      <c r="F6" s="8"/>
      <c r="G6" s="3"/>
    </row>
    <row r="7" ht="14.25" customHeight="1">
      <c r="B7" s="95"/>
      <c r="C7" s="95"/>
      <c r="D7" s="168" t="s">
        <v>196</v>
      </c>
      <c r="E7" s="168" t="s">
        <v>197</v>
      </c>
      <c r="F7" s="168" t="s">
        <v>198</v>
      </c>
      <c r="G7" s="168" t="s">
        <v>199</v>
      </c>
    </row>
    <row r="8" ht="14.25" customHeight="1">
      <c r="B8" s="16"/>
      <c r="C8" s="16"/>
      <c r="D8" s="168">
        <v>3.0</v>
      </c>
      <c r="E8" s="168">
        <v>2.0</v>
      </c>
      <c r="F8" s="168">
        <v>1.0</v>
      </c>
      <c r="G8" s="168">
        <v>0.0</v>
      </c>
    </row>
    <row r="9" ht="14.25" customHeight="1">
      <c r="B9" s="169">
        <v>8.1</v>
      </c>
      <c r="C9" s="169" t="s">
        <v>200</v>
      </c>
      <c r="D9" s="170" t="s">
        <v>201</v>
      </c>
      <c r="E9" s="170" t="s">
        <v>202</v>
      </c>
      <c r="F9" s="170" t="s">
        <v>203</v>
      </c>
      <c r="G9" s="170" t="s">
        <v>204</v>
      </c>
    </row>
    <row r="10" ht="14.25" customHeight="1">
      <c r="B10" s="169">
        <v>8.2</v>
      </c>
      <c r="C10" s="169" t="s">
        <v>205</v>
      </c>
      <c r="D10" s="170" t="s">
        <v>206</v>
      </c>
      <c r="E10" s="170" t="s">
        <v>207</v>
      </c>
      <c r="F10" s="170" t="s">
        <v>208</v>
      </c>
      <c r="G10" s="170" t="s">
        <v>209</v>
      </c>
    </row>
    <row r="11" ht="14.25" customHeight="1">
      <c r="B11" s="171">
        <v>8.3</v>
      </c>
      <c r="C11" s="171" t="s">
        <v>210</v>
      </c>
      <c r="D11" s="172" t="s">
        <v>211</v>
      </c>
      <c r="E11" s="172" t="s">
        <v>212</v>
      </c>
      <c r="F11" s="172" t="s">
        <v>213</v>
      </c>
      <c r="G11" s="172" t="s">
        <v>214</v>
      </c>
    </row>
    <row r="12" ht="14.25" hidden="1" customHeight="1">
      <c r="B12" s="16"/>
      <c r="C12" s="16"/>
      <c r="D12" s="16"/>
      <c r="E12" s="16"/>
      <c r="F12" s="16"/>
      <c r="G12" s="16"/>
    </row>
    <row r="13" ht="14.25" customHeight="1">
      <c r="B13" s="169">
        <v>8.4</v>
      </c>
      <c r="C13" s="169" t="s">
        <v>215</v>
      </c>
      <c r="D13" s="170" t="s">
        <v>216</v>
      </c>
      <c r="E13" s="170" t="s">
        <v>217</v>
      </c>
      <c r="F13" s="170" t="s">
        <v>218</v>
      </c>
      <c r="G13" s="170" t="s">
        <v>219</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D11:D12"/>
    <mergeCell ref="E11:E12"/>
    <mergeCell ref="F11:F12"/>
    <mergeCell ref="G11:G12"/>
    <mergeCell ref="B4:G4"/>
    <mergeCell ref="B5:G5"/>
    <mergeCell ref="B6:B8"/>
    <mergeCell ref="C6:C8"/>
    <mergeCell ref="D6:G6"/>
    <mergeCell ref="B11:B12"/>
    <mergeCell ref="C11:C1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0.43"/>
    <col customWidth="1" min="7" max="7" width="8.71"/>
    <col customWidth="1" min="8" max="8" width="9.43"/>
    <col customWidth="1" min="9" max="9" width="7.86"/>
    <col customWidth="1" min="10" max="11" width="8.71"/>
    <col customWidth="1" min="12" max="12" width="12.14"/>
    <col customWidth="1" min="13" max="13" width="122.43"/>
    <col customWidth="1" min="14" max="26" width="8.71"/>
  </cols>
  <sheetData>
    <row r="1" ht="14.25" customHeight="1">
      <c r="L1" s="173" t="s">
        <v>220</v>
      </c>
      <c r="M1" s="17" t="s">
        <v>221</v>
      </c>
    </row>
    <row r="2" ht="14.25" customHeight="1">
      <c r="L2" s="173" t="s">
        <v>222</v>
      </c>
      <c r="M2" s="17" t="s">
        <v>223</v>
      </c>
    </row>
    <row r="3" ht="14.25" customHeight="1">
      <c r="L3" s="173" t="s">
        <v>51</v>
      </c>
      <c r="M3" s="17" t="s">
        <v>224</v>
      </c>
    </row>
    <row r="4" ht="14.25" customHeight="1">
      <c r="L4" s="173" t="s">
        <v>54</v>
      </c>
      <c r="M4" s="17" t="s">
        <v>225</v>
      </c>
    </row>
    <row r="5" ht="14.25" customHeight="1">
      <c r="L5" s="173" t="s">
        <v>226</v>
      </c>
      <c r="M5" s="17" t="s">
        <v>227</v>
      </c>
    </row>
    <row r="6" ht="14.25" customHeight="1">
      <c r="L6" s="173" t="s">
        <v>228</v>
      </c>
      <c r="M6" s="17" t="s">
        <v>229</v>
      </c>
    </row>
    <row r="7" ht="14.25" customHeight="1">
      <c r="L7" s="173" t="s">
        <v>230</v>
      </c>
      <c r="M7" s="17" t="s">
        <v>231</v>
      </c>
    </row>
    <row r="8" ht="14.25" customHeight="1">
      <c r="D8" s="174" t="s">
        <v>232</v>
      </c>
      <c r="E8" s="8"/>
      <c r="F8" s="3"/>
      <c r="L8" s="173"/>
    </row>
    <row r="9" ht="14.25" customHeight="1">
      <c r="C9" s="17">
        <v>0.0</v>
      </c>
      <c r="D9" s="175">
        <v>0.0</v>
      </c>
      <c r="E9" s="176" t="s">
        <v>233</v>
      </c>
      <c r="F9" s="177" t="s">
        <v>234</v>
      </c>
    </row>
    <row r="10" ht="14.25" customHeight="1">
      <c r="C10" s="17">
        <v>1.0</v>
      </c>
      <c r="D10" s="175">
        <v>1.0</v>
      </c>
      <c r="E10" s="176" t="s">
        <v>235</v>
      </c>
      <c r="F10" s="177" t="s">
        <v>198</v>
      </c>
    </row>
    <row r="11" ht="14.25" customHeight="1">
      <c r="C11" s="17">
        <v>2.0</v>
      </c>
      <c r="D11" s="175">
        <v>2.0</v>
      </c>
      <c r="E11" s="176" t="s">
        <v>236</v>
      </c>
      <c r="F11" s="177" t="s">
        <v>237</v>
      </c>
    </row>
    <row r="12" ht="14.25" customHeight="1">
      <c r="C12" s="17">
        <v>3.0</v>
      </c>
      <c r="D12" s="175">
        <v>3.0</v>
      </c>
      <c r="E12" s="176" t="s">
        <v>238</v>
      </c>
      <c r="F12" s="177" t="s">
        <v>239</v>
      </c>
      <c r="L12" s="17" t="s">
        <v>240</v>
      </c>
    </row>
    <row r="13" ht="14.25" customHeight="1">
      <c r="L13" s="17" t="s">
        <v>241</v>
      </c>
    </row>
    <row r="14" ht="14.25" customHeight="1">
      <c r="L14" s="17" t="s">
        <v>242</v>
      </c>
    </row>
    <row r="15" ht="14.25" customHeight="1">
      <c r="H15" s="17">
        <v>0.0</v>
      </c>
      <c r="I15" s="17">
        <v>0.0</v>
      </c>
      <c r="L15" s="17" t="s">
        <v>243</v>
      </c>
    </row>
    <row r="16" ht="14.25" customHeight="1">
      <c r="H16" s="17">
        <v>1.0</v>
      </c>
      <c r="I16" s="17">
        <v>1.0</v>
      </c>
      <c r="L16" s="17" t="s">
        <v>244</v>
      </c>
    </row>
    <row r="17" ht="14.25" customHeight="1">
      <c r="I17" s="17">
        <v>2.0</v>
      </c>
    </row>
    <row r="18" ht="14.25" customHeight="1">
      <c r="D18" s="178" t="s">
        <v>245</v>
      </c>
      <c r="E18" s="8"/>
      <c r="F18" s="3"/>
      <c r="I18" s="17">
        <v>3.0</v>
      </c>
    </row>
    <row r="19" ht="14.25" customHeight="1">
      <c r="D19" s="179">
        <v>59.0</v>
      </c>
      <c r="E19" s="180" t="s">
        <v>233</v>
      </c>
      <c r="F19" s="181" t="s">
        <v>246</v>
      </c>
    </row>
    <row r="20" ht="14.25" customHeight="1">
      <c r="D20" s="179">
        <v>69.0</v>
      </c>
      <c r="E20" s="180" t="s">
        <v>235</v>
      </c>
      <c r="F20" s="181" t="s">
        <v>247</v>
      </c>
    </row>
    <row r="21" ht="14.25" customHeight="1">
      <c r="D21" s="179">
        <v>84.0</v>
      </c>
      <c r="E21" s="180" t="s">
        <v>236</v>
      </c>
      <c r="F21" s="181" t="s">
        <v>248</v>
      </c>
    </row>
    <row r="22" ht="14.25" customHeight="1">
      <c r="D22" s="179">
        <v>100.0</v>
      </c>
      <c r="E22" s="180" t="s">
        <v>238</v>
      </c>
      <c r="F22" s="181" t="s">
        <v>249</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D8:F8"/>
    <mergeCell ref="D18:F1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2012-02-27T07:54:13Z</dcterms:created>
  <dc:creator>Nermeen El Hakim</dc:creator>
</cp:coreProperties>
</file>