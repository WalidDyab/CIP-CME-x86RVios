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My Drive\Committee Qulaity 26-27\SOs Assessment tools\"/>
    </mc:Choice>
  </mc:AlternateContent>
  <xr:revisionPtr revIDLastSave="0" documentId="13_ncr:1_{0C1CB779-ACA3-4EBE-86AF-A574A5B3581D}" xr6:coauthVersionLast="47" xr6:coauthVersionMax="47" xr10:uidLastSave="{00000000-0000-0000-0000-000000000000}"/>
  <bookViews>
    <workbookView xWindow="-96" yWindow="-96" windowWidth="23232" windowHeight="13872" xr2:uid="{00000000-000D-0000-FFFF-FFFF00000000}"/>
  </bookViews>
  <sheets>
    <sheet name="Main" sheetId="1" r:id="rId1"/>
    <sheet name="Rubric" sheetId="5" r:id="rId2"/>
    <sheet name="SO4 Rubric" sheetId="6" state="hidden" r:id="rId3"/>
    <sheet name="SO1 Assessment Results" sheetId="16" r:id="rId4"/>
    <sheet name="SO4 Assessment Results" sheetId="8" state="hidden" r:id="rId5"/>
    <sheet name="Student work Description" sheetId="9" state="hidden" r:id="rId6"/>
    <sheet name="SO4" sheetId="10" state="hidden" r:id="rId7"/>
    <sheet name="SO5" sheetId="11" state="hidden" r:id="rId8"/>
    <sheet name="SO6" sheetId="12" state="hidden" r:id="rId9"/>
    <sheet name="SO7" sheetId="13" state="hidden" r:id="rId10"/>
    <sheet name="SO8" sheetId="14" state="hidden" r:id="rId11"/>
    <sheet name="Lookup Tables" sheetId="15" state="hidden" r:id="rId12"/>
  </sheets>
  <externalReferences>
    <externalReference r:id="rId13"/>
  </externalReferences>
  <definedNames>
    <definedName name="OutcomesList">'[1]Lookups Tables'!$J$3:$J$12</definedName>
    <definedName name="Percentage">'[1]Lookups Tables'!$L$4:$L$23</definedName>
    <definedName name="_xlnm.Print_Area" localSheetId="3">'SO1 Assessment Results'!$A$1:$J$19</definedName>
  </definedNames>
  <calcPr calcId="181029"/>
  <extLst>
    <ext uri="GoogleSheetsCustomDataVersion2">
      <go:sheetsCustomData xmlns:go="http://customooxmlschemas.google.com/" r:id="rId20" roundtripDataChecksum="drTQ2fKGKNZY76+RHHsCA4X1roIbLT65cjdfwmrplEc="/>
    </ext>
  </extLst>
</workbook>
</file>

<file path=xl/calcChain.xml><?xml version="1.0" encoding="utf-8"?>
<calcChain xmlns="http://schemas.openxmlformats.org/spreadsheetml/2006/main">
  <c r="E18" i="16" l="1"/>
  <c r="G18" i="16" l="1"/>
  <c r="F18" i="16"/>
  <c r="H5" i="16"/>
  <c r="I5" i="16" s="1"/>
  <c r="H6" i="16"/>
  <c r="I6" i="16" s="1"/>
  <c r="H7" i="16"/>
  <c r="I7" i="16" s="1"/>
  <c r="H8" i="16"/>
  <c r="I8" i="16" s="1"/>
  <c r="H9" i="16"/>
  <c r="I9" i="16" s="1"/>
  <c r="H10" i="16"/>
  <c r="I10" i="16" s="1"/>
  <c r="H11" i="16"/>
  <c r="I11" i="16" s="1"/>
  <c r="H12" i="16"/>
  <c r="I12" i="16" s="1"/>
  <c r="H13" i="16"/>
  <c r="I13" i="16" s="1"/>
  <c r="H14" i="16"/>
  <c r="I14" i="16" s="1"/>
  <c r="H15" i="16"/>
  <c r="I15" i="16" s="1"/>
  <c r="H16" i="16"/>
  <c r="I16" i="16" s="1"/>
  <c r="H17" i="16"/>
  <c r="I17" i="16" s="1"/>
  <c r="H4" i="16"/>
  <c r="I4" i="16" s="1"/>
  <c r="B15" i="9"/>
  <c r="A15" i="9"/>
  <c r="B14" i="9"/>
  <c r="A14" i="9"/>
  <c r="B13" i="9"/>
  <c r="A13" i="9"/>
  <c r="B12" i="9"/>
  <c r="A12" i="9"/>
  <c r="B11" i="9"/>
  <c r="A11" i="9"/>
  <c r="B10" i="9"/>
  <c r="A10" i="9"/>
  <c r="B9" i="9"/>
  <c r="A9" i="9"/>
  <c r="B8" i="9"/>
  <c r="A8" i="9"/>
  <c r="B7" i="9"/>
  <c r="A7" i="9"/>
  <c r="B6" i="9"/>
  <c r="A6" i="9"/>
  <c r="B5" i="9"/>
  <c r="A5" i="9"/>
  <c r="B4" i="9"/>
  <c r="A4" i="9"/>
  <c r="K23" i="8"/>
  <c r="J23" i="8"/>
  <c r="I23" i="8"/>
  <c r="H23" i="8"/>
  <c r="L23" i="8" s="1"/>
  <c r="M23" i="8" s="1"/>
  <c r="E23" i="8" a="1"/>
  <c r="E23" i="8" s="1"/>
  <c r="D23" i="8" a="1"/>
  <c r="D23" i="8" s="1"/>
  <c r="F23" i="8" s="1"/>
  <c r="G23" i="8" s="1"/>
  <c r="C23" i="8"/>
  <c r="B23" i="8"/>
  <c r="K22" i="8"/>
  <c r="J22" i="8"/>
  <c r="I22" i="8"/>
  <c r="H22" i="8"/>
  <c r="E22" i="8" a="1"/>
  <c r="E22" i="8" s="1"/>
  <c r="D22" i="8" a="1"/>
  <c r="D22" i="8" s="1"/>
  <c r="F22" i="8" s="1"/>
  <c r="G22" i="8" s="1"/>
  <c r="C22" i="8"/>
  <c r="B22" i="8"/>
  <c r="K21" i="8"/>
  <c r="L21" i="8" s="1"/>
  <c r="M21" i="8" s="1"/>
  <c r="J21" i="8"/>
  <c r="I21" i="8"/>
  <c r="H21" i="8"/>
  <c r="E21" i="8" a="1"/>
  <c r="E21" i="8" s="1"/>
  <c r="D21" i="8" a="1"/>
  <c r="D21" i="8" s="1"/>
  <c r="F21" i="8" s="1"/>
  <c r="G21" i="8" s="1"/>
  <c r="C21" i="8"/>
  <c r="B21" i="8"/>
  <c r="K20" i="8"/>
  <c r="J20" i="8"/>
  <c r="I20" i="8"/>
  <c r="L20" i="8" s="1"/>
  <c r="M20" i="8" s="1"/>
  <c r="H20" i="8"/>
  <c r="E20" i="8" a="1"/>
  <c r="E20" i="8" s="1"/>
  <c r="D20" i="8" a="1"/>
  <c r="D20" i="8" s="1"/>
  <c r="F20" i="8" s="1"/>
  <c r="G20" i="8" s="1"/>
  <c r="C20" i="8"/>
  <c r="B20" i="8"/>
  <c r="K19" i="8"/>
  <c r="J19" i="8"/>
  <c r="I19" i="8"/>
  <c r="H19" i="8"/>
  <c r="L19" i="8" s="1"/>
  <c r="M19" i="8" s="1"/>
  <c r="E19" i="8" a="1"/>
  <c r="E19" i="8" s="1"/>
  <c r="D19" i="8" a="1"/>
  <c r="D19" i="8" s="1"/>
  <c r="F19" i="8" s="1"/>
  <c r="G19" i="8" s="1"/>
  <c r="C19" i="8"/>
  <c r="B19" i="8"/>
  <c r="K18" i="8"/>
  <c r="J18" i="8"/>
  <c r="I18" i="8"/>
  <c r="H18" i="8"/>
  <c r="L18" i="8" s="1"/>
  <c r="M18" i="8" s="1"/>
  <c r="E18" i="8" a="1"/>
  <c r="E18" i="8" s="1"/>
  <c r="D18" i="8" a="1"/>
  <c r="D18" i="8" s="1"/>
  <c r="F18" i="8" s="1"/>
  <c r="G18" i="8" s="1"/>
  <c r="C18" i="8"/>
  <c r="B18" i="8"/>
  <c r="K17" i="8"/>
  <c r="J17" i="8"/>
  <c r="I17" i="8"/>
  <c r="L17" i="8" s="1"/>
  <c r="M17" i="8" s="1"/>
  <c r="H17" i="8"/>
  <c r="E17" i="8" a="1"/>
  <c r="E17" i="8" s="1"/>
  <c r="D17" i="8" a="1"/>
  <c r="D17" i="8" s="1"/>
  <c r="F17" i="8" s="1"/>
  <c r="G17" i="8" s="1"/>
  <c r="C17" i="8"/>
  <c r="B17" i="8"/>
  <c r="K16" i="8"/>
  <c r="J16" i="8"/>
  <c r="I16" i="8"/>
  <c r="H16" i="8"/>
  <c r="E16" i="8" a="1"/>
  <c r="E16" i="8" s="1"/>
  <c r="D16" i="8" a="1"/>
  <c r="D16" i="8" s="1"/>
  <c r="F16" i="8" s="1"/>
  <c r="G16" i="8" s="1"/>
  <c r="C16" i="8"/>
  <c r="B16" i="8"/>
  <c r="K15" i="8"/>
  <c r="J15" i="8"/>
  <c r="I15" i="8"/>
  <c r="H15" i="8"/>
  <c r="L15" i="8" s="1"/>
  <c r="M15" i="8" s="1"/>
  <c r="E15" i="8" a="1"/>
  <c r="E15" i="8" s="1"/>
  <c r="D15" i="8" a="1"/>
  <c r="D15" i="8" s="1"/>
  <c r="F15" i="8" s="1"/>
  <c r="G15" i="8" s="1"/>
  <c r="C15" i="8"/>
  <c r="B15" i="8"/>
  <c r="K14" i="8"/>
  <c r="J14" i="8"/>
  <c r="I14" i="8"/>
  <c r="H14" i="8"/>
  <c r="L14" i="8" s="1"/>
  <c r="M14" i="8" s="1"/>
  <c r="E14" i="8" a="1"/>
  <c r="E14" i="8" s="1"/>
  <c r="D14" i="8" a="1"/>
  <c r="D14" i="8" s="1"/>
  <c r="F14" i="8" s="1"/>
  <c r="G14" i="8" s="1"/>
  <c r="C14" i="8"/>
  <c r="B14" i="8"/>
  <c r="K13" i="8"/>
  <c r="J13" i="8"/>
  <c r="I13" i="8"/>
  <c r="H13" i="8"/>
  <c r="L13" i="8" s="1"/>
  <c r="M13" i="8" s="1"/>
  <c r="E13" i="8" a="1"/>
  <c r="E13" i="8" s="1"/>
  <c r="D13" i="8" a="1"/>
  <c r="D13" i="8" s="1"/>
  <c r="F13" i="8" s="1"/>
  <c r="G13" i="8" s="1"/>
  <c r="C13" i="8"/>
  <c r="B13" i="8"/>
  <c r="K12" i="8"/>
  <c r="J12" i="8"/>
  <c r="I12" i="8"/>
  <c r="H12" i="8"/>
  <c r="E12" i="8" a="1"/>
  <c r="E12" i="8" s="1"/>
  <c r="D12" i="8" a="1"/>
  <c r="D12" i="8" s="1"/>
  <c r="F12" i="8" s="1"/>
  <c r="G12" i="8" s="1"/>
  <c r="C12" i="8"/>
  <c r="B12" i="8"/>
  <c r="K11" i="8"/>
  <c r="J11" i="8"/>
  <c r="I11" i="8"/>
  <c r="H11" i="8"/>
  <c r="L11" i="8" s="1"/>
  <c r="M11" i="8" s="1"/>
  <c r="E11" i="8" a="1"/>
  <c r="E11" i="8" s="1"/>
  <c r="D11" i="8" a="1"/>
  <c r="D11" i="8" s="1"/>
  <c r="F11" i="8" s="1"/>
  <c r="G11" i="8" s="1"/>
  <c r="C11" i="8"/>
  <c r="B11" i="8"/>
  <c r="E10" i="8" a="1"/>
  <c r="E10" i="8" s="1"/>
  <c r="D10" i="8" a="1"/>
  <c r="D10" i="8" s="1"/>
  <c r="F10" i="8" s="1"/>
  <c r="G10" i="8" s="1"/>
  <c r="C10" i="8"/>
  <c r="B10" i="8"/>
  <c r="E9" i="8" a="1"/>
  <c r="E9" i="8" s="1"/>
  <c r="D9" i="8" a="1"/>
  <c r="D9" i="8" s="1"/>
  <c r="F9" i="8" s="1"/>
  <c r="G9" i="8" s="1"/>
  <c r="C9" i="8"/>
  <c r="B9" i="8"/>
  <c r="E8" i="8" a="1"/>
  <c r="E8" i="8" s="1"/>
  <c r="D8" i="8" a="1"/>
  <c r="D8" i="8" s="1"/>
  <c r="F8" i="8" s="1"/>
  <c r="G8" i="8" s="1"/>
  <c r="C8" i="8"/>
  <c r="B8" i="8"/>
  <c r="E7" i="8" a="1"/>
  <c r="E7" i="8" s="1"/>
  <c r="D7" i="8" a="1"/>
  <c r="D7" i="8" s="1"/>
  <c r="F7" i="8" s="1"/>
  <c r="G7" i="8" s="1"/>
  <c r="C7" i="8"/>
  <c r="B7" i="8"/>
  <c r="E6" i="8" a="1"/>
  <c r="E6" i="8" s="1"/>
  <c r="D6" i="8" a="1"/>
  <c r="D6" i="8" s="1"/>
  <c r="F6" i="8" s="1"/>
  <c r="G6" i="8" s="1"/>
  <c r="C6" i="8"/>
  <c r="B6" i="8"/>
  <c r="E5" i="8" a="1"/>
  <c r="E5" i="8" s="1"/>
  <c r="D5" i="8" a="1"/>
  <c r="D5" i="8" s="1"/>
  <c r="F5" i="8" s="1"/>
  <c r="G5" i="8" s="1"/>
  <c r="C5" i="8"/>
  <c r="B5" i="8"/>
  <c r="E4" i="8" a="1"/>
  <c r="E4" i="8" s="1"/>
  <c r="D4" i="8" a="1"/>
  <c r="D4" i="8" s="1"/>
  <c r="C4" i="8"/>
  <c r="B4" i="8"/>
  <c r="AG2" i="6"/>
  <c r="AE2" i="6"/>
  <c r="AC2" i="6"/>
  <c r="AA2" i="6"/>
  <c r="Y2" i="6"/>
  <c r="W2" i="6"/>
  <c r="U2" i="6"/>
  <c r="S2" i="6"/>
  <c r="Q2" i="6"/>
  <c r="O2" i="6"/>
  <c r="M2" i="6"/>
  <c r="K2" i="6"/>
  <c r="I2" i="6"/>
  <c r="G2" i="6"/>
  <c r="B6" i="1"/>
  <c r="B5" i="1"/>
  <c r="I18" i="16" l="1"/>
  <c r="L22" i="8"/>
  <c r="M22" i="8" s="1"/>
  <c r="K26" i="8"/>
  <c r="L16" i="8"/>
  <c r="M16" i="8" s="1"/>
  <c r="L12" i="8"/>
  <c r="M12" i="8" s="1"/>
  <c r="F4" i="8"/>
  <c r="G4" i="8" s="1"/>
  <c r="D27" i="8"/>
  <c r="D26" i="8"/>
  <c r="E27" i="8"/>
  <c r="E26" i="8"/>
  <c r="H24" i="8" l="1"/>
  <c r="H27" i="8"/>
  <c r="H26" i="8"/>
  <c r="H25" i="8"/>
  <c r="I24"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5" authorId="0" shapeId="0" xr:uid="{00000000-0006-0000-0000-000002000000}">
      <text>
        <r>
          <rPr>
            <sz val="11"/>
            <color theme="1"/>
            <rFont val="Calibri"/>
            <scheme val="minor"/>
          </rPr>
          <t>======
ID#AAABw60pAaI
Maged    (2025-12-02 17:57:03)
-Select the Assessed SO in the course from the drop list. 
-Select the last empty cell from the drop list to avoid selecting an SO</t>
        </r>
      </text>
    </comment>
    <comment ref="A6" authorId="0" shapeId="0" xr:uid="{00000000-0006-0000-0000-000003000000}">
      <text>
        <r>
          <rPr>
            <sz val="11"/>
            <color theme="1"/>
            <rFont val="Calibri"/>
            <scheme val="minor"/>
          </rPr>
          <t>======
ID#AAABxA1sXBo
Maged    (2025-12-02 17:57:03)
-Select the Assessed SO in the course from the drop list. 
-Select the last empty cell from the drop list to avoid selecting an SO</t>
        </r>
      </text>
    </comment>
  </commentList>
  <extLst>
    <ext xmlns:r="http://schemas.openxmlformats.org/officeDocument/2006/relationships" uri="GoogleSheetsCustomDataVersion2">
      <go:sheetsCustomData xmlns:go="http://customooxmlschemas.google.com/" r:id="rId1" roundtripDataSignature="AMtx7mg/YCPiOLNoE9yHGbvWY9hdkH74UA=="/>
    </ext>
  </extLst>
</comments>
</file>

<file path=xl/sharedStrings.xml><?xml version="1.0" encoding="utf-8"?>
<sst xmlns="http://schemas.openxmlformats.org/spreadsheetml/2006/main" count="322" uniqueCount="257">
  <si>
    <t>Course Name:</t>
  </si>
  <si>
    <t>Course Code:</t>
  </si>
  <si>
    <t xml:space="preserve">SO                                          </t>
  </si>
  <si>
    <t>Mapped PIs</t>
  </si>
  <si>
    <t>SO2</t>
  </si>
  <si>
    <t>SO4</t>
  </si>
  <si>
    <t>PI41 Recognize ethical and professional responsibilities in engineering situations
PI42 Make informed judgments considering the impact of engineering solutions in global, societal, economic, and environmental contexts</t>
  </si>
  <si>
    <t>3.1 Recognize the engineering profession and the importance of ethical and legal factors in professional duties</t>
  </si>
  <si>
    <t>Assessment type</t>
  </si>
  <si>
    <t xml:space="preserve">Project </t>
  </si>
  <si>
    <t>Name</t>
  </si>
  <si>
    <t>Assessment item</t>
  </si>
  <si>
    <t>Above </t>
  </si>
  <si>
    <t>Meet </t>
  </si>
  <si>
    <t>Developing </t>
  </si>
  <si>
    <t>Below </t>
  </si>
  <si>
    <t>Checklist for Assessment</t>
  </si>
  <si>
    <t>Comment</t>
  </si>
  <si>
    <t>Expectation (3)</t>
  </si>
  <si>
    <t>Expectation (2)</t>
  </si>
  <si>
    <t>Expectation (1)</t>
  </si>
  <si>
    <t>Expectation (0)</t>
  </si>
  <si>
    <t>score (0-3)</t>
  </si>
  <si>
    <t>SO4 Rubric</t>
  </si>
  <si>
    <t>PI41. Recognize ethical and professional responsibilities in engineering situations</t>
  </si>
  <si>
    <t>Identifies the ethical responsibilities and references at least one applicable professional code or standard (e.g., IEEE, NSPE, ISO).</t>
  </si>
  <si>
    <t>Describes relevant ethical responsibilities and refers generally to professional obligations or standards (without a specific citation).</t>
  </si>
  <si>
    <t>Acknowledges that an ethical issue exists but provides vague or incomplete responsibilities and no clear connection to professional standards.</t>
  </si>
  <si>
    <t>Fails to identify the ethical issue or misinterprets it.</t>
  </si>
  <si>
    <t>• Does the student clearly identify the ethical issue(s) in the scenario?</t>
  </si>
  <si>
    <t>Clearly identifies safety responsibilities: emergency stops, fail-safe procedures.
Addresses misuse and cybersecurity: limiting physical access, considering unauthorized access.
Explicitly refers to professional codes/standards: IEEE and NSPE.
Mentions transparency and honesty: explaining decisions, assessments, and system limitations.
Connects ethics back to the technical solution: how the drive-by-wire method maintains safety.</t>
  </si>
  <si>
    <t>Explicitly addresses safety responsibilities: emergency stops, fail-safe procedures.
Considers misuse and cybersecurity: restricted physical access, concern about unauthorized access to control systems.
Refers directly to professional codes and standards (IEEE, NSPE) and links them to:
transparency in conclusions and assessments,
being open about limitations,
integrating safety in the drive-by-wire method.</t>
  </si>
  <si>
    <t xml:space="preserve">Explicitly cites IEEE and NSPE codes and standards and links them to behavior: academic integrity, professionalism.
Emphasizes truth and transparency in findings and evaluations.
Acknowledges need to be honest about limits and how safety is incorporated.
Describes fail-safe procedures, emergency stop, and cybersecurity issues (unauthorized access) with restricted physical access to reduce misuse.
</t>
  </si>
  <si>
    <t>Clearly frames DBW as safety-critical, noting failures, unintended behavior, and liability as major ethical concerns.
Explicitly cites IEEE and NSPE standards and connects them to integrity in testing and reporting.
Puts safety above performance (emergency stop circuits, safe-state defaults, robust signal handling).
Acknowledges hacking / misuse risks and mitigates via limited physical access and documentation.
Adopts an explicit ethical stance focused on public protection and professional accountability → exemplary answer.</t>
  </si>
  <si>
    <t>•Do they recognize their professional duties (e.g., safety, honesty, confidentiality, conflict of interest)?</t>
  </si>
  <si>
    <t>•Do they reference or appropriately relate to a professional code/standard (IEEE, NSPE, ISO, etc.)?</t>
  </si>
  <si>
    <t>PI42 Make informed judgments considering the impact of engineering solutions in global, societal, economic, and environmental contexts</t>
  </si>
  <si>
    <r>
      <rPr>
        <b/>
        <sz val="11"/>
        <color rgb="FF000000"/>
        <rFont val="Cambria"/>
      </rPr>
      <t>Demonstrates strong judgment and</t>
    </r>
    <r>
      <rPr>
        <sz val="11"/>
        <color rgb="FF000000"/>
        <rFont val="Cambria"/>
      </rPr>
      <t xml:space="preserve"> addresses </t>
    </r>
    <r>
      <rPr>
        <b/>
        <sz val="11"/>
        <color rgb="FF000000"/>
        <rFont val="Cambria"/>
      </rPr>
      <t>all four</t>
    </r>
    <r>
      <rPr>
        <sz val="11"/>
        <color rgb="FF000000"/>
        <rFont val="Cambria"/>
      </rPr>
      <t xml:space="preserve"> factors (global, societal, economic, environmental) clearly and explicitly when considering the impact of engineering solutions.</t>
    </r>
  </si>
  <si>
    <r>
      <rPr>
        <sz val="11"/>
        <color rgb="FF000000"/>
        <rFont val="Cambria"/>
      </rPr>
      <t xml:space="preserve">Capable of making informed judgments in considering the impact of engineering solutions, but </t>
    </r>
    <r>
      <rPr>
        <b/>
        <sz val="11"/>
        <color rgb="FF000000"/>
        <rFont val="Cambria"/>
      </rPr>
      <t>misses at least one applicable factor</t>
    </r>
    <r>
      <rPr>
        <sz val="11"/>
        <color rgb="FF000000"/>
        <rFont val="Cambria"/>
      </rPr>
      <t xml:space="preserve"> among global, societal, economic, and environmental contexts.</t>
    </r>
  </si>
  <si>
    <r>
      <rPr>
        <sz val="11"/>
        <color rgb="FF000000"/>
        <rFont val="Cambria"/>
      </rPr>
      <t xml:space="preserve">Demonstrates a </t>
    </r>
    <r>
      <rPr>
        <b/>
        <sz val="11"/>
        <color rgb="FF000000"/>
        <rFont val="Cambria"/>
      </rPr>
      <t>basic</t>
    </r>
    <r>
      <rPr>
        <sz val="11"/>
        <color rgb="FF000000"/>
        <rFont val="Cambria"/>
      </rPr>
      <t xml:space="preserve"> ability to make informed judgments in considering the impact of engineering solutions, but </t>
    </r>
    <r>
      <rPr>
        <b/>
        <sz val="11"/>
        <color rgb="FF000000"/>
        <rFont val="Cambria"/>
      </rPr>
      <t>misses two or more factors</t>
    </r>
    <r>
      <rPr>
        <sz val="11"/>
        <color rgb="FF000000"/>
        <rFont val="Cambria"/>
      </rPr>
      <t xml:space="preserve"> in the global, societal, economic, and environmental contexts.</t>
    </r>
  </si>
  <si>
    <r>
      <rPr>
        <b/>
        <sz val="11"/>
        <color rgb="FF000000"/>
        <rFont val="Cambria"/>
      </rPr>
      <t>Lacks the ability</t>
    </r>
    <r>
      <rPr>
        <sz val="11"/>
        <color rgb="FF000000"/>
        <rFont val="Cambria"/>
      </rPr>
      <t xml:space="preserve"> to make informed judgments in considering the impact of engineering solutions, </t>
    </r>
    <r>
      <rPr>
        <b/>
        <sz val="11"/>
        <color rgb="FF000000"/>
        <rFont val="Cambria"/>
      </rPr>
      <t>missing all four factors</t>
    </r>
    <r>
      <rPr>
        <sz val="11"/>
        <color rgb="FF000000"/>
        <rFont val="Cambria"/>
      </rPr>
      <t xml:space="preserve"> (global, societal, economic, and environmental contexts).</t>
    </r>
  </si>
  <si>
    <t>•Does the student state a clear ethical decision or recommended action?</t>
  </si>
  <si>
    <t>Positive points:
Recognizes need for thorough testing to prevent harm (safety / societal impact).
Acknowledges software failure risks and the duty to be honest about limits → good ethical awareness.
Mentions societal and environmental benefits (safer, more efficient, environmentally friendly EV system).
Missing / weaker parts:
Little to no explicit discussion of economic impact or global/cultural contexts.
The impacts are stated in a general way, without concrete examples or trade-offs across the four dimensions.</t>
  </si>
  <si>
    <t>Positive aspects:
Strong ethical framing: obligation to make the system as safe as possible before deployment, including thorough testing in controlled situations.
Identifies risk of software defects replacing mechanical links and the potential for harm.
Emphasizes duty to be truthful and open about capabilities and constraints.
Addresses societal and environmental impact: safer, more energy-efficient, climate-friendly system.
What’s missing for the very top level:
No explicit mention of economic considerations (cost, affordability, scalability, etc.).
Global / cultural context is not clearly discussed (different regulations, user populations, regions, etc.).</t>
  </si>
  <si>
    <t>Strong ethical framing: “primary goal is not to harm,” recognition that replacing mechanical links with software introduces risk of software bugs.
Emphasizes extensive testing in controlled environments before real use → good safety judgment.
Commits to honesty and transparency in reporting capabilities and limitations, with a concrete example (documenting unsupported failure modes and recommending not to operate).
Notes positive societal impact (improved safety), environmental impact (climate-friendly, energy-efficient).
However:
Does not explicitly discuss economic aspects (cost, affordability, scalability) in this answer.
Global/cultural context is not clearly articulated (regulations in different regions, different users, etc.).
So he clearly makes informed ethical judgments and covers societal and environmental aspects well, but does not fully span all four contexts in this specific response</t>
  </si>
  <si>
    <t>Shows safety judgment: choosing to keep mechanical steering/braking as fallback, explaining the trade-off between “advanced” full electronic control and risk in a student prototype.
Explicitly balances cost, safety, and mission effectiveness in that decision.
Discusses societal benefits: better safety, more efficient energy use.
Mentions environmental impact: less impact due to energy-efficient control.
Addresses economic impact: lower lifetime service costs by reducing mechanical components.
References standards, rules, regulations, and the risk of unsafe deployments without them → clear ethical and professional judgment.
Concludes with global framing: cleaner, more safety-conscious, accessible transportation aligned with global engineering needs.
He explicitly touches all four contexts (global, societal, economic, environmental) plus ethics and trade-offs</t>
  </si>
  <si>
    <t>• Is the final judgment consistent with professional integrity and protection of the public?</t>
  </si>
  <si>
    <t>•  Does the student address each GEES factor (global, economic, environmental, societal), or clearly justify why any factor is not applicable?</t>
  </si>
  <si>
    <t>Evluation Type</t>
  </si>
  <si>
    <t>IE</t>
  </si>
  <si>
    <t>No</t>
  </si>
  <si>
    <t>ID</t>
  </si>
  <si>
    <t xml:space="preserve">Average </t>
  </si>
  <si>
    <t>Achievement</t>
  </si>
  <si>
    <t>Individual evaluation</t>
  </si>
  <si>
    <t>PI Results</t>
  </si>
  <si>
    <t>SO Result</t>
  </si>
  <si>
    <t>BE</t>
  </si>
  <si>
    <t>DE</t>
  </si>
  <si>
    <t>ME</t>
  </si>
  <si>
    <t>AE</t>
  </si>
  <si>
    <t>Comment on the  PIs results if any is below 2 or if the SO is below 70%</t>
  </si>
  <si>
    <t>All PIs and the SO results are above the threshold</t>
  </si>
  <si>
    <t>PI41</t>
  </si>
  <si>
    <t>PI42</t>
  </si>
  <si>
    <t xml:space="preserve">Student Work Description </t>
  </si>
  <si>
    <t>SO - PI</t>
  </si>
  <si>
    <t xml:space="preserve">Assessment Item </t>
  </si>
  <si>
    <t xml:space="preserve">Questions Used </t>
  </si>
  <si>
    <t xml:space="preserve">Justification of assessment item selection </t>
  </si>
  <si>
    <t>Key Performance Indicators and Rubrics for Student Outcome:</t>
  </si>
  <si>
    <t>4. Recognize professional responsibilities and make informed judgments in computing practice based on legal and ethical principles.</t>
  </si>
  <si>
    <t>KPI Nbr.</t>
  </si>
  <si>
    <t>KPI Definition</t>
  </si>
  <si>
    <t>Level 0:  
Below Expectation (BE)</t>
  </si>
  <si>
    <t>Level 1: 
Developing Expectation (DE)</t>
  </si>
  <si>
    <t>Level 2: 
Meet Expectation (ME)</t>
  </si>
  <si>
    <t>Level 3: 
Above Expectation (AE)</t>
  </si>
  <si>
    <t>Demonstrate ability to recognize impact and determine best practices.</t>
  </si>
  <si>
    <t>Little recognition of the impact of computing practices on individuals, organizations and society.</t>
  </si>
  <si>
    <t>Some recognition of the effects of computing practices on individuals, organizations and society, but little demonstrated ability to determine best practices.</t>
  </si>
  <si>
    <t>Recognizes some effects of computing practices onindividuals, organizations
and society, and demonstrates acceptable ability to determine best practices</t>
  </si>
  <si>
    <t>Recognizes the effects of computing practices on individuals, organization, and society and demonstrates good ability to determine good practices</t>
  </si>
  <si>
    <t>Demonstrates an ability to recognize ethical dilemmas and apply professional ethical practices to make appropriate decisions</t>
  </si>
  <si>
    <t>Needs assistance to identify ethical dilemmas and to apply the code of
ethics from professional societies and/or ethical theories</t>
  </si>
  <si>
    <t>Demonstrates some ability to identify ethical dilemmas and is aware of, but cannot necessarily apply, a professional code of ethics and/or ethical theory</t>
  </si>
  <si>
    <t>Demonstrates acceptable ability to identify ethical  dilemmas and recognizes
basic elements of a
professional code of ethics and/or ethical theory</t>
  </si>
  <si>
    <t>Can apply elements from a professional code of ethics
and/or ethical theory to
recognize ethical dilemmas
and analyze them.</t>
  </si>
  <si>
    <t>5. Function effectively as a member or leader of a team engaged in activities appropriate to the program’s discipline.</t>
  </si>
  <si>
    <t>Actively contributes to the classroom learning environment with interest, passion , and curiosity</t>
  </si>
  <si>
    <t>Appears uninterested and does not demonstrate or share curiosity and passion. Is defensive about feedback and suggestions.</t>
  </si>
  <si>
    <t xml:space="preserve">Show some interest. Rarely to ask questions and seeks information related to instruction and classroom practice. </t>
  </si>
  <si>
    <t>Demonstrates interest, passion, and curiosity. Asks questions and seeks information related to instruction and classroom practice. Willingly incorporates suggestions and responds appropriately to feedback.</t>
  </si>
  <si>
    <t>Openly contributes to the classroom learning environment as a result of their interest, passion, and curiosity.</t>
  </si>
  <si>
    <t>Effeciently collects information and propose ideas to the team relevant to the group purpose</t>
  </si>
  <si>
    <t>Does not collect any relevant information; no useful suggestions to address team's needs.</t>
  </si>
  <si>
    <t>Participates in collecting general information related to the project; Do not share useful ideas to meet the team's needs.</t>
  </si>
  <si>
    <t>Collects basic, useful information related to the project; occasionally offers useful ideas to meet the team's needs.</t>
  </si>
  <si>
    <t>Collects and presents to the team a great deal of relevant information; offers welldeveloped and clearly expressed ideas directly related to the group's purpose</t>
  </si>
  <si>
    <t xml:space="preserve">Participate actively all team groups and effectively conduct all assigned tasks </t>
  </si>
  <si>
    <t>Does not perform assigned tasks; often misses meetings and, when present, does not have anything constructive to say; relies on others to do the work.</t>
  </si>
  <si>
    <t>Performs some assigned tasks; miss some meetings,contributes rarely to the team work.</t>
  </si>
  <si>
    <t>Performs all assigned tasks; attends meetings regularly and usually participates effectively; generally reliable.</t>
  </si>
  <si>
    <t>Performs all tasks very effectively; attends all meetings and participates enthusiastically; very reliable.</t>
  </si>
  <si>
    <t>Able as leader to to accept other team members'  ideas and contribute to their development and give them full credit</t>
  </si>
  <si>
    <t>Often argues with team mates; doesn't let anyone else talk; occasional personal attacks and "put-downs"; wants to have things done his way and does not listen to alternate approaches.</t>
  </si>
  <si>
    <t>Sometimes listens to others' points of view but do not make effort to understands other ideas.</t>
  </si>
  <si>
    <t>Generally listens to others' points of view; always uses appropriate and respectful language; tries to make a definite effort to understand others' ideas.</t>
  </si>
  <si>
    <t>Always listens to others and their ideas; helps them develop their ideas while giving them full credit; always helps the team reach a fair decision.</t>
  </si>
  <si>
    <t>6. Support the delivery, use, and management of information systems within an information systems environment.</t>
  </si>
  <si>
    <t>Recall and understand the fundamental of  business  concepts (i.e. marketing, accounting, human resource, etc.), its environment, and  requirements</t>
  </si>
  <si>
    <t>Unable to understand business processes and requirements</t>
  </si>
  <si>
    <t>Recall some business process concepts without being able to apply them</t>
  </si>
  <si>
    <t xml:space="preserve">Recall and understands some business concepts and properly apply them </t>
  </si>
  <si>
    <t>Understands and able to properly analyse a business process in a given context and apply them</t>
  </si>
  <si>
    <t>Correctly apply the the understanding of business processes and environment (i.e. marketing, finance, etc.), for  developing relevant information system solutions to solve business problems</t>
  </si>
  <si>
    <t xml:space="preserve">Unable to apply and develop any system based on the fundamental related concept in business. </t>
  </si>
  <si>
    <t xml:space="preserve">Able to partially apply and develop any system based on the fundamental related concept in business. </t>
  </si>
  <si>
    <t xml:space="preserve">Able to show satisfactory application of business concept and develop any system based on the fundamental related concept in business. </t>
  </si>
  <si>
    <t xml:space="preserve">able to successfully apply business concept and develop any system based on the fundamental related concept in business. </t>
  </si>
  <si>
    <t xml:space="preserve">Evaluate and relates the differences in business functions (i.e. marketing, finance, accounting, etc.) and related entities (people and processes) within the business environment, for getting user requirement and customization of IS solutions (i.e. ERP) </t>
  </si>
  <si>
    <t xml:space="preserve">Unable to identify and differentiate users and their roles in various different functions in the business to create requirements, and perform any customization to IS solution.  </t>
  </si>
  <si>
    <t>Can identify and differentiate some parts of  the user requirements but cannot customize the IS solution properly</t>
  </si>
  <si>
    <t>Can identify and differentiate most of the business user requirements and functions, and customize the IS solution satisfactorily</t>
  </si>
  <si>
    <t xml:space="preserve">Can successfully identify business user requirements,  customize and deliver successfully the IS solution  </t>
  </si>
  <si>
    <t>Identify and evaluate IS technologies and business solutions (DBMS, ERP, etc) by applying  knowledge of the business environment and its functional areas (management, marketing, etc.)</t>
  </si>
  <si>
    <t>Unable to identify and evaluate any IS solution related to any business concepts and environment</t>
  </si>
  <si>
    <t>Able to partially identify and evaluate IS solution related to some concepts in the business environment</t>
  </si>
  <si>
    <t>Able to identify and evaluate satisfactorily IS solution related to some concepts in the business environment</t>
  </si>
  <si>
    <t>Able to identify and evaluate successfully IS solution by effectively relating to all concepts in the business environment</t>
  </si>
  <si>
    <t>7. Develop and evaluate E-commerce systems on different platforms using a variety of technologies.</t>
  </si>
  <si>
    <t>Properly design and develop E-commerce solutions</t>
  </si>
  <si>
    <t xml:space="preserve">Cannot recognize E-commerce solution development process </t>
  </si>
  <si>
    <t xml:space="preserve">Partially recall the phases of the development of E-commerce solutions </t>
  </si>
  <si>
    <t>Fully describe the process for the development of E-commerce solution without being  able to apply it properly</t>
  </si>
  <si>
    <t xml:space="preserve">Successfully design and develop E-commerce Solution </t>
  </si>
  <si>
    <t>Accurately compare and evaluate E-Commerce systems</t>
  </si>
  <si>
    <t>Do not recall the criteria for evaluating and comparing E-commerce solutions</t>
  </si>
  <si>
    <t>Recognize some of the criteria for the evaluation of E-commerce solutions</t>
  </si>
  <si>
    <t xml:space="preserve">Recall all the criteria for the evaluation and the comparison of E-commerce systems </t>
  </si>
  <si>
    <t>Successfully compare and evaluate E-commerce systems</t>
  </si>
  <si>
    <t>Successfully implement E-commerce solutions on different platforms</t>
  </si>
  <si>
    <t xml:space="preserve">Recognize the need for using E-commerce development platforms </t>
  </si>
  <si>
    <t>Cite different E-commerce development platforms</t>
  </si>
  <si>
    <t xml:space="preserve">Partially use at least  one E-commerce development plateform </t>
  </si>
  <si>
    <t>Conveniently use a different platforms for developing E-commerce solutions</t>
  </si>
  <si>
    <t>Successfully use different technologies to develop E-commerce solutions</t>
  </si>
  <si>
    <t>Unable to enumerate some e-commerce development techologies</t>
  </si>
  <si>
    <t xml:space="preserve">Cite and partially define the usefullness of some E-commerce development technologies </t>
  </si>
  <si>
    <t>Partially use some E-commerce development technologies to develop relevent solutions</t>
  </si>
  <si>
    <t>Fully understand and use different E-commerce development technologies to deliver E-commerce solutions</t>
  </si>
  <si>
    <t>Rubrics for Student Outcome 8</t>
  </si>
  <si>
    <t>CYS-SO Apply security principles and practices to the environment , hardware, social and human aspects of a system</t>
  </si>
  <si>
    <t>Criterion</t>
  </si>
  <si>
    <t>Assessment of Criterion</t>
  </si>
  <si>
    <t>Above Expectation</t>
  </si>
  <si>
    <t>Meeting expectation</t>
  </si>
  <si>
    <t>Developing Expectation</t>
  </si>
  <si>
    <t>Below Expectation</t>
  </si>
  <si>
    <t>Describe security as a continuous process of tradeoffs, balancing between protection mechanisms and availability</t>
  </si>
  <si>
    <t>Students are able to Illustrate security as a continuous process of tradeoffs, balancing between protection mechanisms and availability.</t>
  </si>
  <si>
    <t>Students are able to describe security as a continuous process of tradeoffs, balancing between protection mechanisms and availability. </t>
  </si>
  <si>
    <t>Students are able to recognize the importance of security as a continuous process of tradeoffs.</t>
  </si>
  <si>
    <t>Students are not able to recognize the importance of security as a continuous process of tradeoffs.</t>
  </si>
  <si>
    <t> Analyze the tradeoffs of balancing key security properties, including Confidentiality, Integrity, and Availability (CIA).</t>
  </si>
  <si>
    <r>
      <rPr>
        <sz val="11"/>
        <color theme="1"/>
        <rFont val="Calibri"/>
      </rPr>
      <t>Students are able to e</t>
    </r>
    <r>
      <rPr>
        <sz val="11"/>
        <color rgb="FF000000"/>
        <rFont val="Calibri"/>
      </rPr>
      <t>valuate the tradeoffs of balancing key security properties, including Confidentiality, Integrity, and Availability (CIA).</t>
    </r>
  </si>
  <si>
    <r>
      <rPr>
        <sz val="11"/>
        <color theme="1"/>
        <rFont val="Calibri"/>
      </rPr>
      <t>Students are able to a</t>
    </r>
    <r>
      <rPr>
        <sz val="11"/>
        <color rgb="FF000000"/>
        <rFont val="Calibri"/>
      </rPr>
      <t>nalyze the tradeoffs of balancing key security properties, including Confidentiality, Integrity, and Availability (CIA)</t>
    </r>
  </si>
  <si>
    <t>Students are able to investigate the tradeoffs of balancing key security properties, including Confidentiality, Integrity, and Availability (CIA)</t>
  </si>
  <si>
    <t>Students are not able to investigate the tradeoffs of balancing key security properties, including Confidentiality, Integrity, and Availability (CIA)</t>
  </si>
  <si>
    <t>Illustrate through examples the concepts of security and privacy risk, threats, vulnerabilities, attack vectors, and exploits, noting there is no such thing as perfect security. </t>
  </si>
  <si>
    <t>Students are able to compare the concepts of risk, threats, vulnerabilities, attack vectors, and exploits to a given scenario.</t>
  </si>
  <si>
    <t>Students are able to illustrate through examples the concepts of risk, threats, vulnerabilities, attack vectors, and exploits, noting there is no such thing as perfect security. </t>
  </si>
  <si>
    <t>Students are able to differentiate the concepts of risk, threats, vulnerabilities, attack vectors, and exploits. </t>
  </si>
  <si>
    <t>Students are notable to differentiate the concepts of risk, threats, vulnerabilities, attack vectors, and exploits. </t>
  </si>
  <si>
    <t>Apply security principles and practices for secure software development in a dynamic environment</t>
  </si>
  <si>
    <r>
      <rPr>
        <sz val="11"/>
        <color theme="1"/>
        <rFont val="Calibri"/>
      </rPr>
      <t>Students are able to e</t>
    </r>
    <r>
      <rPr>
        <sz val="11"/>
        <color rgb="FF000000"/>
        <rFont val="Calibri"/>
      </rPr>
      <t>xamine security principles and practices for secure software development in a dynamic environment. </t>
    </r>
  </si>
  <si>
    <r>
      <rPr>
        <sz val="11"/>
        <color theme="1"/>
        <rFont val="Calibri"/>
      </rPr>
      <t xml:space="preserve">Students are able to apply security principles and practices </t>
    </r>
    <r>
      <rPr>
        <sz val="11"/>
        <color rgb="FF000000"/>
        <rFont val="Calibri"/>
      </rPr>
      <t xml:space="preserve">for secure software development </t>
    </r>
    <r>
      <rPr>
        <sz val="11"/>
        <color theme="1"/>
        <rFont val="Calibri"/>
      </rPr>
      <t>in a dynamic environment. </t>
    </r>
  </si>
  <si>
    <r>
      <rPr>
        <sz val="11"/>
        <color theme="1"/>
        <rFont val="Calibri"/>
      </rPr>
      <t xml:space="preserve">Students are able to summarize security principles and practices </t>
    </r>
    <r>
      <rPr>
        <sz val="11"/>
        <color rgb="FF000000"/>
        <rFont val="Calibri"/>
      </rPr>
      <t>for secure software development</t>
    </r>
    <r>
      <rPr>
        <sz val="11"/>
        <color theme="1"/>
        <rFont val="Calibri"/>
      </rPr>
      <t>. </t>
    </r>
  </si>
  <si>
    <r>
      <rPr>
        <sz val="11"/>
        <color theme="1"/>
        <rFont val="Calibri"/>
      </rPr>
      <t xml:space="preserve">Students are not able to summarize security principles and practices </t>
    </r>
    <r>
      <rPr>
        <sz val="11"/>
        <color rgb="FF000000"/>
        <rFont val="Calibri"/>
      </rPr>
      <t>for secure software development</t>
    </r>
    <r>
      <rPr>
        <sz val="11"/>
        <color theme="1"/>
        <rFont val="Calibri"/>
      </rPr>
      <t>. </t>
    </r>
  </si>
  <si>
    <t>SO1</t>
  </si>
  <si>
    <t>Ability to identify, formulate, and solve complex engineering problems by applying principles of engineering, science, and mathematics.</t>
  </si>
  <si>
    <t>An ability to apply engineering design to produce solutions that meet specified needs with consideration of public health, safety, and welfare, as well as global, cultural, social, environmental, and economic factors.</t>
  </si>
  <si>
    <t>SO3</t>
  </si>
  <si>
    <t>An ability to communicate effectively with a range of audiences.</t>
  </si>
  <si>
    <t>An ability to recognize ethical and professional responsibilities in engineering situations and make informed judgments, which must consider the impact of engineering solutions in global, economic, environmental, and societal contexts.</t>
  </si>
  <si>
    <t>SO5</t>
  </si>
  <si>
    <t>An ability to function effectively on a team whose members together provide leadership, create a collaborative and inclusive environment, establish goals, plan tasks, and meet objectives.</t>
  </si>
  <si>
    <t>SO6</t>
  </si>
  <si>
    <t>An ability to develop and conduct appropriate experimentation, analyze and interpret data, and use engineering judgment to draw conclusions</t>
  </si>
  <si>
    <t>SO7</t>
  </si>
  <si>
    <t>An ability to acquire and apply new knowledge as needed, using appropriate learning strategies.</t>
  </si>
  <si>
    <t>Student's Satisfaction</t>
  </si>
  <si>
    <t>Below Expextations</t>
  </si>
  <si>
    <t>Meets Expectations</t>
  </si>
  <si>
    <t>Accomplished Expectations</t>
  </si>
  <si>
    <t>Quiz</t>
  </si>
  <si>
    <t xml:space="preserve">Major </t>
  </si>
  <si>
    <t>Final</t>
  </si>
  <si>
    <t>Assignment</t>
  </si>
  <si>
    <t>Section's Satisfaction</t>
  </si>
  <si>
    <t>Less than 60% of students are  achieving the Satisfactory level (ME) or above</t>
  </si>
  <si>
    <t>60% to 69% of students are  achieving the Satisfactory level (ME) or above</t>
  </si>
  <si>
    <t>70% to 79% of students are  achieving the Satisfactory level (ME) or above</t>
  </si>
  <si>
    <t>90% or more  of students are  achieving the Satisfactory level (ME) or above</t>
  </si>
  <si>
    <t>Mapped CLO</t>
  </si>
  <si>
    <t>Please provide the information below to support the preparation of the Student Outcome assessment report.</t>
  </si>
  <si>
    <t>Justification of the assessment selection (mention how it is related the PIs of the SO2)</t>
  </si>
  <si>
    <t>Student Name</t>
  </si>
  <si>
    <t>Project / Team</t>
  </si>
  <si>
    <t>SN</t>
  </si>
  <si>
    <t>Class PI %</t>
  </si>
  <si>
    <t>*Add score 0-3 for each item</t>
  </si>
  <si>
    <t>Meet Expectation (2)</t>
  </si>
  <si>
    <t>Below Expectation (0)</t>
  </si>
  <si>
    <t>Developing Expectation (1)</t>
  </si>
  <si>
    <t>Above Expectation (3)</t>
  </si>
  <si>
    <t>PIs Avg</t>
  </si>
  <si>
    <t>Attainment</t>
  </si>
  <si>
    <t>Add the CLO mapaped to this SO</t>
  </si>
  <si>
    <t xml:space="preserve">Semester: </t>
  </si>
  <si>
    <t xml:space="preserve">Instructor: </t>
  </si>
  <si>
    <r>
      <rPr>
        <sz val="11"/>
        <color rgb="FFFF0000"/>
        <rFont val="Calibri"/>
        <family val="2"/>
      </rPr>
      <t xml:space="preserve">[List all assessment instruments used to assess the students for this SO. Mention those are team based and those are invidual }
e.g., </t>
    </r>
    <r>
      <rPr>
        <sz val="11"/>
        <color theme="1"/>
        <rFont val="Calibri"/>
        <family val="2"/>
      </rPr>
      <t xml:space="preserve">
</t>
    </r>
    <r>
      <rPr>
        <b/>
        <sz val="11"/>
        <color theme="1"/>
        <rFont val="Calibri"/>
        <family val="2"/>
      </rPr>
      <t>Team based:</t>
    </r>
    <r>
      <rPr>
        <sz val="11"/>
        <color theme="1"/>
        <rFont val="Calibri"/>
        <family val="2"/>
      </rPr>
      <t xml:space="preserve">
-final design report, 
-presentation
-prototype demonstration 
</t>
    </r>
    <r>
      <rPr>
        <b/>
        <sz val="11"/>
        <color theme="1"/>
        <rFont val="Calibri"/>
        <family val="2"/>
      </rPr>
      <t xml:space="preserve">individaul </t>
    </r>
    <r>
      <rPr>
        <sz val="11"/>
        <color theme="1"/>
        <rFont val="Calibri"/>
        <family val="2"/>
      </rPr>
      <t>assssment:
-individual oral defense, 
-oral presentation discussion, 
-assignment,
- final-exam question. ]</t>
    </r>
  </si>
  <si>
    <t>Complex problem characterstics</t>
  </si>
  <si>
    <r>
      <rPr>
        <sz val="11"/>
        <color rgb="FFFF0000"/>
        <rFont val="Calibri"/>
        <family val="2"/>
      </rPr>
      <t xml:space="preserve">[List which chacractersitc(s) ofcomplex engineering problem considered in this assessment ]. 
e.g., </t>
    </r>
    <r>
      <rPr>
        <sz val="11"/>
        <color theme="1"/>
        <rFont val="Calibri"/>
        <family val="2"/>
      </rPr>
      <t xml:space="preserve">
• Wide-ranging or conflicting technical issues. 
• No obvious solution. 
• Problems not encompassed by current standards and codes. 
• Many component parts or sub-problems. 
• Multiple disciplines. 
• Significant consequences in a range of contexts.
</t>
    </r>
  </si>
  <si>
    <t>Formulates a complete and coherent engineering or mathematical model using appropriate assumptions, parameters, and governing relationships, and clearly justifies key modeling choices.</t>
  </si>
  <si>
    <t>Formulates an appropriate engineering or mathematical model using relevant assumptions, parameters, and governing relationships sufficient to represent the engineering problem.</t>
  </si>
  <si>
    <t>Formulates a partial model, but important assumptions, parameters, or governing relationships are missing, unclear, or incorrectly represented.</t>
  </si>
  <si>
    <t>An appropriate engineering or mathematical model is missing, incorrect, or does not adequately represent the engineering problem.</t>
  </si>
  <si>
    <t>Does the student formulate an appropriate engineering or mathematical model using suitable assumptions, parameters, and governing relationships?</t>
  </si>
  <si>
    <t>Correctly applies appropriate engineering, science, and mathematics principles using a suitable analytical, computational, or experimental method to obtain a valid solution, and demonstrates sound engineering judgment in applying and interpreting the solution method.</t>
  </si>
  <si>
    <t>Correctly applies appropriate engineering, science, and mathematics principles using a suitable analytical, computational, or experimental method to obtain a valid solution.</t>
  </si>
  <si>
    <t>Applies some appropriate principles or methods, but the solution is incomplete or contains significant errors in method, calculations, implementation, or interpretation.</t>
  </si>
  <si>
    <t>Appropriate engineering, science, and mathematics principles are not applied, the selected method is inappropriate, or no valid solution is obtained.</t>
  </si>
  <si>
    <t>Does the student correctly apply appropriate engineering, science, and mathematics principles and a suitable analytical, computational, or experimental method to obtain a valid solution?</t>
  </si>
  <si>
    <t>Checklist for Assessment (Project)</t>
  </si>
  <si>
    <t>Checklist for Assessment
(Exam/Written)</t>
  </si>
  <si>
    <t>PI11</t>
  </si>
  <si>
    <t>PI12</t>
  </si>
  <si>
    <t>PI13</t>
  </si>
  <si>
    <t>Comments: add a comment on the team and individual student performance</t>
  </si>
  <si>
    <r>
      <rPr>
        <sz val="11"/>
        <color rgb="FFED0000"/>
        <rFont val="Calibri"/>
        <family val="2"/>
      </rPr>
      <t>[Add brief description for how the assessment addressed each PI. See the example below. Below is an example for radar system project]</t>
    </r>
    <r>
      <rPr>
        <sz val="11"/>
        <rFont val="Calibri"/>
        <family val="2"/>
      </rPr>
      <t xml:space="preserve">
</t>
    </r>
    <r>
      <rPr>
        <b/>
        <sz val="11"/>
        <rFont val="Calibri"/>
        <family val="2"/>
      </rPr>
      <t>PI11:</t>
    </r>
    <r>
      <rPr>
        <sz val="11"/>
        <rFont val="Calibri"/>
        <family val="2"/>
      </rPr>
      <t xml:space="preserve">
The assessment is designed to require students to identify the key radar requirements, such as detection range and range resolution, the interacting variables such as transmit power, antenna gain, frequency, target RCS, and received power, and relevant constraints such as available bandwidth and transmit-power limits.
</t>
    </r>
    <r>
      <rPr>
        <b/>
        <sz val="11"/>
        <rFont val="Calibri"/>
        <family val="2"/>
      </rPr>
      <t>PI 22:</t>
    </r>
    <r>
      <rPr>
        <sz val="11"/>
        <rFont val="Calibri"/>
        <family val="2"/>
      </rPr>
      <t xml:space="preserve">
The assessment is designed to require students to formulate an appropriate radar-system model by identifying relevant assumptions and parameters, developing a system/block diagram showing the main components and interactions, and applying governing relationships such as the radar range equation and range-resolution relationship.
</t>
    </r>
    <r>
      <rPr>
        <b/>
        <sz val="11"/>
        <rFont val="Calibri"/>
        <family val="2"/>
      </rPr>
      <t>PI13:</t>
    </r>
    <r>
      <rPr>
        <sz val="11"/>
        <rFont val="Calibri"/>
        <family val="2"/>
      </rPr>
      <t xml:space="preserve">
The assessment is designed to require students to solve and analyze the formulated radar problem using appropriate analytical calculations, simulation/computational tools, and/or experimental methods, as appropriate, to determine system parameters and evaluate performance.
 </t>
    </r>
  </si>
  <si>
    <r>
      <rPr>
        <b/>
        <sz val="11"/>
        <rFont val="Calibri"/>
        <family val="2"/>
      </rPr>
      <t>Team assessment (Report):</t>
    </r>
    <r>
      <rPr>
        <sz val="11"/>
        <rFont val="Calibri"/>
        <family val="2"/>
      </rPr>
      <t xml:space="preserve">
• Is an appropriate engineering or mathematical model formulated?
• Are the important assumptions, parameters, and governing relationships identified?
• Do the governing relationships represent the important behavior/interactions in the problem?
</t>
    </r>
    <r>
      <rPr>
        <b/>
        <sz val="11"/>
        <rFont val="Calibri"/>
        <family val="2"/>
      </rPr>
      <t>Individual Assessment:</t>
    </r>
    <r>
      <rPr>
        <sz val="11"/>
        <rFont val="Calibri"/>
        <family val="2"/>
      </rPr>
      <t xml:space="preserve">
• Explain one important assumption, parameter, or governing relationship in the model and why it is appropriate.</t>
    </r>
  </si>
  <si>
    <r>
      <rPr>
        <b/>
        <sz val="11"/>
        <rFont val="Calibri"/>
        <family val="2"/>
      </rPr>
      <t>Team assessment (Report):</t>
    </r>
    <r>
      <rPr>
        <sz val="11"/>
        <rFont val="Calibri"/>
        <family val="2"/>
      </rPr>
      <t xml:space="preserve">
• Are appropriate engineering, science, and mathematics principles applied?
• Is a suitable analytical, computational, or experimental method used?
• Is the solution technically correct and sufficiently complete?
</t>
    </r>
    <r>
      <rPr>
        <b/>
        <sz val="11"/>
        <rFont val="Calibri"/>
        <family val="2"/>
      </rPr>
      <t>Individual Assessment:</t>
    </r>
    <r>
      <rPr>
        <sz val="11"/>
        <rFont val="Calibri"/>
        <family val="2"/>
      </rPr>
      <t xml:space="preserve">
• Explain the method used to solve the problem, why it was appropriate, and one important step in obtaining the solution.</t>
    </r>
  </si>
  <si>
    <t>SO1 Assessment Results</t>
  </si>
  <si>
    <t>Assessment Rubric</t>
  </si>
  <si>
    <r>
      <rPr>
        <b/>
        <sz val="10"/>
        <rFont val="Arial"/>
        <family val="2"/>
      </rPr>
      <t>Notes:</t>
    </r>
    <r>
      <rPr>
        <sz val="10"/>
        <rFont val="Arial"/>
        <family val="2"/>
      </rPr>
      <t xml:space="preserve"> 
-PI results are calculated as the percentage of students who achieved a score of 2 or 3. 
-The SO result is calculated as the percentage of students whose average PI score is 2.0 or higher.
-When both project and individual assessments are used, the final PI score is determined based on the combined evidence (average) from both assessments.</t>
    </r>
  </si>
  <si>
    <r>
      <rPr>
        <b/>
        <sz val="10"/>
        <rFont val="Cambria"/>
        <family val="1"/>
      </rPr>
      <t xml:space="preserve">Assessment Note: </t>
    </r>
    <r>
      <rPr>
        <sz val="10"/>
        <rFont val="Cambria"/>
        <family val="1"/>
      </rPr>
      <t xml:space="preserve">
• Team-based assessment is based on team evidence (e.g., final report).
• Individual attainment may be verified through structured oral questions or individual exam questions.
• Use the checklist column(s) applicable to the selected assessment method; non-applicable checklist items may be left unused.
• For project-based assessment with oral individual verification, use the project checklist. For project-based assessment with individual exam verification, use both the project and exam checklists. For exam-only assessment, use the exam checklist.</t>
    </r>
  </si>
  <si>
    <t>PI11 Identify the key requirements, interacting variables, and technical issues of a complex engineering problem</t>
  </si>
  <si>
    <t>PI12  Formulate an engineering or mathematical model of a complex engineering problem using appropriate assumptions, parameters, and governing relationships.</t>
  </si>
  <si>
    <t>PI13  Solve the formulated complex engineering problem by applying appropriate principles of engineering, science, and mathematics using suitable analytical, computational, or experimental methods.</t>
  </si>
  <si>
    <t>Correctly identifies the key requirements, interacting variables, and relevant technical issues, and clearly demonstrates their significance to the engineering problem.</t>
  </si>
  <si>
    <t>Correctly identifies the key requirements, main interacting variables, and relevant technical issues of the engineering problem.</t>
  </si>
  <si>
    <t>Identifies some relevant requirements, variables, or technical issues, but important elements are missing, unclear, or incorrectly identified.</t>
  </si>
  <si>
    <t>Key requirements, interacting variables, and technical issues are missing, incorrect, or not relevant to the engineering problem.</t>
  </si>
  <si>
    <r>
      <rPr>
        <b/>
        <sz val="11"/>
        <rFont val="Calibri"/>
        <family val="2"/>
      </rPr>
      <t>Team assessment (Report):</t>
    </r>
    <r>
      <rPr>
        <sz val="11"/>
        <rFont val="Calibri"/>
        <family val="2"/>
      </rPr>
      <t xml:space="preserve">
• Are the key requirements, interacting variables, and relevant technical issues identified?
• Are important interactions between variables explained?
• Are the identified technical issues relevant to the engineering problem?
</t>
    </r>
    <r>
      <rPr>
        <b/>
        <sz val="11"/>
        <rFont val="Calibri"/>
        <family val="2"/>
      </rPr>
      <t>Individual Assessment:</t>
    </r>
    <r>
      <rPr>
        <sz val="11"/>
        <rFont val="Calibri"/>
        <family val="2"/>
      </rPr>
      <t xml:space="preserve">
• Identify one important interaction between variables and one key technical issue, and explain their significance to the problem.</t>
    </r>
  </si>
  <si>
    <t>Does the student identify the key requirements, interacting variables, and relevant technical issues of the complex engineering problem?</t>
  </si>
  <si>
    <t>PI11 – Identify the key requirements, interacting variables, and technical issues of a complex engineering problem.
PI12 – Formulate an engineering or mathematical model of a complex engineering problem using appropriate assumptions, parameters, and governing relationships.
PI13 – Solve the formulated complex engineering problem by applying appropriate principles of engineering, science, and mathematics using suitable analytical, computational, or experimental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</si>
</sst>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2">
    <font>
      <sz val="11"/>
      <color theme="1"/>
      <name val="Calibri"/>
      <scheme val="minor"/>
    </font>
    <font>
      <b/>
      <sz val="12"/>
      <color theme="1"/>
      <name val="Times New Roman"/>
    </font>
    <font>
      <sz val="11"/>
      <name val="Calibri"/>
    </font>
    <font>
      <sz val="12"/>
      <color theme="1"/>
      <name val="Times New Roman"/>
    </font>
    <font>
      <sz val="11"/>
      <color theme="1"/>
      <name val="Calibri"/>
    </font>
    <font>
      <b/>
      <sz val="12"/>
      <color theme="1"/>
      <name val="Calibri"/>
    </font>
    <font>
      <b/>
      <sz val="11"/>
      <color theme="1"/>
      <name val="Calibri"/>
    </font>
    <font>
      <sz val="10"/>
      <color rgb="FF000000"/>
      <name val="Calibri"/>
    </font>
    <font>
      <sz val="10"/>
      <color theme="1"/>
      <name val="Calibri"/>
    </font>
    <font>
      <sz val="11"/>
      <color theme="1"/>
      <name val="Cambria"/>
    </font>
    <font>
      <sz val="12"/>
      <color theme="1"/>
      <name val="Calibri"/>
    </font>
    <font>
      <sz val="11"/>
      <color rgb="FF000000"/>
      <name val="Cambria"/>
    </font>
    <font>
      <b/>
      <sz val="11"/>
      <color rgb="FF000000"/>
      <name val="Cambria"/>
    </font>
    <font>
      <sz val="12"/>
      <color theme="1"/>
      <name val="Arial"/>
    </font>
    <font>
      <b/>
      <sz val="12"/>
      <color theme="1"/>
      <name val="Arial"/>
    </font>
    <font>
      <sz val="11"/>
      <color rgb="FFFF0000"/>
      <name val="Calibri"/>
    </font>
    <font>
      <b/>
      <sz val="22"/>
      <color theme="1"/>
      <name val="Calibri"/>
    </font>
    <font>
      <b/>
      <sz val="14"/>
      <color theme="1"/>
      <name val="Calibri"/>
    </font>
    <font>
      <b/>
      <i/>
      <sz val="11"/>
      <color theme="1"/>
      <name val="Calibri"/>
    </font>
    <font>
      <b/>
      <sz val="10"/>
      <color theme="1"/>
      <name val="Arial"/>
    </font>
    <font>
      <sz val="10"/>
      <color theme="1"/>
      <name val="Arial"/>
    </font>
    <font>
      <sz val="11"/>
      <color rgb="FF000000"/>
      <name val="Calibri"/>
    </font>
    <font>
      <sz val="11"/>
      <color theme="1"/>
      <name val="Calibri"/>
      <family val="2"/>
    </font>
    <font>
      <sz val="11"/>
      <name val="Calibri"/>
      <family val="2"/>
    </font>
    <font>
      <b/>
      <sz val="11"/>
      <color theme="1"/>
      <name val="Calibri"/>
      <family val="2"/>
    </font>
    <font>
      <sz val="11"/>
      <color rgb="FF000000"/>
      <name val="Cambria"/>
      <family val="1"/>
    </font>
    <font>
      <sz val="11"/>
      <color rgb="FFED0000"/>
      <name val="Calibri"/>
      <family val="2"/>
    </font>
    <font>
      <sz val="9"/>
      <color theme="1"/>
      <name val="Arial"/>
    </font>
    <font>
      <sz val="10"/>
      <color rgb="FF000000"/>
      <name val="Arial"/>
    </font>
    <font>
      <b/>
      <sz val="9"/>
      <color theme="1"/>
      <name val="Arial"/>
      <family val="2"/>
    </font>
    <font>
      <b/>
      <sz val="11"/>
      <color theme="1"/>
      <name val="Calibri"/>
      <family val="2"/>
      <scheme val="minor"/>
    </font>
    <font>
      <b/>
      <sz val="11"/>
      <name val="Calibri"/>
      <family val="2"/>
    </font>
    <font>
      <b/>
      <sz val="11"/>
      <color rgb="FF000000"/>
      <name val="Cambria"/>
      <family val="1"/>
    </font>
    <font>
      <sz val="11"/>
      <color rgb="FFFF0000"/>
      <name val="Calibri"/>
      <family val="2"/>
    </font>
    <font>
      <sz val="10"/>
      <color rgb="FFFF0000"/>
      <name val="Calibri"/>
      <family val="2"/>
    </font>
    <font>
      <sz val="8"/>
      <color theme="1"/>
      <name val="Arial"/>
      <family val="2"/>
    </font>
    <font>
      <b/>
      <sz val="11"/>
      <color rgb="FF000000"/>
      <name val="Calibri"/>
      <family val="2"/>
    </font>
    <font>
      <b/>
      <sz val="14"/>
      <color rgb="FF000000"/>
      <name val="Cambria"/>
      <family val="1"/>
    </font>
    <font>
      <b/>
      <sz val="14"/>
      <color theme="1"/>
      <name val="Arial"/>
      <family val="2"/>
    </font>
    <font>
      <sz val="11"/>
      <color theme="1"/>
      <name val="Arial"/>
      <family val="2"/>
    </font>
    <font>
      <i/>
      <sz val="8"/>
      <color theme="1"/>
      <name val="Arial"/>
      <family val="2"/>
    </font>
    <font>
      <b/>
      <sz val="12"/>
      <color theme="1"/>
      <name val="Arial"/>
      <family val="2"/>
    </font>
    <font>
      <b/>
      <sz val="12"/>
      <color rgb="FF7030A0"/>
      <name val="Arial"/>
      <family val="2"/>
    </font>
    <font>
      <sz val="12"/>
      <color theme="1"/>
      <name val="Arial"/>
      <family val="2"/>
    </font>
    <font>
      <b/>
      <sz val="12"/>
      <name val="Arial"/>
      <family val="2"/>
    </font>
    <font>
      <sz val="12"/>
      <color rgb="FF0000FF"/>
      <name val="Arial"/>
      <family val="2"/>
    </font>
    <font>
      <b/>
      <sz val="12"/>
      <color rgb="FF000000"/>
      <name val="Arial"/>
      <family val="2"/>
    </font>
    <font>
      <sz val="12"/>
      <color rgb="FF000000"/>
      <name val="Arial"/>
      <family val="2"/>
    </font>
    <font>
      <b/>
      <sz val="10"/>
      <name val="Arial"/>
      <family val="2"/>
    </font>
    <font>
      <sz val="10"/>
      <name val="Arial"/>
      <family val="2"/>
    </font>
    <font>
      <b/>
      <sz val="10"/>
      <name val="Cambria"/>
      <family val="1"/>
    </font>
    <font>
      <sz val="10"/>
      <name val="Cambria"/>
      <family val="1"/>
    </font>
  </fonts>
  <fills count="24">
    <fill>
      <patternFill patternType="none"/>
    </fill>
    <fill>
      <patternFill patternType="gray125"/>
    </fill>
    <fill>
      <patternFill patternType="solid">
        <fgColor rgb="FFF2F2F2"/>
        <bgColor rgb="FFF2F2F2"/>
      </patternFill>
    </fill>
    <fill>
      <patternFill patternType="solid">
        <fgColor rgb="FFFDE9D9"/>
        <bgColor rgb="FFFDE9D9"/>
      </patternFill>
    </fill>
    <fill>
      <patternFill patternType="solid">
        <fgColor rgb="FFE5DFEC"/>
        <bgColor rgb="FFE5DFEC"/>
      </patternFill>
    </fill>
    <fill>
      <patternFill patternType="solid">
        <fgColor theme="0"/>
        <bgColor theme="0"/>
      </patternFill>
    </fill>
    <fill>
      <patternFill patternType="solid">
        <fgColor rgb="FFDDD9C3"/>
        <bgColor rgb="FFDDD9C3"/>
      </patternFill>
    </fill>
    <fill>
      <patternFill patternType="solid">
        <fgColor rgb="FFD8D8D8"/>
        <bgColor rgb="FFD8D8D8"/>
      </patternFill>
    </fill>
    <fill>
      <patternFill patternType="solid">
        <fgColor rgb="FF92D050"/>
        <bgColor rgb="FF92D050"/>
      </patternFill>
    </fill>
    <fill>
      <patternFill patternType="solid">
        <fgColor rgb="FFFFFFFF"/>
        <bgColor rgb="FFFFFFFF"/>
      </patternFill>
    </fill>
    <fill>
      <patternFill patternType="solid">
        <fgColor rgb="FF95B3D7"/>
        <bgColor rgb="FF95B3D7"/>
      </patternFill>
    </fill>
    <fill>
      <patternFill patternType="solid">
        <fgColor rgb="FFBFBFBF"/>
        <bgColor rgb="FFBFBFBF"/>
      </patternFill>
    </fill>
    <fill>
      <patternFill patternType="solid">
        <fgColor rgb="FFFFC000"/>
        <bgColor rgb="FFFFC000"/>
      </patternFill>
    </fill>
    <fill>
      <patternFill patternType="solid">
        <fgColor theme="9" tint="0.79998168889431442"/>
        <bgColor rgb="FF1F4E78"/>
      </patternFill>
    </fill>
    <fill>
      <patternFill patternType="solid">
        <fgColor theme="0"/>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bgColor rgb="FFFDE9D9"/>
      </patternFill>
    </fill>
    <fill>
      <patternFill patternType="solid">
        <fgColor rgb="FFFFF2CC"/>
      </patternFill>
    </fill>
    <fill>
      <patternFill patternType="solid">
        <fgColor rgb="FFFFC000"/>
        <bgColor indexed="64"/>
      </patternFill>
    </fill>
    <fill>
      <patternFill patternType="solid">
        <fgColor rgb="FFFCE4D6"/>
      </patternFill>
    </fill>
    <fill>
      <patternFill patternType="solid">
        <fgColor theme="9" tint="0.79998168889431442"/>
        <bgColor indexed="64"/>
      </patternFill>
    </fill>
  </fills>
  <borders count="59">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style="thin">
        <color rgb="FF000000"/>
      </left>
      <right/>
      <top/>
      <bottom/>
      <diagonal/>
    </border>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diagonal/>
    </border>
    <border>
      <left/>
      <right/>
      <top/>
      <bottom/>
      <diagonal/>
    </border>
    <border>
      <left/>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medium">
        <color rgb="FF000000"/>
      </top>
      <bottom/>
      <diagonal/>
    </border>
    <border>
      <left style="thin">
        <color indexed="64"/>
      </left>
      <right/>
      <top/>
      <bottom style="medium">
        <color rgb="FF00000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s>
  <cellStyleXfs count="1">
    <xf numFmtId="0" fontId="0" fillId="0" borderId="0"/>
  </cellStyleXfs>
  <cellXfs count="219">
    <xf numFmtId="0" fontId="0" fillId="0" borderId="0" xfId="0"/>
    <xf numFmtId="0" fontId="4" fillId="0" borderId="0" xfId="0" applyFont="1"/>
    <xf numFmtId="0" fontId="6" fillId="3" borderId="7" xfId="0" applyFont="1" applyFill="1" applyBorder="1" applyAlignment="1">
      <alignment horizontal="center" vertical="center"/>
    </xf>
    <xf numFmtId="0" fontId="4" fillId="0" borderId="8" xfId="0" applyFont="1" applyBorder="1" applyAlignment="1">
      <alignment horizontal="center" vertical="center"/>
    </xf>
    <xf numFmtId="0" fontId="8" fillId="0" borderId="8" xfId="0" applyFont="1" applyBorder="1" applyAlignment="1">
      <alignment vertical="center" wrapText="1"/>
    </xf>
    <xf numFmtId="0" fontId="10" fillId="0" borderId="8" xfId="0" applyFont="1" applyBorder="1" applyAlignment="1">
      <alignment horizontal="center"/>
    </xf>
    <xf numFmtId="0" fontId="4" fillId="0" borderId="0" xfId="0" applyFont="1" applyAlignment="1">
      <alignment horizontal="center"/>
    </xf>
    <xf numFmtId="0" fontId="11" fillId="3" borderId="10"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1" fillId="4" borderId="11" xfId="0" applyFont="1" applyFill="1" applyBorder="1" applyAlignment="1">
      <alignment horizontal="center" vertical="center" wrapText="1"/>
    </xf>
    <xf numFmtId="0" fontId="11" fillId="6" borderId="11" xfId="0" applyFont="1" applyFill="1" applyBorder="1" applyAlignment="1">
      <alignment horizontal="center" vertical="center" wrapText="1"/>
    </xf>
    <xf numFmtId="0" fontId="11" fillId="0" borderId="8" xfId="0" applyFont="1" applyBorder="1" applyAlignment="1">
      <alignment vertical="center" wrapText="1"/>
    </xf>
    <xf numFmtId="0" fontId="4" fillId="3" borderId="26" xfId="0" applyFont="1" applyFill="1" applyBorder="1" applyAlignment="1">
      <alignment horizontal="right"/>
    </xf>
    <xf numFmtId="0" fontId="4" fillId="3" borderId="26" xfId="0" applyFont="1" applyFill="1" applyBorder="1" applyAlignment="1">
      <alignment horizontal="center" vertical="center"/>
    </xf>
    <xf numFmtId="0" fontId="6" fillId="4" borderId="8" xfId="0" applyFont="1" applyFill="1" applyBorder="1" applyAlignment="1">
      <alignment horizontal="center" vertical="center"/>
    </xf>
    <xf numFmtId="0" fontId="4" fillId="3" borderId="8" xfId="0" applyFont="1" applyFill="1" applyBorder="1" applyAlignment="1">
      <alignment horizontal="left" vertical="center"/>
    </xf>
    <xf numFmtId="0" fontId="15" fillId="4" borderId="8" xfId="0" applyFont="1" applyFill="1" applyBorder="1" applyAlignment="1">
      <alignment horizontal="center"/>
    </xf>
    <xf numFmtId="0" fontId="4" fillId="0" borderId="8" xfId="0" applyFont="1" applyBorder="1" applyAlignment="1">
      <alignment horizontal="center" vertical="center" wrapText="1"/>
    </xf>
    <xf numFmtId="0" fontId="4" fillId="0" borderId="8" xfId="0" applyFont="1" applyBorder="1" applyAlignment="1">
      <alignment horizontal="left"/>
    </xf>
    <xf numFmtId="0" fontId="4" fillId="0" borderId="8" xfId="0" applyFont="1" applyBorder="1" applyAlignment="1">
      <alignment horizontal="center"/>
    </xf>
    <xf numFmtId="2" fontId="4" fillId="0" borderId="8" xfId="0" applyNumberFormat="1" applyFont="1" applyBorder="1" applyAlignment="1">
      <alignment horizontal="center"/>
    </xf>
    <xf numFmtId="0" fontId="4" fillId="5" borderId="26" xfId="0" applyFont="1" applyFill="1" applyBorder="1"/>
    <xf numFmtId="0" fontId="4" fillId="0" borderId="1" xfId="0" applyFont="1" applyBorder="1" applyAlignment="1">
      <alignment horizontal="center"/>
    </xf>
    <xf numFmtId="2" fontId="4" fillId="0" borderId="0" xfId="0" applyNumberFormat="1" applyFont="1" applyAlignment="1">
      <alignment horizontal="center"/>
    </xf>
    <xf numFmtId="10" fontId="4" fillId="0" borderId="0" xfId="0" applyNumberFormat="1" applyFont="1" applyAlignment="1">
      <alignment horizontal="center"/>
    </xf>
    <xf numFmtId="0" fontId="4" fillId="0" borderId="12" xfId="0" applyFont="1" applyBorder="1" applyAlignment="1">
      <alignment horizontal="center"/>
    </xf>
    <xf numFmtId="0" fontId="4" fillId="0" borderId="0" xfId="0" applyFont="1" applyAlignment="1">
      <alignment horizontal="center" vertical="center" wrapText="1"/>
    </xf>
    <xf numFmtId="0" fontId="4" fillId="0" borderId="0" xfId="0" applyFont="1" applyAlignment="1">
      <alignment horizontal="left"/>
    </xf>
    <xf numFmtId="0" fontId="10" fillId="3" borderId="8" xfId="0" applyFont="1" applyFill="1" applyBorder="1" applyAlignment="1">
      <alignment horizontal="center" vertical="center"/>
    </xf>
    <xf numFmtId="0" fontId="10" fillId="3" borderId="15" xfId="0" applyFont="1" applyFill="1" applyBorder="1" applyAlignment="1">
      <alignment horizontal="center"/>
    </xf>
    <xf numFmtId="0" fontId="6" fillId="0" borderId="8" xfId="0" applyFont="1" applyBorder="1" applyAlignment="1">
      <alignment horizontal="center"/>
    </xf>
    <xf numFmtId="0" fontId="10" fillId="3" borderId="8" xfId="0" applyFont="1" applyFill="1" applyBorder="1" applyAlignment="1">
      <alignment horizontal="center"/>
    </xf>
    <xf numFmtId="0" fontId="5" fillId="5" borderId="26" xfId="0" applyFont="1" applyFill="1" applyBorder="1" applyAlignment="1">
      <alignment horizontal="right"/>
    </xf>
    <xf numFmtId="164" fontId="5" fillId="5" borderId="8" xfId="0" applyNumberFormat="1" applyFont="1" applyFill="1" applyBorder="1" applyAlignment="1">
      <alignment horizontal="center" vertical="center"/>
    </xf>
    <xf numFmtId="0" fontId="4" fillId="0" borderId="0" xfId="0" applyFont="1" applyAlignment="1">
      <alignment horizontal="right"/>
    </xf>
    <xf numFmtId="0" fontId="4" fillId="0" borderId="8" xfId="0" applyFont="1" applyBorder="1" applyAlignment="1">
      <alignment horizontal="center" wrapText="1"/>
    </xf>
    <xf numFmtId="0" fontId="6" fillId="11" borderId="7" xfId="0" applyFont="1" applyFill="1" applyBorder="1" applyAlignment="1">
      <alignment horizontal="center"/>
    </xf>
    <xf numFmtId="0" fontId="4" fillId="0" borderId="39" xfId="0" applyFont="1" applyBorder="1" applyAlignment="1">
      <alignment horizontal="center" vertical="center"/>
    </xf>
    <xf numFmtId="0" fontId="4" fillId="0" borderId="42" xfId="0" applyFont="1" applyBorder="1" applyAlignment="1">
      <alignment horizontal="center" vertical="center"/>
    </xf>
    <xf numFmtId="0" fontId="4" fillId="0" borderId="44" xfId="0" applyFont="1" applyBorder="1" applyAlignment="1">
      <alignment horizontal="center" vertical="center"/>
    </xf>
    <xf numFmtId="0" fontId="4" fillId="0" borderId="48" xfId="0" applyFont="1" applyBorder="1" applyAlignment="1">
      <alignment horizontal="center" vertical="center"/>
    </xf>
    <xf numFmtId="0" fontId="6" fillId="0" borderId="0" xfId="0" applyFont="1"/>
    <xf numFmtId="0" fontId="17" fillId="0" borderId="0" xfId="0" applyFont="1"/>
    <xf numFmtId="0" fontId="10" fillId="0" borderId="0" xfId="0" applyFont="1" applyAlignment="1">
      <alignment wrapText="1"/>
    </xf>
    <xf numFmtId="0" fontId="4" fillId="0" borderId="0" xfId="0" applyFont="1" applyAlignment="1">
      <alignment wrapText="1"/>
    </xf>
    <xf numFmtId="0" fontId="6" fillId="0" borderId="0" xfId="0" applyFont="1" applyAlignment="1">
      <alignment horizontal="center"/>
    </xf>
    <xf numFmtId="0" fontId="5" fillId="0" borderId="8" xfId="0" applyFont="1" applyBorder="1" applyAlignment="1">
      <alignment horizontal="center"/>
    </xf>
    <xf numFmtId="0" fontId="5" fillId="0" borderId="8" xfId="0" applyFont="1" applyBorder="1" applyAlignment="1">
      <alignment horizontal="center" wrapText="1"/>
    </xf>
    <xf numFmtId="0" fontId="4" fillId="0" borderId="8" xfId="0" applyFont="1" applyBorder="1" applyAlignment="1">
      <alignment vertical="top" wrapText="1"/>
    </xf>
    <xf numFmtId="0" fontId="4" fillId="0" borderId="8" xfId="0" applyFont="1" applyBorder="1" applyAlignment="1">
      <alignment wrapText="1"/>
    </xf>
    <xf numFmtId="0" fontId="10" fillId="0" borderId="0" xfId="0" applyFont="1" applyAlignment="1">
      <alignment horizontal="center" wrapText="1"/>
    </xf>
    <xf numFmtId="0" fontId="4" fillId="0" borderId="0" xfId="0" applyFont="1" applyAlignment="1">
      <alignment horizontal="center" wrapText="1"/>
    </xf>
    <xf numFmtId="0" fontId="10" fillId="0" borderId="8" xfId="0" applyFont="1" applyBorder="1" applyAlignment="1">
      <alignment vertical="top" wrapText="1"/>
    </xf>
    <xf numFmtId="0" fontId="5" fillId="7" borderId="8" xfId="0" applyFont="1" applyFill="1" applyBorder="1" applyAlignment="1">
      <alignment horizontal="center"/>
    </xf>
    <xf numFmtId="0" fontId="5" fillId="7" borderId="8" xfId="0" applyFont="1" applyFill="1" applyBorder="1" applyAlignment="1">
      <alignment horizontal="center" wrapText="1"/>
    </xf>
    <xf numFmtId="0" fontId="10" fillId="7" borderId="8" xfId="0" applyFont="1" applyFill="1" applyBorder="1" applyAlignment="1">
      <alignment horizontal="center"/>
    </xf>
    <xf numFmtId="0" fontId="10" fillId="7" borderId="8" xfId="0" applyFont="1" applyFill="1" applyBorder="1" applyAlignment="1">
      <alignment vertical="top" wrapText="1"/>
    </xf>
    <xf numFmtId="0" fontId="6" fillId="7" borderId="8" xfId="0" applyFont="1" applyFill="1" applyBorder="1" applyAlignment="1">
      <alignment horizontal="center" vertical="center" wrapText="1"/>
    </xf>
    <xf numFmtId="0" fontId="6" fillId="7" borderId="8" xfId="0" applyFont="1" applyFill="1" applyBorder="1" applyAlignment="1">
      <alignment vertical="center" wrapText="1"/>
    </xf>
    <xf numFmtId="0" fontId="4" fillId="7" borderId="8" xfId="0" applyFont="1" applyFill="1" applyBorder="1" applyAlignment="1">
      <alignment vertical="center" wrapText="1"/>
    </xf>
    <xf numFmtId="2" fontId="19" fillId="0" borderId="8" xfId="0" applyNumberFormat="1" applyFont="1" applyBorder="1" applyAlignment="1">
      <alignment horizontal="left"/>
    </xf>
    <xf numFmtId="0" fontId="19" fillId="0" borderId="8" xfId="0" applyFont="1" applyBorder="1" applyAlignment="1">
      <alignment horizontal="left"/>
    </xf>
    <xf numFmtId="0" fontId="20" fillId="0" borderId="8" xfId="0" applyFont="1" applyBorder="1"/>
    <xf numFmtId="2" fontId="19" fillId="0" borderId="8" xfId="0" applyNumberFormat="1" applyFont="1" applyBorder="1" applyAlignment="1">
      <alignment horizontal="center" vertical="center"/>
    </xf>
    <xf numFmtId="0" fontId="19" fillId="0" borderId="8" xfId="0" applyFont="1" applyBorder="1" applyAlignment="1">
      <alignment horizontal="center" vertical="center"/>
    </xf>
    <xf numFmtId="0" fontId="20" fillId="0" borderId="8" xfId="0" applyFont="1" applyBorder="1" applyAlignment="1">
      <alignment horizontal="center" vertical="center" wrapText="1"/>
    </xf>
    <xf numFmtId="0" fontId="27" fillId="0" borderId="0" xfId="0" applyFont="1"/>
    <xf numFmtId="0" fontId="28" fillId="0" borderId="0" xfId="0" applyFont="1" applyAlignment="1">
      <alignment horizontal="center" vertical="center" wrapText="1"/>
    </xf>
    <xf numFmtId="0" fontId="29" fillId="0" borderId="0" xfId="0" applyFont="1"/>
    <xf numFmtId="0" fontId="28" fillId="0" borderId="0" xfId="0" applyFont="1" applyAlignment="1">
      <alignment horizontal="center"/>
    </xf>
    <xf numFmtId="0" fontId="31" fillId="0" borderId="50" xfId="0" applyFont="1" applyBorder="1" applyAlignment="1">
      <alignment vertical="center" wrapText="1"/>
    </xf>
    <xf numFmtId="0" fontId="11" fillId="19" borderId="50" xfId="0" applyFont="1" applyFill="1" applyBorder="1" applyAlignment="1">
      <alignment horizontal="center" vertical="center" wrapText="1"/>
    </xf>
    <xf numFmtId="0" fontId="25" fillId="19" borderId="50" xfId="0" applyFont="1" applyFill="1" applyBorder="1" applyAlignment="1">
      <alignment horizontal="center" vertical="center" wrapText="1"/>
    </xf>
    <xf numFmtId="0" fontId="25" fillId="19" borderId="52" xfId="0" applyFont="1" applyFill="1" applyBorder="1" applyAlignment="1">
      <alignment horizontal="center" vertical="center" wrapText="1"/>
    </xf>
    <xf numFmtId="0" fontId="34" fillId="0" borderId="8" xfId="0" applyFont="1" applyBorder="1" applyAlignment="1">
      <alignment horizontal="center" vertical="center" wrapText="1"/>
    </xf>
    <xf numFmtId="0" fontId="35" fillId="14" borderId="50" xfId="0" applyFont="1" applyFill="1" applyBorder="1" applyAlignment="1">
      <alignment horizontal="left" vertical="top" wrapText="1"/>
    </xf>
    <xf numFmtId="0" fontId="35" fillId="15" borderId="50" xfId="0" applyFont="1" applyFill="1" applyBorder="1" applyAlignment="1">
      <alignment horizontal="left" vertical="top" wrapText="1"/>
    </xf>
    <xf numFmtId="0" fontId="23" fillId="0" borderId="56" xfId="0" applyFont="1" applyBorder="1" applyAlignment="1">
      <alignment wrapText="1"/>
    </xf>
    <xf numFmtId="0" fontId="0" fillId="0" borderId="50" xfId="0" applyBorder="1" applyAlignment="1">
      <alignment vertical="center" wrapText="1"/>
    </xf>
    <xf numFmtId="0" fontId="40" fillId="14" borderId="50" xfId="0" applyFont="1" applyFill="1" applyBorder="1" applyAlignment="1">
      <alignment horizontal="left" vertical="top" wrapText="1"/>
    </xf>
    <xf numFmtId="0" fontId="40" fillId="15" borderId="50" xfId="0" applyFont="1" applyFill="1" applyBorder="1" applyAlignment="1">
      <alignment horizontal="left" vertical="top" wrapText="1"/>
    </xf>
    <xf numFmtId="0" fontId="39" fillId="16" borderId="49" xfId="0" applyFont="1" applyFill="1" applyBorder="1" applyAlignment="1">
      <alignment horizontal="center" vertical="center"/>
    </xf>
    <xf numFmtId="0" fontId="43" fillId="0" borderId="0" xfId="0" applyFont="1"/>
    <xf numFmtId="0" fontId="43" fillId="14" borderId="50" xfId="0" applyFont="1" applyFill="1" applyBorder="1" applyAlignment="1">
      <alignment horizontal="center"/>
    </xf>
    <xf numFmtId="0" fontId="43" fillId="0" borderId="50" xfId="0" applyFont="1" applyBorder="1" applyAlignment="1">
      <alignment horizontal="center" wrapText="1"/>
    </xf>
    <xf numFmtId="0" fontId="45" fillId="0" borderId="50" xfId="0" applyFont="1" applyBorder="1" applyAlignment="1">
      <alignment horizontal="center" vertical="center" wrapText="1"/>
    </xf>
    <xf numFmtId="164" fontId="46" fillId="18" borderId="50" xfId="0" applyNumberFormat="1" applyFont="1" applyFill="1" applyBorder="1" applyAlignment="1">
      <alignment horizontal="center" vertical="center" wrapText="1"/>
    </xf>
    <xf numFmtId="0" fontId="47" fillId="14" borderId="50" xfId="0" applyFont="1" applyFill="1" applyBorder="1" applyAlignment="1">
      <alignment horizontal="center" vertical="center" wrapText="1"/>
    </xf>
    <xf numFmtId="0" fontId="43" fillId="15" borderId="50" xfId="0" applyFont="1" applyFill="1" applyBorder="1" applyAlignment="1">
      <alignment horizontal="center"/>
    </xf>
    <xf numFmtId="0" fontId="43" fillId="15" borderId="50" xfId="0" applyFont="1" applyFill="1" applyBorder="1" applyAlignment="1">
      <alignment horizontal="center" wrapText="1"/>
    </xf>
    <xf numFmtId="0" fontId="45" fillId="15" borderId="50" xfId="0" applyFont="1" applyFill="1" applyBorder="1" applyAlignment="1">
      <alignment horizontal="center" vertical="center" wrapText="1"/>
    </xf>
    <xf numFmtId="0" fontId="47" fillId="15" borderId="50" xfId="0" applyFont="1" applyFill="1" applyBorder="1" applyAlignment="1">
      <alignment horizontal="center" vertical="center" wrapText="1"/>
    </xf>
    <xf numFmtId="0" fontId="43" fillId="15" borderId="50" xfId="0" applyFont="1" applyFill="1" applyBorder="1"/>
    <xf numFmtId="0" fontId="43" fillId="15" borderId="50" xfId="0" applyFont="1" applyFill="1" applyBorder="1" applyAlignment="1">
      <alignment horizontal="center" vertical="center"/>
    </xf>
    <xf numFmtId="0" fontId="43" fillId="14" borderId="50" xfId="0" applyFont="1" applyFill="1" applyBorder="1"/>
    <xf numFmtId="0" fontId="43" fillId="14" borderId="50" xfId="0" applyFont="1" applyFill="1" applyBorder="1" applyAlignment="1">
      <alignment horizontal="center" vertical="center"/>
    </xf>
    <xf numFmtId="0" fontId="43" fillId="15" borderId="49" xfId="0" applyFont="1" applyFill="1" applyBorder="1" applyAlignment="1">
      <alignment horizontal="center"/>
    </xf>
    <xf numFmtId="0" fontId="43" fillId="15" borderId="49" xfId="0" applyFont="1" applyFill="1" applyBorder="1"/>
    <xf numFmtId="0" fontId="43" fillId="17" borderId="49" xfId="0" applyFont="1" applyFill="1" applyBorder="1" applyAlignment="1">
      <alignment horizontal="right"/>
    </xf>
    <xf numFmtId="164" fontId="41" fillId="17" borderId="49" xfId="0" applyNumberFormat="1" applyFont="1" applyFill="1" applyBorder="1" applyAlignment="1">
      <alignment horizontal="center" vertical="center"/>
    </xf>
    <xf numFmtId="164" fontId="43" fillId="17" borderId="49" xfId="0" applyNumberFormat="1" applyFont="1" applyFill="1" applyBorder="1" applyAlignment="1">
      <alignment horizontal="center" vertical="center"/>
    </xf>
    <xf numFmtId="0" fontId="43" fillId="16" borderId="49" xfId="0" applyFont="1" applyFill="1" applyBorder="1" applyAlignment="1">
      <alignment horizontal="center" vertical="center"/>
    </xf>
    <xf numFmtId="0" fontId="43" fillId="15" borderId="49" xfId="0" applyFont="1" applyFill="1" applyBorder="1" applyAlignment="1">
      <alignment wrapText="1"/>
    </xf>
    <xf numFmtId="0" fontId="35" fillId="15" borderId="50" xfId="0" applyFont="1" applyFill="1" applyBorder="1" applyAlignment="1">
      <alignment wrapText="1"/>
    </xf>
    <xf numFmtId="0" fontId="35" fillId="14" borderId="50" xfId="0" applyFont="1" applyFill="1" applyBorder="1" applyAlignment="1">
      <alignment wrapText="1"/>
    </xf>
    <xf numFmtId="0" fontId="36" fillId="22" borderId="50" xfId="0" applyFont="1" applyFill="1" applyBorder="1" applyAlignment="1">
      <alignment horizontal="center" vertical="center" wrapText="1"/>
    </xf>
    <xf numFmtId="0" fontId="37" fillId="5" borderId="53" xfId="0" applyFont="1" applyFill="1" applyBorder="1" applyAlignment="1">
      <alignment horizontal="center" vertical="center" wrapText="1"/>
    </xf>
    <xf numFmtId="0" fontId="37" fillId="5" borderId="49" xfId="0" applyFont="1" applyFill="1" applyBorder="1" applyAlignment="1">
      <alignment horizontal="center" vertical="center" wrapText="1"/>
    </xf>
    <xf numFmtId="0" fontId="51" fillId="20" borderId="57" xfId="0" applyFont="1" applyFill="1" applyBorder="1" applyAlignment="1">
      <alignment horizontal="left" vertical="center" wrapText="1"/>
    </xf>
    <xf numFmtId="0" fontId="51" fillId="20" borderId="58" xfId="0" applyFont="1" applyFill="1" applyBorder="1" applyAlignment="1">
      <alignment horizontal="left" vertical="center" wrapText="1"/>
    </xf>
    <xf numFmtId="0" fontId="32" fillId="3" borderId="50" xfId="0" applyFont="1" applyFill="1" applyBorder="1" applyAlignment="1">
      <alignment horizontal="center" vertical="center" wrapText="1"/>
    </xf>
    <xf numFmtId="0" fontId="31" fillId="0" borderId="50" xfId="0" applyFont="1" applyBorder="1"/>
    <xf numFmtId="0" fontId="36" fillId="22" borderId="54" xfId="0" applyFont="1" applyFill="1" applyBorder="1" applyAlignment="1">
      <alignment horizontal="center" vertical="center" wrapText="1"/>
    </xf>
    <xf numFmtId="0" fontId="36" fillId="22" borderId="55" xfId="0" applyFont="1" applyFill="1" applyBorder="1" applyAlignment="1">
      <alignment horizontal="center" vertical="center" wrapText="1"/>
    </xf>
    <xf numFmtId="0" fontId="32" fillId="3" borderId="51" xfId="0" applyFont="1" applyFill="1" applyBorder="1" applyAlignment="1">
      <alignment horizontal="center" vertical="center" wrapText="1"/>
    </xf>
    <xf numFmtId="0" fontId="32" fillId="3" borderId="52" xfId="0" applyFont="1" applyFill="1" applyBorder="1" applyAlignment="1">
      <alignment horizontal="center" vertical="center" wrapText="1"/>
    </xf>
    <xf numFmtId="0" fontId="1" fillId="2" borderId="1"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2" fillId="0" borderId="3" xfId="0" applyFont="1" applyBorder="1"/>
    <xf numFmtId="0" fontId="2" fillId="0" borderId="2" xfId="0" applyFont="1" applyBorder="1"/>
    <xf numFmtId="0" fontId="7" fillId="0" borderId="1" xfId="0" applyFont="1" applyBorder="1" applyAlignment="1">
      <alignment horizontal="left" vertical="center" wrapText="1"/>
    </xf>
    <xf numFmtId="0" fontId="4" fillId="0" borderId="33" xfId="0" applyFont="1" applyBorder="1" applyAlignment="1">
      <alignment horizontal="center" vertical="center"/>
    </xf>
    <xf numFmtId="0" fontId="30" fillId="0" borderId="33" xfId="0" applyFont="1" applyBorder="1" applyAlignment="1">
      <alignment horizontal="left"/>
    </xf>
    <xf numFmtId="0" fontId="4" fillId="0" borderId="1" xfId="0" applyFont="1" applyBorder="1" applyAlignment="1">
      <alignment horizontal="left" vertical="center" wrapText="1"/>
    </xf>
    <xf numFmtId="0" fontId="4" fillId="0" borderId="0" xfId="0" applyFont="1"/>
    <xf numFmtId="0" fontId="0" fillId="0" borderId="0" xfId="0"/>
    <xf numFmtId="0" fontId="5" fillId="3" borderId="4" xfId="0" applyFont="1" applyFill="1" applyBorder="1" applyAlignment="1">
      <alignment horizontal="center" vertical="center" wrapText="1"/>
    </xf>
    <xf numFmtId="0" fontId="2" fillId="0" borderId="5" xfId="0" applyFont="1" applyBorder="1"/>
    <xf numFmtId="0" fontId="2" fillId="0" borderId="6" xfId="0" applyFont="1" applyBorder="1"/>
    <xf numFmtId="0" fontId="5" fillId="3" borderId="1" xfId="0" applyFont="1" applyFill="1" applyBorder="1" applyAlignment="1">
      <alignment horizontal="center" vertical="center" wrapText="1"/>
    </xf>
    <xf numFmtId="0" fontId="2" fillId="0" borderId="3" xfId="0" applyFont="1" applyBorder="1" applyAlignment="1">
      <alignment horizontal="left" vertical="center"/>
    </xf>
    <xf numFmtId="0" fontId="2" fillId="0" borderId="2" xfId="0" applyFont="1" applyBorder="1" applyAlignment="1">
      <alignment horizontal="left" vertical="center"/>
    </xf>
    <xf numFmtId="0" fontId="3" fillId="2" borderId="1" xfId="0" applyFont="1" applyFill="1" applyBorder="1"/>
    <xf numFmtId="0" fontId="22" fillId="0" borderId="50" xfId="0" applyFont="1" applyBorder="1" applyAlignment="1">
      <alignment horizontal="left" vertical="center" wrapText="1"/>
    </xf>
    <xf numFmtId="0" fontId="2" fillId="0" borderId="50" xfId="0" applyFont="1" applyBorder="1"/>
    <xf numFmtId="0" fontId="24" fillId="3" borderId="34"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22" fillId="0" borderId="50" xfId="0" applyFont="1" applyBorder="1" applyAlignment="1">
      <alignment horizontal="left" vertical="top" wrapText="1"/>
    </xf>
    <xf numFmtId="0" fontId="24" fillId="3" borderId="12" xfId="0" applyFont="1" applyFill="1" applyBorder="1" applyAlignment="1">
      <alignment horizontal="center" vertical="center"/>
    </xf>
    <xf numFmtId="0" fontId="24" fillId="3" borderId="34" xfId="0" applyFont="1" applyFill="1" applyBorder="1" applyAlignment="1">
      <alignment horizontal="center" vertical="center"/>
    </xf>
    <xf numFmtId="0" fontId="22" fillId="0" borderId="50" xfId="0" applyFont="1" applyBorder="1" applyAlignment="1">
      <alignment horizontal="center" vertical="top" wrapText="1"/>
    </xf>
    <xf numFmtId="0" fontId="6" fillId="3" borderId="12" xfId="0" applyFont="1" applyFill="1" applyBorder="1" applyAlignment="1">
      <alignment horizontal="center" vertical="center"/>
    </xf>
    <xf numFmtId="0" fontId="2" fillId="0" borderId="13" xfId="0" applyFont="1" applyBorder="1"/>
    <xf numFmtId="0" fontId="4" fillId="0" borderId="13" xfId="0" applyFont="1" applyBorder="1" applyAlignment="1">
      <alignment horizontal="center" vertical="center" wrapText="1"/>
    </xf>
    <xf numFmtId="0" fontId="2" fillId="0" borderId="21" xfId="0" applyFont="1" applyBorder="1"/>
    <xf numFmtId="0" fontId="2" fillId="0" borderId="17" xfId="0" applyFont="1" applyBorder="1"/>
    <xf numFmtId="0" fontId="4" fillId="0" borderId="18" xfId="0" applyFont="1" applyBorder="1" applyAlignment="1">
      <alignment horizontal="center" vertical="center"/>
    </xf>
    <xf numFmtId="0" fontId="2" fillId="0" borderId="19" xfId="0" applyFont="1" applyBorder="1"/>
    <xf numFmtId="0" fontId="2" fillId="0" borderId="14" xfId="0" applyFont="1" applyBorder="1"/>
    <xf numFmtId="0" fontId="4" fillId="0" borderId="18" xfId="0" applyFont="1" applyBorder="1" applyAlignment="1">
      <alignment horizontal="center" vertical="center" wrapText="1"/>
    </xf>
    <xf numFmtId="0" fontId="12" fillId="5" borderId="1"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2" fillId="0" borderId="25" xfId="0" applyFont="1" applyBorder="1"/>
    <xf numFmtId="0" fontId="11" fillId="3" borderId="9" xfId="0" applyFont="1" applyFill="1" applyBorder="1" applyAlignment="1">
      <alignment vertical="center" wrapText="1"/>
    </xf>
    <xf numFmtId="0" fontId="9" fillId="0" borderId="18" xfId="0" applyFont="1" applyBorder="1" applyAlignment="1">
      <alignment vertical="center" wrapText="1"/>
    </xf>
    <xf numFmtId="0" fontId="11" fillId="0" borderId="18" xfId="0" applyFont="1" applyBorder="1" applyAlignment="1">
      <alignment horizontal="center" vertical="center" wrapText="1"/>
    </xf>
    <xf numFmtId="0" fontId="11" fillId="0" borderId="18" xfId="0" applyFont="1" applyBorder="1" applyAlignment="1">
      <alignment vertical="center" wrapText="1"/>
    </xf>
    <xf numFmtId="0" fontId="12" fillId="0" borderId="18" xfId="0" applyFont="1" applyBorder="1" applyAlignment="1">
      <alignment vertical="center" wrapText="1"/>
    </xf>
    <xf numFmtId="0" fontId="4" fillId="0" borderId="18" xfId="0" applyFont="1" applyBorder="1" applyAlignment="1">
      <alignment horizontal="left" vertical="center" wrapText="1"/>
    </xf>
    <xf numFmtId="0" fontId="42" fillId="21" borderId="49" xfId="0" applyFont="1" applyFill="1" applyBorder="1" applyAlignment="1">
      <alignment horizontal="center"/>
    </xf>
    <xf numFmtId="0" fontId="38" fillId="0" borderId="0" xfId="0" applyFont="1" applyAlignment="1">
      <alignment horizontal="center"/>
    </xf>
    <xf numFmtId="0" fontId="49" fillId="20" borderId="49" xfId="0" applyFont="1" applyFill="1" applyBorder="1" applyAlignment="1">
      <alignment horizontal="left" vertical="center" wrapText="1"/>
    </xf>
    <xf numFmtId="0" fontId="6" fillId="8" borderId="1" xfId="0" applyFont="1" applyFill="1" applyBorder="1" applyAlignment="1">
      <alignment horizontal="center"/>
    </xf>
    <xf numFmtId="0" fontId="2" fillId="0" borderId="33" xfId="0" applyFont="1" applyBorder="1"/>
    <xf numFmtId="0" fontId="5" fillId="3" borderId="18" xfId="0" applyFont="1" applyFill="1" applyBorder="1" applyAlignment="1">
      <alignment horizontal="center" vertical="center"/>
    </xf>
    <xf numFmtId="0" fontId="4" fillId="8" borderId="24" xfId="0" applyFont="1" applyFill="1" applyBorder="1" applyAlignment="1">
      <alignment horizontal="center" vertical="center"/>
    </xf>
    <xf numFmtId="0" fontId="2" fillId="0" borderId="27" xfId="0" applyFont="1" applyBorder="1"/>
    <xf numFmtId="0" fontId="2" fillId="0" borderId="20" xfId="0" applyFont="1" applyBorder="1"/>
    <xf numFmtId="0" fontId="2" fillId="0" borderId="28" xfId="0" applyFont="1" applyBorder="1"/>
    <xf numFmtId="0" fontId="2" fillId="0" borderId="29" xfId="0" applyFont="1" applyBorder="1"/>
    <xf numFmtId="0" fontId="2" fillId="0" borderId="30" xfId="0" applyFont="1" applyBorder="1"/>
    <xf numFmtId="0" fontId="6" fillId="2" borderId="1" xfId="0" applyFont="1" applyFill="1" applyBorder="1"/>
    <xf numFmtId="0" fontId="4" fillId="9" borderId="12" xfId="0" applyFont="1" applyFill="1" applyBorder="1" applyAlignment="1">
      <alignment horizontal="left" vertical="center" wrapText="1"/>
    </xf>
    <xf numFmtId="0" fontId="2" fillId="0" borderId="31" xfId="0" applyFont="1" applyBorder="1"/>
    <xf numFmtId="0" fontId="2" fillId="0" borderId="34" xfId="0" applyFont="1" applyBorder="1"/>
    <xf numFmtId="0" fontId="2" fillId="0" borderId="16" xfId="0" applyFont="1" applyBorder="1"/>
    <xf numFmtId="0" fontId="2" fillId="0" borderId="32" xfId="0" applyFont="1" applyBorder="1"/>
    <xf numFmtId="0" fontId="2" fillId="0" borderId="35" xfId="0" applyFont="1" applyBorder="1"/>
    <xf numFmtId="0" fontId="4" fillId="3" borderId="1" xfId="0" applyFont="1" applyFill="1" applyBorder="1" applyAlignment="1">
      <alignment horizontal="left" vertical="center"/>
    </xf>
    <xf numFmtId="0" fontId="13" fillId="7" borderId="18" xfId="0" applyFont="1" applyFill="1" applyBorder="1" applyAlignment="1">
      <alignment horizontal="center" vertical="center"/>
    </xf>
    <xf numFmtId="0" fontId="14" fillId="7" borderId="18" xfId="0" applyFont="1" applyFill="1" applyBorder="1" applyAlignment="1">
      <alignment horizontal="center" vertical="center"/>
    </xf>
    <xf numFmtId="0" fontId="6" fillId="4" borderId="18" xfId="0" applyFont="1" applyFill="1" applyBorder="1" applyAlignment="1">
      <alignment horizontal="center" vertical="center" wrapText="1"/>
    </xf>
    <xf numFmtId="0" fontId="16" fillId="10" borderId="36" xfId="0" applyFont="1" applyFill="1" applyBorder="1" applyAlignment="1">
      <alignment horizontal="center" vertical="center"/>
    </xf>
    <xf numFmtId="0" fontId="2" fillId="0" borderId="37" xfId="0" applyFont="1" applyBorder="1"/>
    <xf numFmtId="0" fontId="2" fillId="0" borderId="38" xfId="0" applyFont="1" applyBorder="1"/>
    <xf numFmtId="0" fontId="6" fillId="11" borderId="4" xfId="0" applyFont="1" applyFill="1" applyBorder="1" applyAlignment="1">
      <alignment horizontal="center"/>
    </xf>
    <xf numFmtId="0" fontId="6" fillId="0" borderId="39" xfId="0" applyFont="1" applyBorder="1" applyAlignment="1">
      <alignment horizontal="center" vertical="center"/>
    </xf>
    <xf numFmtId="0" fontId="2" fillId="0" borderId="40" xfId="0" applyFont="1" applyBorder="1"/>
    <xf numFmtId="0" fontId="4" fillId="0" borderId="41" xfId="0" applyFont="1" applyBorder="1" applyAlignment="1">
      <alignment horizontal="center" wrapText="1"/>
    </xf>
    <xf numFmtId="0" fontId="2" fillId="0" borderId="41" xfId="0" applyFont="1" applyBorder="1"/>
    <xf numFmtId="0" fontId="4" fillId="0" borderId="46" xfId="0" applyFont="1" applyBorder="1" applyAlignment="1">
      <alignment horizontal="center" wrapText="1"/>
    </xf>
    <xf numFmtId="0" fontId="2" fillId="0" borderId="46" xfId="0" applyFont="1" applyBorder="1"/>
    <xf numFmtId="0" fontId="2" fillId="0" borderId="47" xfId="0" applyFont="1" applyBorder="1"/>
    <xf numFmtId="0" fontId="6" fillId="0" borderId="42" xfId="0" applyFont="1" applyBorder="1" applyAlignment="1">
      <alignment horizontal="center" vertical="center"/>
    </xf>
    <xf numFmtId="0" fontId="2" fillId="0" borderId="43" xfId="0" applyFont="1" applyBorder="1"/>
    <xf numFmtId="0" fontId="4" fillId="0" borderId="3" xfId="0" applyFont="1" applyBorder="1" applyAlignment="1">
      <alignment horizontal="center" wrapText="1"/>
    </xf>
    <xf numFmtId="0" fontId="6" fillId="0" borderId="44" xfId="0" applyFont="1" applyBorder="1" applyAlignment="1">
      <alignment horizontal="center" vertical="center"/>
    </xf>
    <xf numFmtId="0" fontId="2" fillId="0" borderId="45" xfId="0" applyFont="1" applyBorder="1"/>
    <xf numFmtId="0" fontId="4" fillId="0" borderId="3" xfId="0" applyFont="1" applyBorder="1" applyAlignment="1">
      <alignment horizontal="center" vertical="center" wrapText="1"/>
    </xf>
    <xf numFmtId="0" fontId="6" fillId="0" borderId="48" xfId="0" applyFont="1" applyBorder="1" applyAlignment="1">
      <alignment horizontal="center" vertical="center"/>
    </xf>
    <xf numFmtId="0" fontId="17" fillId="0" borderId="0" xfId="0" applyFont="1" applyAlignment="1">
      <alignment horizontal="center"/>
    </xf>
    <xf numFmtId="0" fontId="5" fillId="0" borderId="1" xfId="0" applyFont="1" applyBorder="1" applyAlignment="1">
      <alignment horizontal="center" wrapText="1"/>
    </xf>
    <xf numFmtId="0" fontId="5" fillId="0" borderId="1" xfId="0" applyFont="1" applyBorder="1" applyAlignment="1">
      <alignment horizontal="center" vertical="center" wrapText="1"/>
    </xf>
    <xf numFmtId="0" fontId="17" fillId="7" borderId="49" xfId="0" applyFont="1" applyFill="1" applyBorder="1" applyAlignment="1">
      <alignment horizontal="center"/>
    </xf>
    <xf numFmtId="0" fontId="2" fillId="0" borderId="22" xfId="0" applyFont="1" applyBorder="1"/>
    <xf numFmtId="0" fontId="2" fillId="0" borderId="23" xfId="0" applyFont="1" applyBorder="1"/>
    <xf numFmtId="0" fontId="5" fillId="7" borderId="1" xfId="0" applyFont="1" applyFill="1" applyBorder="1" applyAlignment="1">
      <alignment horizontal="center" vertical="center" wrapText="1"/>
    </xf>
    <xf numFmtId="0" fontId="4" fillId="7" borderId="18" xfId="0" applyFont="1" applyFill="1" applyBorder="1" applyAlignment="1">
      <alignment vertical="center" wrapText="1"/>
    </xf>
    <xf numFmtId="0" fontId="6" fillId="7" borderId="1" xfId="0" applyFont="1" applyFill="1" applyBorder="1" applyAlignment="1">
      <alignment horizontal="center" vertical="center" wrapText="1"/>
    </xf>
    <xf numFmtId="0" fontId="18" fillId="7" borderId="18" xfId="0" applyFont="1" applyFill="1" applyBorder="1" applyAlignment="1">
      <alignment vertical="center" wrapText="1"/>
    </xf>
    <xf numFmtId="0" fontId="18" fillId="7" borderId="1" xfId="0" applyFont="1" applyFill="1" applyBorder="1" applyAlignment="1">
      <alignment horizontal="center" vertical="center" wrapText="1"/>
    </xf>
    <xf numFmtId="0" fontId="6" fillId="7" borderId="18" xfId="0" applyFont="1" applyFill="1" applyBorder="1" applyAlignment="1">
      <alignment vertical="center" wrapText="1"/>
    </xf>
    <xf numFmtId="0" fontId="19" fillId="12" borderId="1" xfId="0" applyFont="1" applyFill="1" applyBorder="1" applyAlignment="1">
      <alignment horizontal="center"/>
    </xf>
    <xf numFmtId="0" fontId="19" fillId="12" borderId="1" xfId="0" applyFont="1" applyFill="1" applyBorder="1" applyAlignment="1">
      <alignment horizontal="center" vertical="center"/>
    </xf>
    <xf numFmtId="0" fontId="41" fillId="23" borderId="50" xfId="0" applyFont="1" applyFill="1" applyBorder="1" applyAlignment="1">
      <alignment horizontal="center" vertical="center"/>
    </xf>
    <xf numFmtId="0" fontId="44" fillId="13"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23"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21752_Rachi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51 Atten"/>
      <sheetName val="marks"/>
      <sheetName val="outcomes"/>
      <sheetName val="GradesOutcomes"/>
      <sheetName val="Lookups Tables"/>
      <sheetName val="Lookup Tables"/>
    </sheet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8"/>
  <sheetViews>
    <sheetView tabSelected="1" zoomScale="88" zoomScaleNormal="88" workbookViewId="0">
      <selection activeCell="F9" sqref="F9:J9"/>
    </sheetView>
  </sheetViews>
  <sheetFormatPr defaultColWidth="14.41796875" defaultRowHeight="15" customHeight="1"/>
  <cols>
    <col min="1" max="1" width="8.68359375" customWidth="1"/>
    <col min="2" max="2" width="6.15625" customWidth="1"/>
    <col min="3" max="3" width="12.41796875" customWidth="1"/>
    <col min="4" max="4" width="8.68359375" customWidth="1"/>
    <col min="5" max="5" width="15.41796875" customWidth="1"/>
    <col min="6" max="6" width="33.41796875" customWidth="1"/>
    <col min="7" max="9" width="8.68359375" customWidth="1"/>
    <col min="10" max="10" width="30.26171875" customWidth="1"/>
    <col min="11" max="26" width="8.68359375" customWidth="1"/>
  </cols>
  <sheetData>
    <row r="1" spans="1:10" ht="14.25" customHeight="1">
      <c r="A1" s="117" t="s">
        <v>0</v>
      </c>
      <c r="B1" s="121"/>
      <c r="C1" s="134"/>
      <c r="D1" s="120"/>
      <c r="E1" s="121"/>
      <c r="F1" s="117" t="s">
        <v>219</v>
      </c>
      <c r="G1" s="118"/>
      <c r="H1" s="119"/>
      <c r="I1" s="120"/>
      <c r="J1" s="121"/>
    </row>
    <row r="2" spans="1:10" ht="14.25" customHeight="1">
      <c r="A2" s="117" t="s">
        <v>1</v>
      </c>
      <c r="B2" s="121"/>
      <c r="C2" s="119"/>
      <c r="D2" s="120"/>
      <c r="E2" s="121"/>
      <c r="F2" s="117" t="s">
        <v>220</v>
      </c>
      <c r="G2" s="118"/>
      <c r="H2" s="119"/>
      <c r="I2" s="120"/>
      <c r="J2" s="121"/>
    </row>
    <row r="3" spans="1:10" ht="14.25" customHeight="1">
      <c r="B3" s="126"/>
      <c r="C3" s="127"/>
      <c r="D3" s="127"/>
      <c r="E3" s="127"/>
    </row>
    <row r="4" spans="1:10" ht="28.5" customHeight="1">
      <c r="A4" s="128" t="s">
        <v>2</v>
      </c>
      <c r="B4" s="129"/>
      <c r="C4" s="129"/>
      <c r="D4" s="129"/>
      <c r="E4" s="130"/>
      <c r="F4" s="131" t="s">
        <v>3</v>
      </c>
      <c r="G4" s="120"/>
      <c r="H4" s="120"/>
      <c r="I4" s="121"/>
      <c r="J4" s="2" t="s">
        <v>204</v>
      </c>
    </row>
    <row r="5" spans="1:10" ht="106.5" customHeight="1">
      <c r="A5" s="3" t="s">
        <v>179</v>
      </c>
      <c r="B5" s="125" t="str">
        <f>VLOOKUP(A5,'Lookup Tables'!$L$1:$M$7,2,FALSE)</f>
        <v>Ability to identify, formulate, and solve complex engineering problems by applying principles of engineering, science, and mathematics.</v>
      </c>
      <c r="C5" s="120"/>
      <c r="D5" s="120"/>
      <c r="E5" s="121"/>
      <c r="F5" s="122" t="s">
        <v>256</v>
      </c>
      <c r="G5" s="132"/>
      <c r="H5" s="132"/>
      <c r="I5" s="133"/>
      <c r="J5" s="75" t="s">
        <v>218</v>
      </c>
    </row>
    <row r="6" spans="1:10" ht="106.5" hidden="1" customHeight="1">
      <c r="A6" s="3" t="s">
        <v>5</v>
      </c>
      <c r="B6" s="125" t="str">
        <f>VLOOKUP(A6,'Lookup Tables'!$L$1:$M$7,2,FALSE)</f>
        <v>An ability to recognize ethical and professional responsibilities in engineering situations and make informed judgments, which must consider the impact of engineering solutions in global, economic, environmental, and societal contexts.</v>
      </c>
      <c r="C6" s="120"/>
      <c r="D6" s="120"/>
      <c r="E6" s="121"/>
      <c r="F6" s="122" t="s">
        <v>6</v>
      </c>
      <c r="G6" s="120"/>
      <c r="H6" s="120"/>
      <c r="I6" s="121"/>
      <c r="J6" s="4" t="s">
        <v>7</v>
      </c>
    </row>
    <row r="7" spans="1:10" ht="14.1" customHeight="1">
      <c r="A7" s="123"/>
      <c r="B7" s="123"/>
      <c r="C7" s="123"/>
      <c r="D7" s="123"/>
      <c r="E7" s="123"/>
      <c r="F7" s="123"/>
      <c r="G7" s="123"/>
      <c r="H7" s="123"/>
      <c r="I7" s="123"/>
      <c r="J7" s="123"/>
    </row>
    <row r="8" spans="1:10" ht="23.25" customHeight="1">
      <c r="A8" s="124" t="s">
        <v>205</v>
      </c>
      <c r="B8" s="124"/>
      <c r="C8" s="124"/>
      <c r="D8" s="124"/>
      <c r="E8" s="124"/>
      <c r="F8" s="124"/>
      <c r="G8" s="124"/>
      <c r="H8" s="124"/>
      <c r="I8" s="124"/>
      <c r="J8" s="124"/>
    </row>
    <row r="9" spans="1:10" ht="35.25" customHeight="1">
      <c r="A9" s="144" t="s">
        <v>8</v>
      </c>
      <c r="B9" s="145"/>
      <c r="C9" s="141" t="s">
        <v>222</v>
      </c>
      <c r="D9" s="142"/>
      <c r="E9" s="142"/>
      <c r="F9" s="137" t="s">
        <v>206</v>
      </c>
      <c r="G9" s="138"/>
      <c r="H9" s="138"/>
      <c r="I9" s="138"/>
      <c r="J9" s="139"/>
    </row>
    <row r="10" spans="1:10" ht="409.5" customHeight="1">
      <c r="A10" s="135" t="s">
        <v>221</v>
      </c>
      <c r="B10" s="136"/>
      <c r="C10" s="143" t="s">
        <v>223</v>
      </c>
      <c r="D10" s="143"/>
      <c r="E10" s="143"/>
      <c r="F10" s="140" t="s">
        <v>240</v>
      </c>
      <c r="G10" s="140"/>
      <c r="H10" s="140"/>
      <c r="I10" s="140"/>
      <c r="J10" s="140"/>
    </row>
    <row r="11" spans="1:10" ht="14.25" customHeight="1"/>
    <row r="12" spans="1:10" ht="14.25" customHeight="1"/>
    <row r="13" spans="1:10" ht="14.25" customHeight="1"/>
    <row r="14" spans="1:10" ht="14.25" customHeight="1"/>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3">
    <mergeCell ref="C2:E2"/>
    <mergeCell ref="A10:B10"/>
    <mergeCell ref="F9:J9"/>
    <mergeCell ref="F10:J10"/>
    <mergeCell ref="C9:E9"/>
    <mergeCell ref="C10:E10"/>
    <mergeCell ref="A9:B9"/>
    <mergeCell ref="F1:G1"/>
    <mergeCell ref="H1:J1"/>
    <mergeCell ref="F6:I6"/>
    <mergeCell ref="A7:J7"/>
    <mergeCell ref="A8:J8"/>
    <mergeCell ref="F2:G2"/>
    <mergeCell ref="B6:E6"/>
    <mergeCell ref="H2:J2"/>
    <mergeCell ref="B3:E3"/>
    <mergeCell ref="A4:E4"/>
    <mergeCell ref="F4:I4"/>
    <mergeCell ref="B5:E5"/>
    <mergeCell ref="F5:I5"/>
    <mergeCell ref="A1:B1"/>
    <mergeCell ref="C1:E1"/>
    <mergeCell ref="A2:B2"/>
  </mergeCells>
  <pageMargins left="0.7" right="0.7" top="0.75" bottom="0.75" header="0" footer="0"/>
  <pageSetup scale="64" orientation="portrait" r:id="rId1"/>
  <legacyDrawing r:id="rId2"/>
  <extLst>
    <ext xmlns:x14="http://schemas.microsoft.com/office/spreadsheetml/2009/9/main" uri="{CCE6A557-97BC-4b89-ADB6-D9C93CAAB3DF}">
      <x14:dataValidations xmlns:xm="http://schemas.microsoft.com/office/excel/2006/main" count="2">
        <x14:dataValidation type="list" allowBlank="1" showErrorMessage="1" xr:uid="{00000000-0002-0000-0000-000001000000}">
          <x14:formula1>
            <xm:f>'Lookup Tables'!$L$1:$L$7</xm:f>
          </x14:formula1>
          <xm:sqref>A5:A6</xm:sqref>
        </x14:dataValidation>
        <x14:dataValidation type="list" allowBlank="1" showErrorMessage="1" xr:uid="{00000000-0002-0000-0000-000002000000}">
          <x14:formula1>
            <xm:f>'Lookup Tables'!$L$1:$L$8</xm:f>
          </x14:formula1>
          <xm:sqref>A7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94"/>
  <sheetViews>
    <sheetView zoomScale="54" zoomScaleNormal="54" zoomScaleSheetLayoutView="63" workbookViewId="0">
      <selection sqref="A1:G1"/>
    </sheetView>
  </sheetViews>
  <sheetFormatPr defaultColWidth="14.41796875" defaultRowHeight="15" customHeight="1"/>
  <cols>
    <col min="1" max="1" width="20.15625" customWidth="1"/>
    <col min="2" max="2" width="26.83984375" customWidth="1"/>
    <col min="3" max="3" width="24" customWidth="1"/>
    <col min="4" max="4" width="28.41796875" customWidth="1"/>
    <col min="5" max="5" width="25.68359375" customWidth="1"/>
    <col min="6" max="6" width="48.734375" customWidth="1"/>
    <col min="7" max="7" width="30.20703125" customWidth="1"/>
    <col min="8" max="23" width="9.15625" customWidth="1"/>
  </cols>
  <sheetData>
    <row r="1" spans="1:7" ht="44.7" customHeight="1" thickBot="1">
      <c r="A1" s="107" t="s">
        <v>244</v>
      </c>
      <c r="B1" s="108"/>
      <c r="C1" s="108"/>
      <c r="D1" s="108"/>
      <c r="E1" s="108"/>
      <c r="F1" s="108"/>
      <c r="G1" s="108"/>
    </row>
    <row r="2" spans="1:7" ht="27" customHeight="1">
      <c r="A2" s="111" t="s">
        <v>11</v>
      </c>
      <c r="B2" s="115" t="s">
        <v>215</v>
      </c>
      <c r="C2" s="115" t="s">
        <v>212</v>
      </c>
      <c r="D2" s="115" t="s">
        <v>214</v>
      </c>
      <c r="E2" s="115" t="s">
        <v>213</v>
      </c>
      <c r="F2" s="113" t="s">
        <v>234</v>
      </c>
      <c r="G2" s="106" t="s">
        <v>235</v>
      </c>
    </row>
    <row r="3" spans="1:7" ht="14.25" customHeight="1" thickBot="1">
      <c r="A3" s="112"/>
      <c r="B3" s="116"/>
      <c r="C3" s="116"/>
      <c r="D3" s="116"/>
      <c r="E3" s="116"/>
      <c r="F3" s="114"/>
      <c r="G3" s="106"/>
    </row>
    <row r="4" spans="1:7" ht="144">
      <c r="A4" s="71" t="s">
        <v>247</v>
      </c>
      <c r="B4" s="74" t="s">
        <v>250</v>
      </c>
      <c r="C4" s="74" t="s">
        <v>251</v>
      </c>
      <c r="D4" s="74" t="s">
        <v>252</v>
      </c>
      <c r="E4" s="74" t="s">
        <v>253</v>
      </c>
      <c r="F4" s="78" t="s">
        <v>254</v>
      </c>
      <c r="G4" s="79" t="s">
        <v>255</v>
      </c>
    </row>
    <row r="5" spans="1:7" ht="158.4">
      <c r="A5" s="71" t="s">
        <v>248</v>
      </c>
      <c r="B5" s="72" t="s">
        <v>224</v>
      </c>
      <c r="C5" s="72" t="s">
        <v>225</v>
      </c>
      <c r="D5" s="72" t="s">
        <v>226</v>
      </c>
      <c r="E5" s="72" t="s">
        <v>227</v>
      </c>
      <c r="F5" s="78" t="s">
        <v>241</v>
      </c>
      <c r="G5" s="79" t="s">
        <v>228</v>
      </c>
    </row>
    <row r="6" spans="1:7" ht="158.4">
      <c r="A6" s="71" t="s">
        <v>249</v>
      </c>
      <c r="B6" s="73" t="s">
        <v>229</v>
      </c>
      <c r="C6" s="73" t="s">
        <v>230</v>
      </c>
      <c r="D6" s="73" t="s">
        <v>231</v>
      </c>
      <c r="E6" s="73" t="s">
        <v>232</v>
      </c>
      <c r="F6" s="78" t="s">
        <v>242</v>
      </c>
      <c r="G6" s="79" t="s">
        <v>233</v>
      </c>
    </row>
    <row r="7" spans="1:7" ht="66" customHeight="1">
      <c r="A7" s="109" t="s">
        <v>246</v>
      </c>
      <c r="B7" s="110"/>
      <c r="C7" s="110"/>
      <c r="D7" s="110"/>
      <c r="E7" s="110"/>
      <c r="F7" s="110"/>
      <c r="G7" s="110"/>
    </row>
    <row r="8" spans="1:7" ht="14.25" customHeight="1"/>
    <row r="9" spans="1:7" ht="14.25" customHeight="1"/>
    <row r="10" spans="1:7" ht="14.25" customHeight="1"/>
    <row r="11" spans="1:7" ht="14.25" customHeight="1"/>
    <row r="12" spans="1:7" ht="14.25" customHeight="1"/>
    <row r="13" spans="1:7" ht="14.25" customHeight="1"/>
    <row r="14" spans="1:7" ht="14.25" customHeight="1"/>
    <row r="15" spans="1:7" ht="14.25" customHeight="1"/>
    <row r="16" spans="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9">
    <mergeCell ref="G2:G3"/>
    <mergeCell ref="A1:G1"/>
    <mergeCell ref="A7:G7"/>
    <mergeCell ref="A2:A3"/>
    <mergeCell ref="F2:F3"/>
    <mergeCell ref="B2:B3"/>
    <mergeCell ref="C2:C3"/>
    <mergeCell ref="D2:D3"/>
    <mergeCell ref="E2:E3"/>
  </mergeCells>
  <pageMargins left="0.7" right="0.7" top="0.75" bottom="0.75" header="0" footer="0"/>
  <pageSetup scale="5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1000"/>
  <sheetViews>
    <sheetView workbookViewId="0"/>
  </sheetViews>
  <sheetFormatPr defaultColWidth="14.41796875" defaultRowHeight="15" customHeight="1"/>
  <cols>
    <col min="1" max="1" width="15.83984375" customWidth="1"/>
    <col min="2" max="3" width="24" customWidth="1"/>
    <col min="4" max="4" width="28.41796875" customWidth="1"/>
    <col min="5" max="5" width="25.68359375" customWidth="1"/>
    <col min="6" max="6" width="29.41796875" customWidth="1"/>
    <col min="7" max="7" width="30.41796875" customWidth="1"/>
    <col min="8" max="8" width="6.41796875" customWidth="1"/>
    <col min="9" max="9" width="31" customWidth="1"/>
    <col min="10" max="10" width="6.68359375" customWidth="1"/>
    <col min="11" max="11" width="28.26171875" customWidth="1"/>
    <col min="12" max="12" width="7.578125" customWidth="1"/>
    <col min="13" max="13" width="27.83984375" customWidth="1"/>
    <col min="14" max="14" width="6.41796875" customWidth="1"/>
    <col min="15" max="15" width="27.83984375" customWidth="1"/>
    <col min="16" max="16" width="7.41796875" customWidth="1"/>
    <col min="17" max="17" width="25.15625" customWidth="1"/>
    <col min="18" max="18" width="7" customWidth="1"/>
    <col min="19" max="19" width="23" customWidth="1"/>
    <col min="20" max="20" width="7" customWidth="1"/>
    <col min="21" max="21" width="23.15625" customWidth="1"/>
    <col min="22" max="22" width="7.15625" customWidth="1"/>
    <col min="23" max="23" width="24" customWidth="1"/>
    <col min="24" max="24" width="7.41796875" customWidth="1"/>
    <col min="25" max="25" width="25.83984375" customWidth="1"/>
    <col min="26" max="26" width="7.578125" customWidth="1"/>
    <col min="27" max="27" width="27.83984375" customWidth="1"/>
    <col min="28" max="28" width="7.41796875" customWidth="1"/>
    <col min="29" max="29" width="25.15625" customWidth="1"/>
    <col min="30" max="30" width="7" customWidth="1"/>
    <col min="31" max="31" width="23" customWidth="1"/>
    <col min="32" max="32" width="7" customWidth="1"/>
    <col min="33" max="33" width="23.15625" customWidth="1"/>
    <col min="34" max="34" width="7.15625" customWidth="1"/>
  </cols>
  <sheetData>
    <row r="1" spans="1:34" ht="28.5" customHeight="1">
      <c r="A1" s="153" t="s">
        <v>23</v>
      </c>
      <c r="B1" s="120"/>
      <c r="C1" s="120"/>
      <c r="D1" s="120"/>
      <c r="E1" s="120"/>
      <c r="F1" s="121"/>
      <c r="G1" s="1"/>
      <c r="H1" s="1"/>
    </row>
    <row r="2" spans="1:34" ht="27" customHeight="1">
      <c r="A2" s="154" t="s">
        <v>11</v>
      </c>
      <c r="B2" s="7" t="s">
        <v>12</v>
      </c>
      <c r="C2" s="7" t="s">
        <v>13</v>
      </c>
      <c r="D2" s="7" t="s">
        <v>14</v>
      </c>
      <c r="E2" s="7" t="s">
        <v>15</v>
      </c>
      <c r="F2" s="156" t="s">
        <v>16</v>
      </c>
      <c r="G2" s="8" t="e">
        <f>"ID# " &amp;#REF!</f>
        <v>#REF!</v>
      </c>
      <c r="H2" s="8"/>
      <c r="I2" s="9" t="e">
        <f>"ID# " &amp;#REF!</f>
        <v>#REF!</v>
      </c>
      <c r="J2" s="9"/>
      <c r="K2" s="8" t="e">
        <f>"ID# " &amp;#REF!</f>
        <v>#REF!</v>
      </c>
      <c r="L2" s="8"/>
      <c r="M2" s="9" t="e">
        <f>"ID# " &amp;#REF!</f>
        <v>#REF!</v>
      </c>
      <c r="N2" s="9"/>
      <c r="O2" s="8" t="e">
        <f>"ID# " &amp;#REF!</f>
        <v>#REF!</v>
      </c>
      <c r="P2" s="8"/>
      <c r="Q2" s="9" t="e">
        <f>"ID# " &amp;#REF!</f>
        <v>#REF!</v>
      </c>
      <c r="R2" s="9"/>
      <c r="S2" s="8" t="e">
        <f>"ID# " &amp;#REF!</f>
        <v>#REF!</v>
      </c>
      <c r="T2" s="8"/>
      <c r="U2" s="9" t="e">
        <f>"ID# " &amp;#REF!</f>
        <v>#REF!</v>
      </c>
      <c r="V2" s="9"/>
      <c r="W2" s="8" t="e">
        <f>"ID# " &amp;#REF!</f>
        <v>#REF!</v>
      </c>
      <c r="X2" s="8"/>
      <c r="Y2" s="9" t="e">
        <f>"ID# " &amp;#REF!</f>
        <v>#REF!</v>
      </c>
      <c r="Z2" s="9"/>
      <c r="AA2" s="8" t="e">
        <f>"ID# " &amp;#REF!</f>
        <v>#REF!</v>
      </c>
      <c r="AB2" s="8"/>
      <c r="AC2" s="9" t="e">
        <f>"ID# " &amp;#REF!</f>
        <v>#REF!</v>
      </c>
      <c r="AD2" s="9"/>
      <c r="AE2" s="8" t="e">
        <f>"ID# " &amp;#REF!</f>
        <v>#REF!</v>
      </c>
      <c r="AF2" s="8"/>
      <c r="AG2" s="9" t="e">
        <f>"ID# " &amp;#REF!</f>
        <v>#REF!</v>
      </c>
      <c r="AH2" s="9"/>
    </row>
    <row r="3" spans="1:34" ht="32.25" customHeight="1">
      <c r="A3" s="155"/>
      <c r="B3" s="7" t="s">
        <v>18</v>
      </c>
      <c r="C3" s="7" t="s">
        <v>19</v>
      </c>
      <c r="D3" s="7" t="s">
        <v>20</v>
      </c>
      <c r="E3" s="7" t="s">
        <v>21</v>
      </c>
      <c r="F3" s="155"/>
      <c r="G3" s="10" t="s">
        <v>17</v>
      </c>
      <c r="H3" s="10" t="s">
        <v>22</v>
      </c>
      <c r="I3" s="11" t="s">
        <v>17</v>
      </c>
      <c r="J3" s="11" t="s">
        <v>22</v>
      </c>
      <c r="K3" s="10" t="s">
        <v>17</v>
      </c>
      <c r="L3" s="10" t="s">
        <v>22</v>
      </c>
      <c r="M3" s="11" t="s">
        <v>17</v>
      </c>
      <c r="N3" s="11" t="s">
        <v>22</v>
      </c>
      <c r="O3" s="10" t="s">
        <v>17</v>
      </c>
      <c r="P3" s="10" t="s">
        <v>22</v>
      </c>
      <c r="Q3" s="11" t="s">
        <v>17</v>
      </c>
      <c r="R3" s="11" t="s">
        <v>22</v>
      </c>
      <c r="S3" s="10" t="s">
        <v>17</v>
      </c>
      <c r="T3" s="10" t="s">
        <v>22</v>
      </c>
      <c r="U3" s="11" t="s">
        <v>17</v>
      </c>
      <c r="V3" s="11" t="s">
        <v>22</v>
      </c>
      <c r="W3" s="10" t="s">
        <v>17</v>
      </c>
      <c r="X3" s="10" t="s">
        <v>22</v>
      </c>
      <c r="Y3" s="11" t="s">
        <v>17</v>
      </c>
      <c r="Z3" s="11" t="s">
        <v>22</v>
      </c>
      <c r="AA3" s="10" t="s">
        <v>17</v>
      </c>
      <c r="AB3" s="10" t="s">
        <v>22</v>
      </c>
      <c r="AC3" s="11" t="s">
        <v>17</v>
      </c>
      <c r="AD3" s="11" t="s">
        <v>22</v>
      </c>
      <c r="AE3" s="10" t="s">
        <v>17</v>
      </c>
      <c r="AF3" s="10" t="s">
        <v>22</v>
      </c>
      <c r="AG3" s="11" t="s">
        <v>17</v>
      </c>
      <c r="AH3" s="11" t="s">
        <v>22</v>
      </c>
    </row>
    <row r="4" spans="1:34" ht="84" customHeight="1">
      <c r="A4" s="159" t="s">
        <v>24</v>
      </c>
      <c r="B4" s="157" t="s">
        <v>25</v>
      </c>
      <c r="C4" s="157" t="s">
        <v>26</v>
      </c>
      <c r="D4" s="157" t="s">
        <v>27</v>
      </c>
      <c r="E4" s="157" t="s">
        <v>28</v>
      </c>
      <c r="F4" s="12" t="s">
        <v>29</v>
      </c>
      <c r="G4" s="146" t="s">
        <v>30</v>
      </c>
      <c r="H4" s="149">
        <v>3</v>
      </c>
      <c r="I4" s="152" t="s">
        <v>31</v>
      </c>
      <c r="J4" s="149">
        <v>3</v>
      </c>
      <c r="K4" s="152" t="s">
        <v>32</v>
      </c>
      <c r="L4" s="149">
        <v>3</v>
      </c>
      <c r="M4" s="152" t="s">
        <v>33</v>
      </c>
      <c r="N4" s="149">
        <v>3</v>
      </c>
      <c r="O4" s="152"/>
      <c r="P4" s="149">
        <v>3</v>
      </c>
      <c r="Q4" s="152"/>
      <c r="R4" s="149">
        <v>2</v>
      </c>
      <c r="S4" s="152"/>
      <c r="T4" s="149">
        <v>2</v>
      </c>
      <c r="U4" s="152"/>
      <c r="V4" s="149">
        <v>3</v>
      </c>
      <c r="W4" s="152"/>
      <c r="X4" s="149">
        <v>1</v>
      </c>
      <c r="Y4" s="152"/>
      <c r="Z4" s="149">
        <v>2</v>
      </c>
      <c r="AA4" s="152"/>
      <c r="AB4" s="149">
        <v>3</v>
      </c>
      <c r="AC4" s="152"/>
      <c r="AD4" s="149">
        <v>2</v>
      </c>
      <c r="AE4" s="152"/>
      <c r="AF4" s="149">
        <v>2</v>
      </c>
      <c r="AG4" s="152"/>
      <c r="AH4" s="149">
        <v>3</v>
      </c>
    </row>
    <row r="5" spans="1:34" ht="59.25" customHeight="1">
      <c r="A5" s="150"/>
      <c r="B5" s="150"/>
      <c r="C5" s="150"/>
      <c r="D5" s="150"/>
      <c r="E5" s="150"/>
      <c r="F5" s="12" t="s">
        <v>34</v>
      </c>
      <c r="G5" s="147"/>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150"/>
    </row>
    <row r="6" spans="1:34" ht="61.5" customHeight="1">
      <c r="A6" s="150"/>
      <c r="B6" s="150"/>
      <c r="C6" s="150"/>
      <c r="D6" s="150"/>
      <c r="E6" s="150"/>
      <c r="F6" s="158" t="s">
        <v>35</v>
      </c>
      <c r="G6" s="147"/>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row>
    <row r="7" spans="1:34" ht="129" customHeight="1">
      <c r="A7" s="151"/>
      <c r="B7" s="151"/>
      <c r="C7" s="151"/>
      <c r="D7" s="151"/>
      <c r="E7" s="151"/>
      <c r="F7" s="151"/>
      <c r="G7" s="148"/>
      <c r="H7" s="151"/>
      <c r="I7" s="151"/>
      <c r="J7" s="151"/>
      <c r="K7" s="151"/>
      <c r="L7" s="151"/>
      <c r="M7" s="151"/>
      <c r="N7" s="151"/>
      <c r="O7" s="151"/>
      <c r="P7" s="151"/>
      <c r="Q7" s="151"/>
      <c r="R7" s="151"/>
      <c r="S7" s="151"/>
      <c r="T7" s="151"/>
      <c r="U7" s="151"/>
      <c r="V7" s="151"/>
      <c r="W7" s="151"/>
      <c r="X7" s="151"/>
      <c r="Y7" s="151"/>
      <c r="Z7" s="151"/>
      <c r="AA7" s="151"/>
      <c r="AB7" s="151"/>
      <c r="AC7" s="151"/>
      <c r="AD7" s="151"/>
      <c r="AE7" s="151"/>
      <c r="AF7" s="151"/>
      <c r="AG7" s="151"/>
      <c r="AH7" s="151"/>
    </row>
    <row r="8" spans="1:34" ht="124.5" customHeight="1">
      <c r="A8" s="159" t="s">
        <v>36</v>
      </c>
      <c r="B8" s="160" t="s">
        <v>37</v>
      </c>
      <c r="C8" s="159" t="s">
        <v>38</v>
      </c>
      <c r="D8" s="159" t="s">
        <v>39</v>
      </c>
      <c r="E8" s="160" t="s">
        <v>40</v>
      </c>
      <c r="F8" s="12" t="s">
        <v>41</v>
      </c>
      <c r="G8" s="146" t="s">
        <v>42</v>
      </c>
      <c r="H8" s="149">
        <v>2</v>
      </c>
      <c r="I8" s="152" t="s">
        <v>43</v>
      </c>
      <c r="J8" s="149">
        <v>2</v>
      </c>
      <c r="K8" s="161" t="s">
        <v>44</v>
      </c>
      <c r="L8" s="149">
        <v>2</v>
      </c>
      <c r="M8" s="161" t="s">
        <v>45</v>
      </c>
      <c r="N8" s="149">
        <v>3</v>
      </c>
      <c r="O8" s="152"/>
      <c r="P8" s="149">
        <v>3</v>
      </c>
      <c r="Q8" s="152"/>
      <c r="R8" s="149">
        <v>3</v>
      </c>
      <c r="S8" s="152"/>
      <c r="T8" s="149">
        <v>1</v>
      </c>
      <c r="U8" s="152"/>
      <c r="V8" s="149">
        <v>3</v>
      </c>
      <c r="W8" s="152"/>
      <c r="X8" s="149">
        <v>1</v>
      </c>
      <c r="Y8" s="152"/>
      <c r="Z8" s="149">
        <v>2</v>
      </c>
      <c r="AA8" s="152"/>
      <c r="AB8" s="149">
        <v>3</v>
      </c>
      <c r="AC8" s="152"/>
      <c r="AD8" s="149">
        <v>3</v>
      </c>
      <c r="AE8" s="152"/>
      <c r="AF8" s="149">
        <v>1</v>
      </c>
      <c r="AG8" s="152"/>
      <c r="AH8" s="149">
        <v>3</v>
      </c>
    </row>
    <row r="9" spans="1:34" ht="100.5" customHeight="1">
      <c r="A9" s="150"/>
      <c r="B9" s="150"/>
      <c r="C9" s="150"/>
      <c r="D9" s="150"/>
      <c r="E9" s="150"/>
      <c r="F9" s="12" t="s">
        <v>46</v>
      </c>
      <c r="G9" s="147"/>
      <c r="H9" s="150"/>
      <c r="I9" s="150"/>
      <c r="J9" s="150"/>
      <c r="K9" s="150"/>
      <c r="L9" s="150"/>
      <c r="M9" s="150"/>
      <c r="N9" s="150"/>
      <c r="O9" s="150"/>
      <c r="P9" s="150"/>
      <c r="Q9" s="150"/>
      <c r="R9" s="150"/>
      <c r="S9" s="150"/>
      <c r="T9" s="150"/>
      <c r="U9" s="150"/>
      <c r="V9" s="150"/>
      <c r="W9" s="150"/>
      <c r="X9" s="150"/>
      <c r="Y9" s="150"/>
      <c r="Z9" s="150"/>
      <c r="AA9" s="150"/>
      <c r="AB9" s="150"/>
      <c r="AC9" s="150"/>
      <c r="AD9" s="150"/>
      <c r="AE9" s="150"/>
      <c r="AF9" s="150"/>
      <c r="AG9" s="150"/>
      <c r="AH9" s="150"/>
    </row>
    <row r="10" spans="1:34" ht="285.75" customHeight="1">
      <c r="A10" s="151"/>
      <c r="B10" s="151"/>
      <c r="C10" s="151"/>
      <c r="D10" s="151"/>
      <c r="E10" s="151"/>
      <c r="F10" s="12" t="s">
        <v>47</v>
      </c>
      <c r="G10" s="148"/>
      <c r="H10" s="151"/>
      <c r="I10" s="151"/>
      <c r="J10" s="151"/>
      <c r="K10" s="151"/>
      <c r="L10" s="151"/>
      <c r="M10" s="151"/>
      <c r="N10" s="151"/>
      <c r="O10" s="151"/>
      <c r="P10" s="151"/>
      <c r="Q10" s="151"/>
      <c r="R10" s="151"/>
      <c r="S10" s="151"/>
      <c r="T10" s="151"/>
      <c r="U10" s="151"/>
      <c r="V10" s="151"/>
      <c r="W10" s="151"/>
      <c r="X10" s="151"/>
      <c r="Y10" s="151"/>
      <c r="Z10" s="151"/>
      <c r="AA10" s="151"/>
      <c r="AB10" s="151"/>
      <c r="AC10" s="151"/>
      <c r="AD10" s="151"/>
      <c r="AE10" s="151"/>
      <c r="AF10" s="151"/>
      <c r="AG10" s="151"/>
      <c r="AH10" s="151"/>
    </row>
    <row r="11" spans="1:34" ht="14.25" customHeight="1"/>
    <row r="12" spans="1:34" ht="14.25" customHeight="1"/>
    <row r="13" spans="1:34" ht="14.25" customHeight="1"/>
    <row r="14" spans="1:34" ht="14.25" customHeight="1"/>
    <row r="15" spans="1:34" ht="14.25" customHeight="1"/>
    <row r="16" spans="1:3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AG4:AG7"/>
    <mergeCell ref="AG8:AG10"/>
    <mergeCell ref="AH8:AH10"/>
    <mergeCell ref="AA4:AA7"/>
    <mergeCell ref="AB4:AB7"/>
    <mergeCell ref="AC4:AC7"/>
    <mergeCell ref="AD4:AD7"/>
    <mergeCell ref="AE4:AE7"/>
    <mergeCell ref="AF4:AF7"/>
    <mergeCell ref="AH4:AH7"/>
    <mergeCell ref="AF8:AF10"/>
    <mergeCell ref="V4:V7"/>
    <mergeCell ref="W4:W7"/>
    <mergeCell ref="X4:X7"/>
    <mergeCell ref="Y4:Y7"/>
    <mergeCell ref="Z4:Z7"/>
    <mergeCell ref="L8:L10"/>
    <mergeCell ref="M8:M10"/>
    <mergeCell ref="N8:N10"/>
    <mergeCell ref="T4:T7"/>
    <mergeCell ref="U4:U7"/>
    <mergeCell ref="P4:P7"/>
    <mergeCell ref="Q4:Q7"/>
    <mergeCell ref="R4:R7"/>
    <mergeCell ref="S4:S7"/>
    <mergeCell ref="Q8:Q10"/>
    <mergeCell ref="R8:R10"/>
    <mergeCell ref="S8:S10"/>
    <mergeCell ref="T8:T10"/>
    <mergeCell ref="U8:U10"/>
    <mergeCell ref="G8:G10"/>
    <mergeCell ref="H8:H10"/>
    <mergeCell ref="I8:I10"/>
    <mergeCell ref="J8:J10"/>
    <mergeCell ref="K8:K10"/>
    <mergeCell ref="A8:A10"/>
    <mergeCell ref="B8:B10"/>
    <mergeCell ref="C8:C10"/>
    <mergeCell ref="D8:D10"/>
    <mergeCell ref="E8:E10"/>
    <mergeCell ref="A1:F1"/>
    <mergeCell ref="A2:A3"/>
    <mergeCell ref="F2:F3"/>
    <mergeCell ref="B4:B7"/>
    <mergeCell ref="C4:C7"/>
    <mergeCell ref="D4:D7"/>
    <mergeCell ref="F6:F7"/>
    <mergeCell ref="A4:A7"/>
    <mergeCell ref="E4:E7"/>
    <mergeCell ref="K4:K7"/>
    <mergeCell ref="L4:L7"/>
    <mergeCell ref="M4:M7"/>
    <mergeCell ref="N4:N7"/>
    <mergeCell ref="O4:O7"/>
    <mergeCell ref="G4:G7"/>
    <mergeCell ref="H4:H7"/>
    <mergeCell ref="I4:I7"/>
    <mergeCell ref="J4:J7"/>
    <mergeCell ref="AE8:AE10"/>
    <mergeCell ref="X8:X10"/>
    <mergeCell ref="Y8:Y10"/>
    <mergeCell ref="Z8:Z10"/>
    <mergeCell ref="AA8:AA10"/>
    <mergeCell ref="AB8:AB10"/>
    <mergeCell ref="AC8:AC10"/>
    <mergeCell ref="AD8:AD10"/>
    <mergeCell ref="V8:V10"/>
    <mergeCell ref="W8:W10"/>
    <mergeCell ref="O8:O10"/>
    <mergeCell ref="P8:P10"/>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AB82-666F-43D3-9D21-56EB71830555}">
  <sheetPr>
    <pageSetUpPr fitToPage="1"/>
  </sheetPr>
  <dimension ref="A1:J972"/>
  <sheetViews>
    <sheetView view="pageBreakPreview" zoomScale="68" zoomScaleNormal="68" zoomScaleSheetLayoutView="68" workbookViewId="0">
      <selection activeCell="J8" sqref="J8"/>
    </sheetView>
  </sheetViews>
  <sheetFormatPr defaultColWidth="14.41796875" defaultRowHeight="15" customHeight="1"/>
  <cols>
    <col min="1" max="1" width="5.41796875" customWidth="1"/>
    <col min="2" max="2" width="16.15625" customWidth="1"/>
    <col min="3" max="3" width="13.15625" customWidth="1"/>
    <col min="4" max="4" width="28.15625" customWidth="1"/>
    <col min="5" max="5" width="10.26171875" customWidth="1"/>
    <col min="6" max="6" width="11.68359375" customWidth="1"/>
    <col min="7" max="7" width="11" customWidth="1"/>
    <col min="8" max="8" width="9.15625" customWidth="1"/>
    <col min="9" max="9" width="10.83984375" customWidth="1"/>
    <col min="10" max="10" width="45.15625" customWidth="1"/>
    <col min="11" max="13" width="9.15625" customWidth="1"/>
  </cols>
  <sheetData>
    <row r="1" spans="1:10" ht="30" customHeight="1">
      <c r="A1" s="163" t="s">
        <v>243</v>
      </c>
      <c r="B1" s="163"/>
      <c r="C1" s="163"/>
      <c r="D1" s="163"/>
      <c r="E1" s="163"/>
      <c r="F1" s="163"/>
      <c r="G1" s="163"/>
      <c r="H1" s="163"/>
      <c r="I1" s="163"/>
      <c r="J1" s="163"/>
    </row>
    <row r="2" spans="1:10" ht="15" customHeight="1">
      <c r="A2" s="162" t="s">
        <v>211</v>
      </c>
      <c r="B2" s="162"/>
      <c r="C2" s="162"/>
      <c r="D2" s="83"/>
      <c r="E2" s="83"/>
      <c r="F2" s="83"/>
      <c r="G2" s="83"/>
      <c r="H2" s="83"/>
      <c r="I2" s="83"/>
      <c r="J2" s="83"/>
    </row>
    <row r="3" spans="1:10" ht="45.4" customHeight="1">
      <c r="A3" s="217" t="s">
        <v>209</v>
      </c>
      <c r="B3" s="218" t="s">
        <v>207</v>
      </c>
      <c r="C3" s="218" t="s">
        <v>51</v>
      </c>
      <c r="D3" s="218" t="s">
        <v>208</v>
      </c>
      <c r="E3" s="218" t="s">
        <v>236</v>
      </c>
      <c r="F3" s="218" t="s">
        <v>237</v>
      </c>
      <c r="G3" s="218" t="s">
        <v>238</v>
      </c>
      <c r="H3" s="218" t="s">
        <v>216</v>
      </c>
      <c r="I3" s="218" t="s">
        <v>217</v>
      </c>
      <c r="J3" s="218" t="s">
        <v>239</v>
      </c>
    </row>
    <row r="4" spans="1:10" ht="28.5" customHeight="1">
      <c r="A4" s="84">
        <v>1</v>
      </c>
      <c r="B4" s="84"/>
      <c r="C4" s="85"/>
      <c r="D4" s="85"/>
      <c r="E4" s="86"/>
      <c r="F4" s="86"/>
      <c r="G4" s="86"/>
      <c r="H4" s="87" t="str">
        <f t="shared" ref="H4:H17" si="0">IF(COUNT(E4:G4)=0,"",AVERAGE(E4:G4))</f>
        <v/>
      </c>
      <c r="I4" s="88" t="str">
        <f>IF(H4="","",IF(H4&lt;1,"BE",IF(H4&lt;2,"DE",IF(H4&lt;3,"ME","AE"))))</f>
        <v/>
      </c>
      <c r="J4" s="80"/>
    </row>
    <row r="5" spans="1:10" ht="33.75" customHeight="1">
      <c r="A5" s="89">
        <v>2</v>
      </c>
      <c r="B5" s="89"/>
      <c r="C5" s="90"/>
      <c r="D5" s="90"/>
      <c r="E5" s="91"/>
      <c r="F5" s="91"/>
      <c r="G5" s="91"/>
      <c r="H5" s="87" t="str">
        <f t="shared" si="0"/>
        <v/>
      </c>
      <c r="I5" s="92" t="str">
        <f t="shared" ref="I5:I17" si="1">IF(H5="","",IF(H5&lt;1,"BE",IF(H5&lt;2,"DE",IF(H5&lt;3,"ME","AE"))))</f>
        <v/>
      </c>
      <c r="J5" s="81"/>
    </row>
    <row r="6" spans="1:10" ht="31.5" customHeight="1">
      <c r="A6" s="84">
        <v>3</v>
      </c>
      <c r="B6" s="84"/>
      <c r="C6" s="85"/>
      <c r="D6" s="85"/>
      <c r="E6" s="86"/>
      <c r="F6" s="86"/>
      <c r="G6" s="86"/>
      <c r="H6" s="87" t="str">
        <f t="shared" si="0"/>
        <v/>
      </c>
      <c r="I6" s="88" t="str">
        <f t="shared" si="1"/>
        <v/>
      </c>
      <c r="J6" s="80"/>
    </row>
    <row r="7" spans="1:10" ht="36" customHeight="1">
      <c r="A7" s="89">
        <v>4</v>
      </c>
      <c r="B7" s="89"/>
      <c r="C7" s="90"/>
      <c r="D7" s="90"/>
      <c r="E7" s="91"/>
      <c r="F7" s="91"/>
      <c r="G7" s="91"/>
      <c r="H7" s="87" t="str">
        <f t="shared" si="0"/>
        <v/>
      </c>
      <c r="I7" s="92" t="str">
        <f t="shared" si="1"/>
        <v/>
      </c>
      <c r="J7" s="81"/>
    </row>
    <row r="8" spans="1:10" ht="30" customHeight="1">
      <c r="A8" s="84">
        <v>5</v>
      </c>
      <c r="B8" s="84"/>
      <c r="C8" s="85"/>
      <c r="D8" s="85"/>
      <c r="E8" s="86"/>
      <c r="F8" s="86"/>
      <c r="G8" s="86"/>
      <c r="H8" s="87" t="str">
        <f t="shared" si="0"/>
        <v/>
      </c>
      <c r="I8" s="88" t="str">
        <f t="shared" si="1"/>
        <v/>
      </c>
      <c r="J8" s="76"/>
    </row>
    <row r="9" spans="1:10" ht="30.75" customHeight="1">
      <c r="A9" s="89">
        <v>6</v>
      </c>
      <c r="B9" s="89"/>
      <c r="C9" s="90"/>
      <c r="D9" s="90"/>
      <c r="E9" s="91"/>
      <c r="F9" s="91"/>
      <c r="G9" s="91"/>
      <c r="H9" s="87" t="str">
        <f t="shared" si="0"/>
        <v/>
      </c>
      <c r="I9" s="92" t="str">
        <f t="shared" si="1"/>
        <v/>
      </c>
      <c r="J9" s="77"/>
    </row>
    <row r="10" spans="1:10" ht="35.25" customHeight="1">
      <c r="A10" s="84">
        <v>7</v>
      </c>
      <c r="B10" s="84"/>
      <c r="C10" s="85"/>
      <c r="D10" s="85"/>
      <c r="E10" s="86"/>
      <c r="F10" s="86"/>
      <c r="G10" s="86"/>
      <c r="H10" s="87" t="str">
        <f t="shared" si="0"/>
        <v/>
      </c>
      <c r="I10" s="88" t="str">
        <f t="shared" si="1"/>
        <v/>
      </c>
      <c r="J10" s="76"/>
    </row>
    <row r="11" spans="1:10" ht="36.75" customHeight="1">
      <c r="A11" s="89">
        <v>8</v>
      </c>
      <c r="B11" s="93"/>
      <c r="C11" s="94"/>
      <c r="D11" s="93"/>
      <c r="E11" s="91"/>
      <c r="F11" s="91"/>
      <c r="G11" s="91"/>
      <c r="H11" s="87" t="str">
        <f t="shared" si="0"/>
        <v/>
      </c>
      <c r="I11" s="92" t="str">
        <f t="shared" si="1"/>
        <v/>
      </c>
      <c r="J11" s="104"/>
    </row>
    <row r="12" spans="1:10" ht="36.75" customHeight="1">
      <c r="A12" s="84">
        <v>9</v>
      </c>
      <c r="B12" s="95"/>
      <c r="C12" s="96"/>
      <c r="D12" s="95"/>
      <c r="E12" s="86"/>
      <c r="F12" s="86"/>
      <c r="G12" s="86"/>
      <c r="H12" s="87" t="str">
        <f t="shared" si="0"/>
        <v/>
      </c>
      <c r="I12" s="88" t="str">
        <f t="shared" si="1"/>
        <v/>
      </c>
      <c r="J12" s="105"/>
    </row>
    <row r="13" spans="1:10" ht="27" customHeight="1">
      <c r="A13" s="89">
        <v>10</v>
      </c>
      <c r="B13" s="93"/>
      <c r="C13" s="94"/>
      <c r="D13" s="93"/>
      <c r="E13" s="91"/>
      <c r="F13" s="91"/>
      <c r="G13" s="91"/>
      <c r="H13" s="87" t="str">
        <f t="shared" si="0"/>
        <v/>
      </c>
      <c r="I13" s="92" t="str">
        <f t="shared" si="1"/>
        <v/>
      </c>
      <c r="J13" s="104"/>
    </row>
    <row r="14" spans="1:10" ht="32.25" customHeight="1">
      <c r="A14" s="84">
        <v>11</v>
      </c>
      <c r="B14" s="95"/>
      <c r="C14" s="96"/>
      <c r="D14" s="95"/>
      <c r="E14" s="86"/>
      <c r="F14" s="86"/>
      <c r="G14" s="86"/>
      <c r="H14" s="87" t="str">
        <f t="shared" si="0"/>
        <v/>
      </c>
      <c r="I14" s="88" t="str">
        <f t="shared" si="1"/>
        <v/>
      </c>
      <c r="J14" s="105"/>
    </row>
    <row r="15" spans="1:10" ht="30" customHeight="1">
      <c r="A15" s="89">
        <v>12</v>
      </c>
      <c r="B15" s="93"/>
      <c r="C15" s="94"/>
      <c r="D15" s="93"/>
      <c r="E15" s="91"/>
      <c r="F15" s="91"/>
      <c r="G15" s="91"/>
      <c r="H15" s="87" t="str">
        <f t="shared" si="0"/>
        <v/>
      </c>
      <c r="I15" s="92" t="str">
        <f t="shared" si="1"/>
        <v/>
      </c>
      <c r="J15" s="104"/>
    </row>
    <row r="16" spans="1:10" ht="26.25" customHeight="1">
      <c r="A16" s="84">
        <v>13</v>
      </c>
      <c r="B16" s="95"/>
      <c r="C16" s="96"/>
      <c r="D16" s="95"/>
      <c r="E16" s="86"/>
      <c r="F16" s="86"/>
      <c r="G16" s="86"/>
      <c r="H16" s="87" t="str">
        <f t="shared" si="0"/>
        <v/>
      </c>
      <c r="I16" s="88" t="str">
        <f t="shared" si="1"/>
        <v/>
      </c>
      <c r="J16" s="105"/>
    </row>
    <row r="17" spans="1:10" ht="27.75" customHeight="1">
      <c r="A17" s="89">
        <v>14</v>
      </c>
      <c r="B17" s="93"/>
      <c r="C17" s="93"/>
      <c r="D17" s="93"/>
      <c r="E17" s="91"/>
      <c r="F17" s="91"/>
      <c r="G17" s="91"/>
      <c r="H17" s="87" t="str">
        <f t="shared" si="0"/>
        <v/>
      </c>
      <c r="I17" s="92" t="str">
        <f t="shared" si="1"/>
        <v/>
      </c>
      <c r="J17" s="104"/>
    </row>
    <row r="18" spans="1:10" ht="14.25" customHeight="1">
      <c r="A18" s="97"/>
      <c r="B18" s="98"/>
      <c r="C18" s="98"/>
      <c r="D18" s="99" t="s">
        <v>210</v>
      </c>
      <c r="E18" s="100" t="str">
        <f>IFERROR(TEXT((COUNTIF(E4:E17,2)+COUNTIF(E4:E17,3))/COUNT(E4:E17),"0%"),"")</f>
        <v/>
      </c>
      <c r="F18" s="101" t="str">
        <f>IFERROR(TEXT((COUNTIF(F4:F17,2)+COUNTIF(F4:F17,3))/COUNT(F4:F17),"0%"),"")</f>
        <v/>
      </c>
      <c r="G18" s="101" t="str">
        <f>IFERROR(TEXT((COUNTIF(G4:G17,2)+COUNTIF(G4:G17,3))/COUNT(G4:G17),"0%"),"")</f>
        <v/>
      </c>
      <c r="H18" s="82" t="s">
        <v>56</v>
      </c>
      <c r="I18" s="102" t="str">
        <f>IFERROR(TEXT((COUNTIF(I4:I17,"AE")+COUNTIF(I4:I17,"ME"))/(COUNTIF(I4:I17,"AE")+COUNTIF(I4:I17,"ME")+COUNTIF(I4:I17,"DE")+COUNTIF(I4:I17,"BE")),"0%"),"")</f>
        <v/>
      </c>
      <c r="J18" s="103"/>
    </row>
    <row r="19" spans="1:10" ht="64.2" customHeight="1">
      <c r="A19" s="164" t="s">
        <v>245</v>
      </c>
      <c r="B19" s="164"/>
      <c r="C19" s="164"/>
      <c r="D19" s="164"/>
      <c r="E19" s="164"/>
      <c r="F19" s="164"/>
      <c r="G19" s="164"/>
      <c r="H19" s="164"/>
      <c r="I19" s="164"/>
      <c r="J19" s="164"/>
    </row>
    <row r="20" spans="1:10" ht="14.25" customHeight="1">
      <c r="B20" s="67"/>
      <c r="C20" s="68"/>
    </row>
    <row r="21" spans="1:10" ht="14.25" customHeight="1">
      <c r="B21" s="67"/>
      <c r="C21" s="68"/>
    </row>
    <row r="22" spans="1:10" ht="14.25" customHeight="1">
      <c r="B22" s="67"/>
      <c r="C22" s="68"/>
    </row>
    <row r="23" spans="1:10" ht="14.25" customHeight="1">
      <c r="B23" s="69"/>
      <c r="C23" s="70"/>
    </row>
    <row r="24" spans="1:10" ht="14.25" customHeight="1">
      <c r="B24" s="6"/>
    </row>
    <row r="25" spans="1:10" ht="14.25" customHeight="1">
      <c r="B25" s="6"/>
    </row>
    <row r="26" spans="1:10" ht="14.25" customHeight="1">
      <c r="B26" s="6"/>
    </row>
    <row r="27" spans="1:10" ht="14.25" customHeight="1">
      <c r="B27" s="6"/>
    </row>
    <row r="28" spans="1:10" ht="14.25" customHeight="1">
      <c r="B28" s="6"/>
    </row>
    <row r="29" spans="1:10" ht="14.25" customHeight="1">
      <c r="B29" s="6"/>
    </row>
    <row r="30" spans="1:10" ht="14.25" customHeight="1">
      <c r="B30" s="6"/>
    </row>
    <row r="31" spans="1:10" ht="14.25" customHeight="1">
      <c r="B31" s="6"/>
    </row>
    <row r="32" spans="1:10" ht="14.25" customHeight="1">
      <c r="B32" s="6"/>
    </row>
    <row r="33" spans="2:2" ht="14.25" customHeight="1">
      <c r="B33" s="6"/>
    </row>
    <row r="34" spans="2:2" ht="14.25" customHeight="1">
      <c r="B34" s="6"/>
    </row>
    <row r="35" spans="2:2" ht="14.25" customHeight="1">
      <c r="B35" s="6"/>
    </row>
    <row r="36" spans="2:2" ht="14.25" customHeight="1">
      <c r="B36" s="6"/>
    </row>
    <row r="37" spans="2:2" ht="14.25" customHeight="1">
      <c r="B37" s="6"/>
    </row>
    <row r="38" spans="2:2" ht="14.25" customHeight="1">
      <c r="B38" s="6"/>
    </row>
    <row r="39" spans="2:2" ht="14.25" customHeight="1">
      <c r="B39" s="6"/>
    </row>
    <row r="40" spans="2:2" ht="14.25" customHeight="1">
      <c r="B40" s="6"/>
    </row>
    <row r="41" spans="2:2" ht="14.25" customHeight="1">
      <c r="B41" s="6"/>
    </row>
    <row r="42" spans="2:2" ht="14.25" customHeight="1">
      <c r="B42" s="6"/>
    </row>
    <row r="43" spans="2:2" ht="14.25" customHeight="1">
      <c r="B43" s="6"/>
    </row>
    <row r="44" spans="2:2" ht="14.25" customHeight="1">
      <c r="B44" s="6"/>
    </row>
    <row r="45" spans="2:2" ht="14.25" customHeight="1">
      <c r="B45" s="6"/>
    </row>
    <row r="46" spans="2:2" ht="14.25" customHeight="1">
      <c r="B46" s="6"/>
    </row>
    <row r="47" spans="2:2" ht="14.25" customHeight="1">
      <c r="B47" s="6"/>
    </row>
    <row r="48" spans="2:2" ht="14.25" customHeight="1">
      <c r="B48" s="6"/>
    </row>
    <row r="49" spans="2:2" ht="14.25" customHeight="1">
      <c r="B49" s="6"/>
    </row>
    <row r="50" spans="2:2" ht="14.25" customHeight="1">
      <c r="B50" s="6"/>
    </row>
    <row r="51" spans="2:2" ht="14.25" customHeight="1">
      <c r="B51" s="6"/>
    </row>
    <row r="52" spans="2:2" ht="14.25" customHeight="1">
      <c r="B52" s="6"/>
    </row>
    <row r="53" spans="2:2" ht="14.25" customHeight="1">
      <c r="B53" s="6"/>
    </row>
    <row r="54" spans="2:2" ht="14.25" customHeight="1">
      <c r="B54" s="6"/>
    </row>
    <row r="55" spans="2:2" ht="14.25" customHeight="1">
      <c r="B55" s="6"/>
    </row>
    <row r="56" spans="2:2" ht="14.25" customHeight="1">
      <c r="B56" s="6"/>
    </row>
    <row r="57" spans="2:2" ht="14.25" customHeight="1">
      <c r="B57" s="6"/>
    </row>
    <row r="58" spans="2:2" ht="14.25" customHeight="1">
      <c r="B58" s="6"/>
    </row>
    <row r="59" spans="2:2" ht="14.25" customHeight="1">
      <c r="B59" s="6"/>
    </row>
    <row r="60" spans="2:2" ht="14.25" customHeight="1">
      <c r="B60" s="6"/>
    </row>
    <row r="61" spans="2:2" ht="14.25" customHeight="1">
      <c r="B61" s="6"/>
    </row>
    <row r="62" spans="2:2" ht="14.25" customHeight="1">
      <c r="B62" s="6"/>
    </row>
    <row r="63" spans="2:2" ht="14.25" customHeight="1">
      <c r="B63" s="6"/>
    </row>
    <row r="64" spans="2:2" ht="14.25" customHeight="1">
      <c r="B64" s="6"/>
    </row>
    <row r="65" spans="2:2" ht="14.25" customHeight="1">
      <c r="B65" s="6"/>
    </row>
    <row r="66" spans="2:2" ht="14.25" customHeight="1">
      <c r="B66" s="6"/>
    </row>
    <row r="67" spans="2:2" ht="14.25" customHeight="1">
      <c r="B67" s="6"/>
    </row>
    <row r="68" spans="2:2" ht="14.25" customHeight="1">
      <c r="B68" s="6"/>
    </row>
    <row r="69" spans="2:2" ht="14.25" customHeight="1">
      <c r="B69" s="6"/>
    </row>
    <row r="70" spans="2:2" ht="14.25" customHeight="1">
      <c r="B70" s="6"/>
    </row>
    <row r="71" spans="2:2" ht="14.25" customHeight="1">
      <c r="B71" s="6"/>
    </row>
    <row r="72" spans="2:2" ht="14.25" customHeight="1">
      <c r="B72" s="6"/>
    </row>
    <row r="73" spans="2:2" ht="14.25" customHeight="1">
      <c r="B73" s="6"/>
    </row>
    <row r="74" spans="2:2" ht="14.25" customHeight="1">
      <c r="B74" s="6"/>
    </row>
    <row r="75" spans="2:2" ht="14.25" customHeight="1">
      <c r="B75" s="6"/>
    </row>
    <row r="76" spans="2:2" ht="14.25" customHeight="1">
      <c r="B76" s="6"/>
    </row>
    <row r="77" spans="2:2" ht="14.25" customHeight="1">
      <c r="B77" s="6"/>
    </row>
    <row r="78" spans="2:2" ht="14.25" customHeight="1">
      <c r="B78" s="6"/>
    </row>
    <row r="79" spans="2:2" ht="14.25" customHeight="1">
      <c r="B79" s="6"/>
    </row>
    <row r="80" spans="2:2" ht="14.25" customHeight="1">
      <c r="B80" s="6"/>
    </row>
    <row r="81" spans="2:2" ht="14.25" customHeight="1">
      <c r="B81" s="6"/>
    </row>
    <row r="82" spans="2:2" ht="14.25" customHeight="1">
      <c r="B82" s="6"/>
    </row>
    <row r="83" spans="2:2" ht="14.25" customHeight="1">
      <c r="B83" s="6"/>
    </row>
    <row r="84" spans="2:2" ht="14.25" customHeight="1">
      <c r="B84" s="6"/>
    </row>
    <row r="85" spans="2:2" ht="14.25" customHeight="1">
      <c r="B85" s="6"/>
    </row>
    <row r="86" spans="2:2" ht="14.25" customHeight="1">
      <c r="B86" s="6"/>
    </row>
    <row r="87" spans="2:2" ht="14.25" customHeight="1">
      <c r="B87" s="6"/>
    </row>
    <row r="88" spans="2:2" ht="14.25" customHeight="1">
      <c r="B88" s="6"/>
    </row>
    <row r="89" spans="2:2" ht="14.25" customHeight="1">
      <c r="B89" s="6"/>
    </row>
    <row r="90" spans="2:2" ht="14.25" customHeight="1">
      <c r="B90" s="6"/>
    </row>
    <row r="91" spans="2:2" ht="14.25" customHeight="1">
      <c r="B91" s="6"/>
    </row>
    <row r="92" spans="2:2" ht="14.25" customHeight="1">
      <c r="B92" s="6"/>
    </row>
    <row r="93" spans="2:2" ht="14.25" customHeight="1">
      <c r="B93" s="6"/>
    </row>
    <row r="94" spans="2:2" ht="14.25" customHeight="1">
      <c r="B94" s="6"/>
    </row>
    <row r="95" spans="2:2" ht="14.25" customHeight="1">
      <c r="B95" s="6"/>
    </row>
    <row r="96" spans="2:2" ht="14.25" customHeight="1">
      <c r="B96" s="6"/>
    </row>
    <row r="97" spans="2:2" ht="14.25" customHeight="1">
      <c r="B97" s="6"/>
    </row>
    <row r="98" spans="2:2" ht="14.25" customHeight="1">
      <c r="B98" s="6"/>
    </row>
    <row r="99" spans="2:2" ht="14.25" customHeight="1">
      <c r="B99" s="6"/>
    </row>
    <row r="100" spans="2:2" ht="14.25" customHeight="1">
      <c r="B100" s="6"/>
    </row>
    <row r="101" spans="2:2" ht="14.25" customHeight="1">
      <c r="B101" s="6"/>
    </row>
    <row r="102" spans="2:2" ht="14.25" customHeight="1">
      <c r="B102" s="6"/>
    </row>
    <row r="103" spans="2:2" ht="14.25" customHeight="1">
      <c r="B103" s="6"/>
    </row>
    <row r="104" spans="2:2" ht="14.25" customHeight="1">
      <c r="B104" s="6"/>
    </row>
    <row r="105" spans="2:2" ht="14.25" customHeight="1">
      <c r="B105" s="6"/>
    </row>
    <row r="106" spans="2:2" ht="14.25" customHeight="1">
      <c r="B106" s="6"/>
    </row>
    <row r="107" spans="2:2" ht="14.25" customHeight="1">
      <c r="B107" s="6"/>
    </row>
    <row r="108" spans="2:2" ht="14.25" customHeight="1">
      <c r="B108" s="6"/>
    </row>
    <row r="109" spans="2:2" ht="14.25" customHeight="1">
      <c r="B109" s="6"/>
    </row>
    <row r="110" spans="2:2" ht="14.25" customHeight="1">
      <c r="B110" s="6"/>
    </row>
    <row r="111" spans="2:2" ht="14.25" customHeight="1">
      <c r="B111" s="6"/>
    </row>
    <row r="112" spans="2:2" ht="14.25" customHeight="1">
      <c r="B112" s="6"/>
    </row>
    <row r="113" spans="2:2" ht="14.25" customHeight="1">
      <c r="B113" s="6"/>
    </row>
    <row r="114" spans="2:2" ht="14.25" customHeight="1">
      <c r="B114" s="6"/>
    </row>
    <row r="115" spans="2:2" ht="14.25" customHeight="1">
      <c r="B115" s="6"/>
    </row>
    <row r="116" spans="2:2" ht="14.25" customHeight="1">
      <c r="B116" s="6"/>
    </row>
    <row r="117" spans="2:2" ht="14.25" customHeight="1">
      <c r="B117" s="6"/>
    </row>
    <row r="118" spans="2:2" ht="14.25" customHeight="1">
      <c r="B118" s="6"/>
    </row>
    <row r="119" spans="2:2" ht="14.25" customHeight="1">
      <c r="B119" s="6"/>
    </row>
    <row r="120" spans="2:2" ht="14.25" customHeight="1">
      <c r="B120" s="6"/>
    </row>
    <row r="121" spans="2:2" ht="14.25" customHeight="1">
      <c r="B121" s="6"/>
    </row>
    <row r="122" spans="2:2" ht="14.25" customHeight="1">
      <c r="B122" s="6"/>
    </row>
    <row r="123" spans="2:2" ht="14.25" customHeight="1">
      <c r="B123" s="6"/>
    </row>
    <row r="124" spans="2:2" ht="14.25" customHeight="1">
      <c r="B124" s="6"/>
    </row>
    <row r="125" spans="2:2" ht="14.25" customHeight="1">
      <c r="B125" s="6"/>
    </row>
    <row r="126" spans="2:2" ht="14.25" customHeight="1">
      <c r="B126" s="6"/>
    </row>
    <row r="127" spans="2:2" ht="14.25" customHeight="1">
      <c r="B127" s="6"/>
    </row>
    <row r="128" spans="2:2" ht="14.25" customHeight="1">
      <c r="B128" s="6"/>
    </row>
    <row r="129" spans="2:2" ht="14.25" customHeight="1">
      <c r="B129" s="6"/>
    </row>
    <row r="130" spans="2:2" ht="14.25" customHeight="1">
      <c r="B130" s="6"/>
    </row>
    <row r="131" spans="2:2" ht="14.25" customHeight="1">
      <c r="B131" s="6"/>
    </row>
    <row r="132" spans="2:2" ht="14.25" customHeight="1">
      <c r="B132" s="6"/>
    </row>
    <row r="133" spans="2:2" ht="14.25" customHeight="1">
      <c r="B133" s="6"/>
    </row>
    <row r="134" spans="2:2" ht="14.25" customHeight="1">
      <c r="B134" s="6"/>
    </row>
    <row r="135" spans="2:2" ht="14.25" customHeight="1">
      <c r="B135" s="6"/>
    </row>
    <row r="136" spans="2:2" ht="14.25" customHeight="1">
      <c r="B136" s="6"/>
    </row>
    <row r="137" spans="2:2" ht="14.25" customHeight="1">
      <c r="B137" s="6"/>
    </row>
    <row r="138" spans="2:2" ht="14.25" customHeight="1">
      <c r="B138" s="6"/>
    </row>
    <row r="139" spans="2:2" ht="14.25" customHeight="1">
      <c r="B139" s="6"/>
    </row>
    <row r="140" spans="2:2" ht="14.25" customHeight="1">
      <c r="B140" s="6"/>
    </row>
    <row r="141" spans="2:2" ht="14.25" customHeight="1">
      <c r="B141" s="6"/>
    </row>
    <row r="142" spans="2:2" ht="14.25" customHeight="1">
      <c r="B142" s="6"/>
    </row>
    <row r="143" spans="2:2" ht="14.25" customHeight="1">
      <c r="B143" s="6"/>
    </row>
    <row r="144" spans="2:2" ht="14.25" customHeight="1">
      <c r="B144" s="6"/>
    </row>
    <row r="145" spans="2:2" ht="14.25" customHeight="1">
      <c r="B145" s="6"/>
    </row>
    <row r="146" spans="2:2" ht="14.25" customHeight="1">
      <c r="B146" s="6"/>
    </row>
    <row r="147" spans="2:2" ht="14.25" customHeight="1">
      <c r="B147" s="6"/>
    </row>
    <row r="148" spans="2:2" ht="14.25" customHeight="1">
      <c r="B148" s="6"/>
    </row>
    <row r="149" spans="2:2" ht="14.25" customHeight="1">
      <c r="B149" s="6"/>
    </row>
    <row r="150" spans="2:2" ht="14.25" customHeight="1">
      <c r="B150" s="6"/>
    </row>
    <row r="151" spans="2:2" ht="14.25" customHeight="1">
      <c r="B151" s="6"/>
    </row>
    <row r="152" spans="2:2" ht="14.25" customHeight="1">
      <c r="B152" s="6"/>
    </row>
    <row r="153" spans="2:2" ht="14.25" customHeight="1">
      <c r="B153" s="6"/>
    </row>
    <row r="154" spans="2:2" ht="14.25" customHeight="1">
      <c r="B154" s="6"/>
    </row>
    <row r="155" spans="2:2" ht="14.25" customHeight="1">
      <c r="B155" s="6"/>
    </row>
    <row r="156" spans="2:2" ht="14.25" customHeight="1">
      <c r="B156" s="6"/>
    </row>
    <row r="157" spans="2:2" ht="14.25" customHeight="1">
      <c r="B157" s="6"/>
    </row>
    <row r="158" spans="2:2" ht="14.25" customHeight="1">
      <c r="B158" s="6"/>
    </row>
    <row r="159" spans="2:2" ht="14.25" customHeight="1">
      <c r="B159" s="6"/>
    </row>
    <row r="160" spans="2:2" ht="14.25" customHeight="1">
      <c r="B160" s="6"/>
    </row>
    <row r="161" spans="2:2" ht="14.25" customHeight="1">
      <c r="B161" s="6"/>
    </row>
    <row r="162" spans="2:2" ht="14.25" customHeight="1">
      <c r="B162" s="6"/>
    </row>
    <row r="163" spans="2:2" ht="14.25" customHeight="1">
      <c r="B163" s="6"/>
    </row>
    <row r="164" spans="2:2" ht="14.25" customHeight="1">
      <c r="B164" s="6"/>
    </row>
    <row r="165" spans="2:2" ht="14.25" customHeight="1">
      <c r="B165" s="6"/>
    </row>
    <row r="166" spans="2:2" ht="14.25" customHeight="1">
      <c r="B166" s="6"/>
    </row>
    <row r="167" spans="2:2" ht="14.25" customHeight="1">
      <c r="B167" s="6"/>
    </row>
    <row r="168" spans="2:2" ht="14.25" customHeight="1">
      <c r="B168" s="6"/>
    </row>
    <row r="169" spans="2:2" ht="14.25" customHeight="1">
      <c r="B169" s="6"/>
    </row>
    <row r="170" spans="2:2" ht="14.25" customHeight="1">
      <c r="B170" s="6"/>
    </row>
    <row r="171" spans="2:2" ht="14.25" customHeight="1">
      <c r="B171" s="6"/>
    </row>
    <row r="172" spans="2:2" ht="14.25" customHeight="1">
      <c r="B172" s="6"/>
    </row>
    <row r="173" spans="2:2" ht="14.25" customHeight="1">
      <c r="B173" s="6"/>
    </row>
    <row r="174" spans="2:2" ht="14.25" customHeight="1">
      <c r="B174" s="6"/>
    </row>
    <row r="175" spans="2:2" ht="14.25" customHeight="1">
      <c r="B175" s="6"/>
    </row>
    <row r="176" spans="2:2" ht="14.25" customHeight="1">
      <c r="B176" s="6"/>
    </row>
    <row r="177" spans="2:2" ht="14.25" customHeight="1">
      <c r="B177" s="6"/>
    </row>
    <row r="178" spans="2:2" ht="14.25" customHeight="1">
      <c r="B178" s="6"/>
    </row>
    <row r="179" spans="2:2" ht="14.25" customHeight="1">
      <c r="B179" s="6"/>
    </row>
    <row r="180" spans="2:2" ht="14.25" customHeight="1">
      <c r="B180" s="6"/>
    </row>
    <row r="181" spans="2:2" ht="14.25" customHeight="1">
      <c r="B181" s="6"/>
    </row>
    <row r="182" spans="2:2" ht="14.25" customHeight="1">
      <c r="B182" s="6"/>
    </row>
    <row r="183" spans="2:2" ht="14.25" customHeight="1">
      <c r="B183" s="6"/>
    </row>
    <row r="184" spans="2:2" ht="14.25" customHeight="1">
      <c r="B184" s="6"/>
    </row>
    <row r="185" spans="2:2" ht="14.25" customHeight="1">
      <c r="B185" s="6"/>
    </row>
    <row r="186" spans="2:2" ht="14.25" customHeight="1">
      <c r="B186" s="6"/>
    </row>
    <row r="187" spans="2:2" ht="14.25" customHeight="1">
      <c r="B187" s="6"/>
    </row>
    <row r="188" spans="2:2" ht="14.25" customHeight="1">
      <c r="B188" s="6"/>
    </row>
    <row r="189" spans="2:2" ht="14.25" customHeight="1">
      <c r="B189" s="6"/>
    </row>
    <row r="190" spans="2:2" ht="14.25" customHeight="1">
      <c r="B190" s="6"/>
    </row>
    <row r="191" spans="2:2" ht="14.25" customHeight="1">
      <c r="B191" s="6"/>
    </row>
    <row r="192" spans="2:2" ht="14.25" customHeight="1">
      <c r="B192" s="6"/>
    </row>
    <row r="193" spans="2:2" ht="14.25" customHeight="1">
      <c r="B193" s="6"/>
    </row>
    <row r="194" spans="2:2" ht="14.25" customHeight="1">
      <c r="B194" s="6"/>
    </row>
    <row r="195" spans="2:2" ht="14.25" customHeight="1">
      <c r="B195" s="6"/>
    </row>
    <row r="196" spans="2:2" ht="14.25" customHeight="1">
      <c r="B196" s="6"/>
    </row>
    <row r="197" spans="2:2" ht="14.25" customHeight="1">
      <c r="B197" s="6"/>
    </row>
    <row r="198" spans="2:2" ht="14.25" customHeight="1">
      <c r="B198" s="6"/>
    </row>
    <row r="199" spans="2:2" ht="14.25" customHeight="1">
      <c r="B199" s="6"/>
    </row>
    <row r="200" spans="2:2" ht="14.25" customHeight="1">
      <c r="B200" s="6"/>
    </row>
    <row r="201" spans="2:2" ht="14.25" customHeight="1">
      <c r="B201" s="6"/>
    </row>
    <row r="202" spans="2:2" ht="14.25" customHeight="1">
      <c r="B202" s="6"/>
    </row>
    <row r="203" spans="2:2" ht="14.25" customHeight="1">
      <c r="B203" s="6"/>
    </row>
    <row r="204" spans="2:2" ht="14.25" customHeight="1">
      <c r="B204" s="6"/>
    </row>
    <row r="205" spans="2:2" ht="14.25" customHeight="1">
      <c r="B205" s="6"/>
    </row>
    <row r="206" spans="2:2" ht="14.25" customHeight="1">
      <c r="B206" s="6"/>
    </row>
    <row r="207" spans="2:2" ht="14.25" customHeight="1">
      <c r="B207" s="6"/>
    </row>
    <row r="208" spans="2:2" ht="14.25" customHeight="1">
      <c r="B208" s="6"/>
    </row>
    <row r="209" spans="2:2" ht="14.25" customHeight="1">
      <c r="B209" s="6"/>
    </row>
    <row r="210" spans="2:2" ht="14.25" customHeight="1">
      <c r="B210" s="6"/>
    </row>
    <row r="211" spans="2:2" ht="14.25" customHeight="1">
      <c r="B211" s="6"/>
    </row>
    <row r="212" spans="2:2" ht="14.25" customHeight="1">
      <c r="B212" s="6"/>
    </row>
    <row r="213" spans="2:2" ht="14.25" customHeight="1">
      <c r="B213" s="6"/>
    </row>
    <row r="214" spans="2:2" ht="14.25" customHeight="1">
      <c r="B214" s="6"/>
    </row>
    <row r="215" spans="2:2" ht="14.25" customHeight="1">
      <c r="B215" s="6"/>
    </row>
    <row r="216" spans="2:2" ht="14.25" customHeight="1">
      <c r="B216" s="6"/>
    </row>
    <row r="217" spans="2:2" ht="14.25" customHeight="1">
      <c r="B217" s="6"/>
    </row>
    <row r="218" spans="2:2" ht="14.25" customHeight="1">
      <c r="B218" s="6"/>
    </row>
    <row r="219" spans="2:2" ht="14.25" customHeight="1">
      <c r="B219" s="6"/>
    </row>
    <row r="220" spans="2:2" ht="14.25" customHeight="1">
      <c r="B220" s="6"/>
    </row>
    <row r="221" spans="2:2" ht="14.25" customHeight="1">
      <c r="B221" s="6"/>
    </row>
    <row r="222" spans="2:2" ht="14.25" customHeight="1">
      <c r="B222" s="6"/>
    </row>
    <row r="223" spans="2:2" ht="14.25" customHeight="1">
      <c r="B223" s="6"/>
    </row>
    <row r="224" spans="2:2" ht="14.25" customHeight="1">
      <c r="B224" s="6"/>
    </row>
    <row r="225" spans="2:2" ht="14.25" customHeight="1">
      <c r="B225" s="6"/>
    </row>
    <row r="226" spans="2:2" ht="14.25" customHeight="1">
      <c r="B226" s="6"/>
    </row>
    <row r="227" spans="2:2" ht="14.25" customHeight="1">
      <c r="B227" s="6"/>
    </row>
    <row r="228" spans="2:2" ht="14.25" customHeight="1">
      <c r="B228" s="6"/>
    </row>
    <row r="229" spans="2:2" ht="14.25" customHeight="1">
      <c r="B229" s="6"/>
    </row>
    <row r="230" spans="2:2" ht="14.25" customHeight="1">
      <c r="B230" s="6"/>
    </row>
    <row r="231" spans="2:2" ht="14.25" customHeight="1">
      <c r="B231" s="6"/>
    </row>
    <row r="232" spans="2:2" ht="14.25" customHeight="1">
      <c r="B232" s="6"/>
    </row>
    <row r="233" spans="2:2" ht="14.25" customHeight="1">
      <c r="B233" s="6"/>
    </row>
    <row r="234" spans="2:2" ht="14.25" customHeight="1">
      <c r="B234" s="6"/>
    </row>
    <row r="235" spans="2:2" ht="14.25" customHeight="1">
      <c r="B235" s="6"/>
    </row>
    <row r="236" spans="2:2" ht="14.25" customHeight="1">
      <c r="B236" s="6"/>
    </row>
    <row r="237" spans="2:2" ht="14.25" customHeight="1">
      <c r="B237" s="6"/>
    </row>
    <row r="238" spans="2:2" ht="14.25" customHeight="1">
      <c r="B238" s="6"/>
    </row>
    <row r="239" spans="2:2" ht="14.25" customHeight="1">
      <c r="B239" s="6"/>
    </row>
    <row r="240" spans="2:2" ht="14.25" customHeight="1">
      <c r="B240" s="6"/>
    </row>
    <row r="241" spans="2:2" ht="14.25" customHeight="1">
      <c r="B241" s="6"/>
    </row>
    <row r="242" spans="2:2" ht="14.25" customHeight="1">
      <c r="B242" s="6"/>
    </row>
    <row r="243" spans="2:2" ht="14.25" customHeight="1">
      <c r="B243" s="6"/>
    </row>
    <row r="244" spans="2:2" ht="14.25" customHeight="1">
      <c r="B244" s="6"/>
    </row>
    <row r="245" spans="2:2" ht="14.25" customHeight="1">
      <c r="B245" s="6"/>
    </row>
    <row r="246" spans="2:2" ht="14.25" customHeight="1">
      <c r="B246" s="6"/>
    </row>
    <row r="247" spans="2:2" ht="14.25" customHeight="1">
      <c r="B247" s="6"/>
    </row>
    <row r="248" spans="2:2" ht="14.25" customHeight="1">
      <c r="B248" s="6"/>
    </row>
    <row r="249" spans="2:2" ht="14.25" customHeight="1">
      <c r="B249" s="6"/>
    </row>
    <row r="250" spans="2:2" ht="14.25" customHeight="1">
      <c r="B250" s="6"/>
    </row>
    <row r="251" spans="2:2" ht="14.25" customHeight="1">
      <c r="B251" s="6"/>
    </row>
    <row r="252" spans="2:2" ht="14.25" customHeight="1">
      <c r="B252" s="6"/>
    </row>
    <row r="253" spans="2:2" ht="14.25" customHeight="1">
      <c r="B253" s="6"/>
    </row>
    <row r="254" spans="2:2" ht="14.25" customHeight="1">
      <c r="B254" s="6"/>
    </row>
    <row r="255" spans="2:2" ht="14.25" customHeight="1">
      <c r="B255" s="6"/>
    </row>
    <row r="256" spans="2:2" ht="14.25" customHeight="1">
      <c r="B256" s="6"/>
    </row>
    <row r="257" spans="2:2" ht="14.25" customHeight="1">
      <c r="B257" s="6"/>
    </row>
    <row r="258" spans="2:2" ht="14.25" customHeight="1">
      <c r="B258" s="6"/>
    </row>
    <row r="259" spans="2:2" ht="14.25" customHeight="1">
      <c r="B259" s="6"/>
    </row>
    <row r="260" spans="2:2" ht="14.25" customHeight="1">
      <c r="B260" s="6"/>
    </row>
    <row r="261" spans="2:2" ht="14.25" customHeight="1">
      <c r="B261" s="6"/>
    </row>
    <row r="262" spans="2:2" ht="14.25" customHeight="1">
      <c r="B262" s="6"/>
    </row>
    <row r="263" spans="2:2" ht="14.25" customHeight="1">
      <c r="B263" s="6"/>
    </row>
    <row r="264" spans="2:2" ht="14.25" customHeight="1">
      <c r="B264" s="6"/>
    </row>
    <row r="265" spans="2:2" ht="14.25" customHeight="1">
      <c r="B265" s="6"/>
    </row>
    <row r="266" spans="2:2" ht="14.25" customHeight="1">
      <c r="B266" s="6"/>
    </row>
    <row r="267" spans="2:2" ht="14.25" customHeight="1">
      <c r="B267" s="6"/>
    </row>
    <row r="268" spans="2:2" ht="14.25" customHeight="1">
      <c r="B268" s="6"/>
    </row>
    <row r="269" spans="2:2" ht="14.25" customHeight="1">
      <c r="B269" s="6"/>
    </row>
    <row r="270" spans="2:2" ht="14.25" customHeight="1">
      <c r="B270" s="6"/>
    </row>
    <row r="271" spans="2:2" ht="14.25" customHeight="1">
      <c r="B271" s="6"/>
    </row>
    <row r="272" spans="2:2" ht="14.25" customHeight="1">
      <c r="B272" s="6"/>
    </row>
    <row r="273" spans="2:2" ht="14.25" customHeight="1">
      <c r="B273" s="6"/>
    </row>
    <row r="274" spans="2:2" ht="14.25" customHeight="1">
      <c r="B274" s="6"/>
    </row>
    <row r="275" spans="2:2" ht="14.25" customHeight="1">
      <c r="B275" s="6"/>
    </row>
    <row r="276" spans="2:2" ht="14.25" customHeight="1">
      <c r="B276" s="6"/>
    </row>
    <row r="277" spans="2:2" ht="14.25" customHeight="1">
      <c r="B277" s="6"/>
    </row>
    <row r="278" spans="2:2" ht="14.25" customHeight="1">
      <c r="B278" s="6"/>
    </row>
    <row r="279" spans="2:2" ht="14.25" customHeight="1">
      <c r="B279" s="6"/>
    </row>
    <row r="280" spans="2:2" ht="14.25" customHeight="1">
      <c r="B280" s="6"/>
    </row>
    <row r="281" spans="2:2" ht="14.25" customHeight="1">
      <c r="B281" s="6"/>
    </row>
    <row r="282" spans="2:2" ht="14.25" customHeight="1">
      <c r="B282" s="6"/>
    </row>
    <row r="283" spans="2:2" ht="14.25" customHeight="1">
      <c r="B283" s="6"/>
    </row>
    <row r="284" spans="2:2" ht="14.25" customHeight="1">
      <c r="B284" s="6"/>
    </row>
    <row r="285" spans="2:2" ht="14.25" customHeight="1">
      <c r="B285" s="6"/>
    </row>
    <row r="286" spans="2:2" ht="14.25" customHeight="1">
      <c r="B286" s="6"/>
    </row>
    <row r="287" spans="2:2" ht="14.25" customHeight="1">
      <c r="B287" s="6"/>
    </row>
    <row r="288" spans="2:2" ht="14.25" customHeight="1">
      <c r="B288" s="6"/>
    </row>
    <row r="289" spans="2:2" ht="14.25" customHeight="1">
      <c r="B289" s="6"/>
    </row>
    <row r="290" spans="2:2" ht="14.25" customHeight="1">
      <c r="B290" s="6"/>
    </row>
    <row r="291" spans="2:2" ht="14.25" customHeight="1">
      <c r="B291" s="6"/>
    </row>
    <row r="292" spans="2:2" ht="14.25" customHeight="1">
      <c r="B292" s="6"/>
    </row>
    <row r="293" spans="2:2" ht="14.25" customHeight="1">
      <c r="B293" s="6"/>
    </row>
    <row r="294" spans="2:2" ht="14.25" customHeight="1">
      <c r="B294" s="6"/>
    </row>
    <row r="295" spans="2:2" ht="14.25" customHeight="1">
      <c r="B295" s="6"/>
    </row>
    <row r="296" spans="2:2" ht="14.25" customHeight="1">
      <c r="B296" s="6"/>
    </row>
    <row r="297" spans="2:2" ht="14.25" customHeight="1">
      <c r="B297" s="6"/>
    </row>
    <row r="298" spans="2:2" ht="14.25" customHeight="1">
      <c r="B298" s="6"/>
    </row>
    <row r="299" spans="2:2" ht="14.25" customHeight="1">
      <c r="B299" s="6"/>
    </row>
    <row r="300" spans="2:2" ht="14.25" customHeight="1">
      <c r="B300" s="6"/>
    </row>
    <row r="301" spans="2:2" ht="14.25" customHeight="1">
      <c r="B301" s="6"/>
    </row>
    <row r="302" spans="2:2" ht="14.25" customHeight="1">
      <c r="B302" s="6"/>
    </row>
    <row r="303" spans="2:2" ht="14.25" customHeight="1">
      <c r="B303" s="6"/>
    </row>
    <row r="304" spans="2:2" ht="14.25" customHeight="1">
      <c r="B304" s="6"/>
    </row>
    <row r="305" spans="2:2" ht="14.25" customHeight="1">
      <c r="B305" s="6"/>
    </row>
    <row r="306" spans="2:2" ht="14.25" customHeight="1">
      <c r="B306" s="6"/>
    </row>
    <row r="307" spans="2:2" ht="14.25" customHeight="1">
      <c r="B307" s="6"/>
    </row>
    <row r="308" spans="2:2" ht="14.25" customHeight="1">
      <c r="B308" s="6"/>
    </row>
    <row r="309" spans="2:2" ht="14.25" customHeight="1">
      <c r="B309" s="6"/>
    </row>
    <row r="310" spans="2:2" ht="14.25" customHeight="1">
      <c r="B310" s="6"/>
    </row>
    <row r="311" spans="2:2" ht="14.25" customHeight="1">
      <c r="B311" s="6"/>
    </row>
    <row r="312" spans="2:2" ht="14.25" customHeight="1">
      <c r="B312" s="6"/>
    </row>
    <row r="313" spans="2:2" ht="14.25" customHeight="1">
      <c r="B313" s="6"/>
    </row>
    <row r="314" spans="2:2" ht="14.25" customHeight="1">
      <c r="B314" s="6"/>
    </row>
    <row r="315" spans="2:2" ht="14.25" customHeight="1">
      <c r="B315" s="6"/>
    </row>
    <row r="316" spans="2:2" ht="14.25" customHeight="1">
      <c r="B316" s="6"/>
    </row>
    <row r="317" spans="2:2" ht="14.25" customHeight="1">
      <c r="B317" s="6"/>
    </row>
    <row r="318" spans="2:2" ht="14.25" customHeight="1">
      <c r="B318" s="6"/>
    </row>
    <row r="319" spans="2:2" ht="14.25" customHeight="1">
      <c r="B319" s="6"/>
    </row>
    <row r="320" spans="2:2" ht="14.25" customHeight="1">
      <c r="B320" s="6"/>
    </row>
    <row r="321" spans="2:2" ht="14.25" customHeight="1">
      <c r="B321" s="6"/>
    </row>
    <row r="322" spans="2:2" ht="14.25" customHeight="1">
      <c r="B322" s="6"/>
    </row>
    <row r="323" spans="2:2" ht="14.25" customHeight="1">
      <c r="B323" s="6"/>
    </row>
    <row r="324" spans="2:2" ht="14.25" customHeight="1">
      <c r="B324" s="6"/>
    </row>
    <row r="325" spans="2:2" ht="14.25" customHeight="1">
      <c r="B325" s="6"/>
    </row>
    <row r="326" spans="2:2" ht="14.25" customHeight="1">
      <c r="B326" s="6"/>
    </row>
    <row r="327" spans="2:2" ht="14.25" customHeight="1">
      <c r="B327" s="6"/>
    </row>
    <row r="328" spans="2:2" ht="14.25" customHeight="1">
      <c r="B328" s="6"/>
    </row>
    <row r="329" spans="2:2" ht="14.25" customHeight="1">
      <c r="B329" s="6"/>
    </row>
    <row r="330" spans="2:2" ht="14.25" customHeight="1">
      <c r="B330" s="6"/>
    </row>
    <row r="331" spans="2:2" ht="14.25" customHeight="1">
      <c r="B331" s="6"/>
    </row>
    <row r="332" spans="2:2" ht="14.25" customHeight="1">
      <c r="B332" s="6"/>
    </row>
    <row r="333" spans="2:2" ht="14.25" customHeight="1">
      <c r="B333" s="6"/>
    </row>
    <row r="334" spans="2:2" ht="14.25" customHeight="1">
      <c r="B334" s="6"/>
    </row>
    <row r="335" spans="2:2" ht="14.25" customHeight="1">
      <c r="B335" s="6"/>
    </row>
    <row r="336" spans="2:2" ht="14.25" customHeight="1">
      <c r="B336" s="6"/>
    </row>
    <row r="337" spans="2:2" ht="14.25" customHeight="1">
      <c r="B337" s="6"/>
    </row>
    <row r="338" spans="2:2" ht="14.25" customHeight="1">
      <c r="B338" s="6"/>
    </row>
    <row r="339" spans="2:2" ht="14.25" customHeight="1">
      <c r="B339" s="6"/>
    </row>
    <row r="340" spans="2:2" ht="14.25" customHeight="1">
      <c r="B340" s="6"/>
    </row>
    <row r="341" spans="2:2" ht="14.25" customHeight="1">
      <c r="B341" s="6"/>
    </row>
    <row r="342" spans="2:2" ht="14.25" customHeight="1">
      <c r="B342" s="6"/>
    </row>
    <row r="343" spans="2:2" ht="14.25" customHeight="1">
      <c r="B343" s="6"/>
    </row>
    <row r="344" spans="2:2" ht="14.25" customHeight="1">
      <c r="B344" s="6"/>
    </row>
    <row r="345" spans="2:2" ht="14.25" customHeight="1">
      <c r="B345" s="6"/>
    </row>
    <row r="346" spans="2:2" ht="14.25" customHeight="1">
      <c r="B346" s="6"/>
    </row>
    <row r="347" spans="2:2" ht="14.25" customHeight="1">
      <c r="B347" s="6"/>
    </row>
    <row r="348" spans="2:2" ht="14.25" customHeight="1">
      <c r="B348" s="6"/>
    </row>
    <row r="349" spans="2:2" ht="14.25" customHeight="1">
      <c r="B349" s="6"/>
    </row>
    <row r="350" spans="2:2" ht="14.25" customHeight="1">
      <c r="B350" s="6"/>
    </row>
    <row r="351" spans="2:2" ht="14.25" customHeight="1">
      <c r="B351" s="6"/>
    </row>
    <row r="352" spans="2:2" ht="14.25" customHeight="1">
      <c r="B352" s="6"/>
    </row>
    <row r="353" spans="2:2" ht="14.25" customHeight="1">
      <c r="B353" s="6"/>
    </row>
    <row r="354" spans="2:2" ht="14.25" customHeight="1">
      <c r="B354" s="6"/>
    </row>
    <row r="355" spans="2:2" ht="14.25" customHeight="1">
      <c r="B355" s="6"/>
    </row>
    <row r="356" spans="2:2" ht="14.25" customHeight="1">
      <c r="B356" s="6"/>
    </row>
    <row r="357" spans="2:2" ht="14.25" customHeight="1">
      <c r="B357" s="6"/>
    </row>
    <row r="358" spans="2:2" ht="14.25" customHeight="1">
      <c r="B358" s="6"/>
    </row>
    <row r="359" spans="2:2" ht="14.25" customHeight="1">
      <c r="B359" s="6"/>
    </row>
    <row r="360" spans="2:2" ht="14.25" customHeight="1">
      <c r="B360" s="6"/>
    </row>
    <row r="361" spans="2:2" ht="14.25" customHeight="1">
      <c r="B361" s="6"/>
    </row>
    <row r="362" spans="2:2" ht="14.25" customHeight="1">
      <c r="B362" s="6"/>
    </row>
    <row r="363" spans="2:2" ht="14.25" customHeight="1">
      <c r="B363" s="6"/>
    </row>
    <row r="364" spans="2:2" ht="14.25" customHeight="1">
      <c r="B364" s="6"/>
    </row>
    <row r="365" spans="2:2" ht="14.25" customHeight="1">
      <c r="B365" s="6"/>
    </row>
    <row r="366" spans="2:2" ht="14.25" customHeight="1">
      <c r="B366" s="6"/>
    </row>
    <row r="367" spans="2:2" ht="14.25" customHeight="1">
      <c r="B367" s="6"/>
    </row>
    <row r="368" spans="2:2" ht="14.25" customHeight="1">
      <c r="B368" s="6"/>
    </row>
    <row r="369" spans="2:2" ht="14.25" customHeight="1">
      <c r="B369" s="6"/>
    </row>
    <row r="370" spans="2:2" ht="14.25" customHeight="1">
      <c r="B370" s="6"/>
    </row>
    <row r="371" spans="2:2" ht="14.25" customHeight="1">
      <c r="B371" s="6"/>
    </row>
    <row r="372" spans="2:2" ht="14.25" customHeight="1">
      <c r="B372" s="6"/>
    </row>
    <row r="373" spans="2:2" ht="14.25" customHeight="1">
      <c r="B373" s="6"/>
    </row>
    <row r="374" spans="2:2" ht="14.25" customHeight="1">
      <c r="B374" s="6"/>
    </row>
    <row r="375" spans="2:2" ht="14.25" customHeight="1">
      <c r="B375" s="6"/>
    </row>
    <row r="376" spans="2:2" ht="14.25" customHeight="1">
      <c r="B376" s="6"/>
    </row>
    <row r="377" spans="2:2" ht="14.25" customHeight="1">
      <c r="B377" s="6"/>
    </row>
    <row r="378" spans="2:2" ht="14.25" customHeight="1">
      <c r="B378" s="6"/>
    </row>
    <row r="379" spans="2:2" ht="14.25" customHeight="1">
      <c r="B379" s="6"/>
    </row>
    <row r="380" spans="2:2" ht="14.25" customHeight="1">
      <c r="B380" s="6"/>
    </row>
    <row r="381" spans="2:2" ht="14.25" customHeight="1">
      <c r="B381" s="6"/>
    </row>
    <row r="382" spans="2:2" ht="14.25" customHeight="1">
      <c r="B382" s="6"/>
    </row>
    <row r="383" spans="2:2" ht="14.25" customHeight="1">
      <c r="B383" s="6"/>
    </row>
    <row r="384" spans="2:2" ht="14.25" customHeight="1">
      <c r="B384" s="6"/>
    </row>
    <row r="385" spans="2:2" ht="14.25" customHeight="1">
      <c r="B385" s="6"/>
    </row>
    <row r="386" spans="2:2" ht="14.25" customHeight="1">
      <c r="B386" s="6"/>
    </row>
    <row r="387" spans="2:2" ht="14.25" customHeight="1">
      <c r="B387" s="6"/>
    </row>
    <row r="388" spans="2:2" ht="14.25" customHeight="1">
      <c r="B388" s="6"/>
    </row>
    <row r="389" spans="2:2" ht="14.25" customHeight="1">
      <c r="B389" s="6"/>
    </row>
    <row r="390" spans="2:2" ht="14.25" customHeight="1">
      <c r="B390" s="6"/>
    </row>
    <row r="391" spans="2:2" ht="14.25" customHeight="1">
      <c r="B391" s="6"/>
    </row>
    <row r="392" spans="2:2" ht="14.25" customHeight="1">
      <c r="B392" s="6"/>
    </row>
    <row r="393" spans="2:2" ht="14.25" customHeight="1">
      <c r="B393" s="6"/>
    </row>
    <row r="394" spans="2:2" ht="14.25" customHeight="1">
      <c r="B394" s="6"/>
    </row>
    <row r="395" spans="2:2" ht="14.25" customHeight="1">
      <c r="B395" s="6"/>
    </row>
    <row r="396" spans="2:2" ht="14.25" customHeight="1">
      <c r="B396" s="6"/>
    </row>
    <row r="397" spans="2:2" ht="14.25" customHeight="1">
      <c r="B397" s="6"/>
    </row>
    <row r="398" spans="2:2" ht="14.25" customHeight="1">
      <c r="B398" s="6"/>
    </row>
    <row r="399" spans="2:2" ht="14.25" customHeight="1">
      <c r="B399" s="6"/>
    </row>
    <row r="400" spans="2:2" ht="14.25" customHeight="1">
      <c r="B400" s="6"/>
    </row>
    <row r="401" spans="2:2" ht="14.25" customHeight="1">
      <c r="B401" s="6"/>
    </row>
    <row r="402" spans="2:2" ht="14.25" customHeight="1">
      <c r="B402" s="6"/>
    </row>
    <row r="403" spans="2:2" ht="14.25" customHeight="1">
      <c r="B403" s="6"/>
    </row>
    <row r="404" spans="2:2" ht="14.25" customHeight="1">
      <c r="B404" s="6"/>
    </row>
    <row r="405" spans="2:2" ht="14.25" customHeight="1">
      <c r="B405" s="6"/>
    </row>
    <row r="406" spans="2:2" ht="14.25" customHeight="1">
      <c r="B406" s="6"/>
    </row>
    <row r="407" spans="2:2" ht="14.25" customHeight="1">
      <c r="B407" s="6"/>
    </row>
    <row r="408" spans="2:2" ht="14.25" customHeight="1">
      <c r="B408" s="6"/>
    </row>
    <row r="409" spans="2:2" ht="14.25" customHeight="1">
      <c r="B409" s="6"/>
    </row>
    <row r="410" spans="2:2" ht="14.25" customHeight="1">
      <c r="B410" s="6"/>
    </row>
    <row r="411" spans="2:2" ht="14.25" customHeight="1">
      <c r="B411" s="6"/>
    </row>
    <row r="412" spans="2:2" ht="14.25" customHeight="1">
      <c r="B412" s="6"/>
    </row>
    <row r="413" spans="2:2" ht="14.25" customHeight="1">
      <c r="B413" s="6"/>
    </row>
    <row r="414" spans="2:2" ht="14.25" customHeight="1">
      <c r="B414" s="6"/>
    </row>
    <row r="415" spans="2:2" ht="14.25" customHeight="1">
      <c r="B415" s="6"/>
    </row>
    <row r="416" spans="2:2" ht="14.25" customHeight="1">
      <c r="B416" s="6"/>
    </row>
    <row r="417" spans="2:2" ht="14.25" customHeight="1">
      <c r="B417" s="6"/>
    </row>
    <row r="418" spans="2:2" ht="14.25" customHeight="1">
      <c r="B418" s="6"/>
    </row>
    <row r="419" spans="2:2" ht="14.25" customHeight="1">
      <c r="B419" s="6"/>
    </row>
    <row r="420" spans="2:2" ht="14.25" customHeight="1">
      <c r="B420" s="6"/>
    </row>
    <row r="421" spans="2:2" ht="14.25" customHeight="1">
      <c r="B421" s="6"/>
    </row>
    <row r="422" spans="2:2" ht="14.25" customHeight="1">
      <c r="B422" s="6"/>
    </row>
    <row r="423" spans="2:2" ht="14.25" customHeight="1">
      <c r="B423" s="6"/>
    </row>
    <row r="424" spans="2:2" ht="14.25" customHeight="1">
      <c r="B424" s="6"/>
    </row>
    <row r="425" spans="2:2" ht="14.25" customHeight="1">
      <c r="B425" s="6"/>
    </row>
    <row r="426" spans="2:2" ht="14.25" customHeight="1">
      <c r="B426" s="6"/>
    </row>
    <row r="427" spans="2:2" ht="14.25" customHeight="1">
      <c r="B427" s="6"/>
    </row>
    <row r="428" spans="2:2" ht="14.25" customHeight="1">
      <c r="B428" s="6"/>
    </row>
    <row r="429" spans="2:2" ht="14.25" customHeight="1">
      <c r="B429" s="6"/>
    </row>
    <row r="430" spans="2:2" ht="14.25" customHeight="1">
      <c r="B430" s="6"/>
    </row>
    <row r="431" spans="2:2" ht="14.25" customHeight="1">
      <c r="B431" s="6"/>
    </row>
    <row r="432" spans="2:2" ht="14.25" customHeight="1">
      <c r="B432" s="6"/>
    </row>
    <row r="433" spans="2:2" ht="14.25" customHeight="1">
      <c r="B433" s="6"/>
    </row>
    <row r="434" spans="2:2" ht="14.25" customHeight="1">
      <c r="B434" s="6"/>
    </row>
    <row r="435" spans="2:2" ht="14.25" customHeight="1">
      <c r="B435" s="6"/>
    </row>
    <row r="436" spans="2:2" ht="14.25" customHeight="1">
      <c r="B436" s="6"/>
    </row>
    <row r="437" spans="2:2" ht="14.25" customHeight="1">
      <c r="B437" s="6"/>
    </row>
    <row r="438" spans="2:2" ht="14.25" customHeight="1">
      <c r="B438" s="6"/>
    </row>
    <row r="439" spans="2:2" ht="14.25" customHeight="1">
      <c r="B439" s="6"/>
    </row>
    <row r="440" spans="2:2" ht="14.25" customHeight="1">
      <c r="B440" s="6"/>
    </row>
    <row r="441" spans="2:2" ht="14.25" customHeight="1">
      <c r="B441" s="6"/>
    </row>
    <row r="442" spans="2:2" ht="14.25" customHeight="1">
      <c r="B442" s="6"/>
    </row>
    <row r="443" spans="2:2" ht="14.25" customHeight="1">
      <c r="B443" s="6"/>
    </row>
    <row r="444" spans="2:2" ht="14.25" customHeight="1">
      <c r="B444" s="6"/>
    </row>
    <row r="445" spans="2:2" ht="14.25" customHeight="1">
      <c r="B445" s="6"/>
    </row>
    <row r="446" spans="2:2" ht="14.25" customHeight="1">
      <c r="B446" s="6"/>
    </row>
    <row r="447" spans="2:2" ht="14.25" customHeight="1">
      <c r="B447" s="6"/>
    </row>
    <row r="448" spans="2:2" ht="14.25" customHeight="1">
      <c r="B448" s="6"/>
    </row>
    <row r="449" spans="2:2" ht="14.25" customHeight="1">
      <c r="B449" s="6"/>
    </row>
    <row r="450" spans="2:2" ht="14.25" customHeight="1">
      <c r="B450" s="6"/>
    </row>
    <row r="451" spans="2:2" ht="14.25" customHeight="1">
      <c r="B451" s="6"/>
    </row>
    <row r="452" spans="2:2" ht="14.25" customHeight="1">
      <c r="B452" s="6"/>
    </row>
    <row r="453" spans="2:2" ht="14.25" customHeight="1">
      <c r="B453" s="6"/>
    </row>
    <row r="454" spans="2:2" ht="14.25" customHeight="1">
      <c r="B454" s="6"/>
    </row>
    <row r="455" spans="2:2" ht="14.25" customHeight="1">
      <c r="B455" s="6"/>
    </row>
    <row r="456" spans="2:2" ht="14.25" customHeight="1">
      <c r="B456" s="6"/>
    </row>
    <row r="457" spans="2:2" ht="14.25" customHeight="1">
      <c r="B457" s="6"/>
    </row>
    <row r="458" spans="2:2" ht="14.25" customHeight="1">
      <c r="B458" s="6"/>
    </row>
    <row r="459" spans="2:2" ht="14.25" customHeight="1">
      <c r="B459" s="6"/>
    </row>
    <row r="460" spans="2:2" ht="14.25" customHeight="1">
      <c r="B460" s="6"/>
    </row>
    <row r="461" spans="2:2" ht="14.25" customHeight="1">
      <c r="B461" s="6"/>
    </row>
    <row r="462" spans="2:2" ht="14.25" customHeight="1">
      <c r="B462" s="6"/>
    </row>
    <row r="463" spans="2:2" ht="14.25" customHeight="1">
      <c r="B463" s="6"/>
    </row>
    <row r="464" spans="2:2" ht="14.25" customHeight="1">
      <c r="B464" s="6"/>
    </row>
    <row r="465" spans="2:2" ht="14.25" customHeight="1">
      <c r="B465" s="6"/>
    </row>
    <row r="466" spans="2:2" ht="14.25" customHeight="1">
      <c r="B466" s="6"/>
    </row>
    <row r="467" spans="2:2" ht="14.25" customHeight="1">
      <c r="B467" s="6"/>
    </row>
    <row r="468" spans="2:2" ht="14.25" customHeight="1">
      <c r="B468" s="6"/>
    </row>
    <row r="469" spans="2:2" ht="14.25" customHeight="1">
      <c r="B469" s="6"/>
    </row>
    <row r="470" spans="2:2" ht="14.25" customHeight="1">
      <c r="B470" s="6"/>
    </row>
    <row r="471" spans="2:2" ht="14.25" customHeight="1">
      <c r="B471" s="6"/>
    </row>
    <row r="472" spans="2:2" ht="14.25" customHeight="1">
      <c r="B472" s="6"/>
    </row>
    <row r="473" spans="2:2" ht="14.25" customHeight="1">
      <c r="B473" s="6"/>
    </row>
    <row r="474" spans="2:2" ht="14.25" customHeight="1">
      <c r="B474" s="6"/>
    </row>
    <row r="475" spans="2:2" ht="14.25" customHeight="1">
      <c r="B475" s="6"/>
    </row>
    <row r="476" spans="2:2" ht="14.25" customHeight="1">
      <c r="B476" s="6"/>
    </row>
    <row r="477" spans="2:2" ht="14.25" customHeight="1">
      <c r="B477" s="6"/>
    </row>
    <row r="478" spans="2:2" ht="14.25" customHeight="1">
      <c r="B478" s="6"/>
    </row>
    <row r="479" spans="2:2" ht="14.25" customHeight="1">
      <c r="B479" s="6"/>
    </row>
    <row r="480" spans="2:2" ht="14.25" customHeight="1">
      <c r="B480" s="6"/>
    </row>
    <row r="481" spans="2:2" ht="14.25" customHeight="1">
      <c r="B481" s="6"/>
    </row>
    <row r="482" spans="2:2" ht="14.25" customHeight="1">
      <c r="B482" s="6"/>
    </row>
    <row r="483" spans="2:2" ht="14.25" customHeight="1">
      <c r="B483" s="6"/>
    </row>
    <row r="484" spans="2:2" ht="14.25" customHeight="1">
      <c r="B484" s="6"/>
    </row>
    <row r="485" spans="2:2" ht="14.25" customHeight="1">
      <c r="B485" s="6"/>
    </row>
    <row r="486" spans="2:2" ht="14.25" customHeight="1">
      <c r="B486" s="6"/>
    </row>
    <row r="487" spans="2:2" ht="14.25" customHeight="1">
      <c r="B487" s="6"/>
    </row>
    <row r="488" spans="2:2" ht="14.25" customHeight="1">
      <c r="B488" s="6"/>
    </row>
    <row r="489" spans="2:2" ht="14.25" customHeight="1">
      <c r="B489" s="6"/>
    </row>
    <row r="490" spans="2:2" ht="14.25" customHeight="1">
      <c r="B490" s="6"/>
    </row>
    <row r="491" spans="2:2" ht="14.25" customHeight="1">
      <c r="B491" s="6"/>
    </row>
    <row r="492" spans="2:2" ht="14.25" customHeight="1">
      <c r="B492" s="6"/>
    </row>
    <row r="493" spans="2:2" ht="14.25" customHeight="1">
      <c r="B493" s="6"/>
    </row>
    <row r="494" spans="2:2" ht="14.25" customHeight="1">
      <c r="B494" s="6"/>
    </row>
    <row r="495" spans="2:2" ht="14.25" customHeight="1">
      <c r="B495" s="6"/>
    </row>
    <row r="496" spans="2:2" ht="14.25" customHeight="1">
      <c r="B496" s="6"/>
    </row>
    <row r="497" spans="2:2" ht="14.25" customHeight="1">
      <c r="B497" s="6"/>
    </row>
    <row r="498" spans="2:2" ht="14.25" customHeight="1">
      <c r="B498" s="6"/>
    </row>
    <row r="499" spans="2:2" ht="14.25" customHeight="1">
      <c r="B499" s="6"/>
    </row>
    <row r="500" spans="2:2" ht="14.25" customHeight="1">
      <c r="B500" s="6"/>
    </row>
    <row r="501" spans="2:2" ht="14.25" customHeight="1">
      <c r="B501" s="6"/>
    </row>
    <row r="502" spans="2:2" ht="14.25" customHeight="1">
      <c r="B502" s="6"/>
    </row>
    <row r="503" spans="2:2" ht="14.25" customHeight="1">
      <c r="B503" s="6"/>
    </row>
    <row r="504" spans="2:2" ht="14.25" customHeight="1">
      <c r="B504" s="6"/>
    </row>
    <row r="505" spans="2:2" ht="14.25" customHeight="1">
      <c r="B505" s="6"/>
    </row>
    <row r="506" spans="2:2" ht="14.25" customHeight="1">
      <c r="B506" s="6"/>
    </row>
    <row r="507" spans="2:2" ht="14.25" customHeight="1">
      <c r="B507" s="6"/>
    </row>
    <row r="508" spans="2:2" ht="14.25" customHeight="1">
      <c r="B508" s="6"/>
    </row>
    <row r="509" spans="2:2" ht="14.25" customHeight="1">
      <c r="B509" s="6"/>
    </row>
    <row r="510" spans="2:2" ht="14.25" customHeight="1">
      <c r="B510" s="6"/>
    </row>
    <row r="511" spans="2:2" ht="14.25" customHeight="1">
      <c r="B511" s="6"/>
    </row>
    <row r="512" spans="2:2" ht="14.25" customHeight="1">
      <c r="B512" s="6"/>
    </row>
    <row r="513" spans="2:2" ht="14.25" customHeight="1">
      <c r="B513" s="6"/>
    </row>
    <row r="514" spans="2:2" ht="14.25" customHeight="1">
      <c r="B514" s="6"/>
    </row>
    <row r="515" spans="2:2" ht="14.25" customHeight="1">
      <c r="B515" s="6"/>
    </row>
    <row r="516" spans="2:2" ht="14.25" customHeight="1">
      <c r="B516" s="6"/>
    </row>
    <row r="517" spans="2:2" ht="14.25" customHeight="1">
      <c r="B517" s="6"/>
    </row>
    <row r="518" spans="2:2" ht="14.25" customHeight="1">
      <c r="B518" s="6"/>
    </row>
    <row r="519" spans="2:2" ht="14.25" customHeight="1">
      <c r="B519" s="6"/>
    </row>
    <row r="520" spans="2:2" ht="14.25" customHeight="1">
      <c r="B520" s="6"/>
    </row>
    <row r="521" spans="2:2" ht="14.25" customHeight="1">
      <c r="B521" s="6"/>
    </row>
    <row r="522" spans="2:2" ht="14.25" customHeight="1">
      <c r="B522" s="6"/>
    </row>
    <row r="523" spans="2:2" ht="14.25" customHeight="1">
      <c r="B523" s="6"/>
    </row>
    <row r="524" spans="2:2" ht="14.25" customHeight="1">
      <c r="B524" s="6"/>
    </row>
    <row r="525" spans="2:2" ht="14.25" customHeight="1">
      <c r="B525" s="6"/>
    </row>
    <row r="526" spans="2:2" ht="14.25" customHeight="1">
      <c r="B526" s="6"/>
    </row>
    <row r="527" spans="2:2" ht="14.25" customHeight="1">
      <c r="B527" s="6"/>
    </row>
    <row r="528" spans="2:2" ht="14.25" customHeight="1">
      <c r="B528" s="6"/>
    </row>
    <row r="529" spans="2:2" ht="14.25" customHeight="1">
      <c r="B529" s="6"/>
    </row>
    <row r="530" spans="2:2" ht="14.25" customHeight="1">
      <c r="B530" s="6"/>
    </row>
    <row r="531" spans="2:2" ht="14.25" customHeight="1">
      <c r="B531" s="6"/>
    </row>
    <row r="532" spans="2:2" ht="14.25" customHeight="1">
      <c r="B532" s="6"/>
    </row>
    <row r="533" spans="2:2" ht="14.25" customHeight="1">
      <c r="B533" s="6"/>
    </row>
    <row r="534" spans="2:2" ht="14.25" customHeight="1">
      <c r="B534" s="6"/>
    </row>
    <row r="535" spans="2:2" ht="14.25" customHeight="1">
      <c r="B535" s="6"/>
    </row>
    <row r="536" spans="2:2" ht="14.25" customHeight="1">
      <c r="B536" s="6"/>
    </row>
    <row r="537" spans="2:2" ht="14.25" customHeight="1">
      <c r="B537" s="6"/>
    </row>
    <row r="538" spans="2:2" ht="14.25" customHeight="1">
      <c r="B538" s="6"/>
    </row>
    <row r="539" spans="2:2" ht="14.25" customHeight="1">
      <c r="B539" s="6"/>
    </row>
    <row r="540" spans="2:2" ht="14.25" customHeight="1">
      <c r="B540" s="6"/>
    </row>
    <row r="541" spans="2:2" ht="14.25" customHeight="1">
      <c r="B541" s="6"/>
    </row>
    <row r="542" spans="2:2" ht="14.25" customHeight="1">
      <c r="B542" s="6"/>
    </row>
    <row r="543" spans="2:2" ht="14.25" customHeight="1">
      <c r="B543" s="6"/>
    </row>
    <row r="544" spans="2:2" ht="14.25" customHeight="1">
      <c r="B544" s="6"/>
    </row>
    <row r="545" spans="2:2" ht="14.25" customHeight="1">
      <c r="B545" s="6"/>
    </row>
    <row r="546" spans="2:2" ht="14.25" customHeight="1">
      <c r="B546" s="6"/>
    </row>
    <row r="547" spans="2:2" ht="14.25" customHeight="1">
      <c r="B547" s="6"/>
    </row>
    <row r="548" spans="2:2" ht="14.25" customHeight="1">
      <c r="B548" s="6"/>
    </row>
    <row r="549" spans="2:2" ht="14.25" customHeight="1">
      <c r="B549" s="6"/>
    </row>
    <row r="550" spans="2:2" ht="14.25" customHeight="1">
      <c r="B550" s="6"/>
    </row>
    <row r="551" spans="2:2" ht="14.25" customHeight="1">
      <c r="B551" s="6"/>
    </row>
    <row r="552" spans="2:2" ht="14.25" customHeight="1">
      <c r="B552" s="6"/>
    </row>
    <row r="553" spans="2:2" ht="14.25" customHeight="1">
      <c r="B553" s="6"/>
    </row>
    <row r="554" spans="2:2" ht="14.25" customHeight="1">
      <c r="B554" s="6"/>
    </row>
    <row r="555" spans="2:2" ht="14.25" customHeight="1">
      <c r="B555" s="6"/>
    </row>
    <row r="556" spans="2:2" ht="14.25" customHeight="1">
      <c r="B556" s="6"/>
    </row>
    <row r="557" spans="2:2" ht="14.25" customHeight="1">
      <c r="B557" s="6"/>
    </row>
    <row r="558" spans="2:2" ht="14.25" customHeight="1">
      <c r="B558" s="6"/>
    </row>
    <row r="559" spans="2:2" ht="14.25" customHeight="1">
      <c r="B559" s="6"/>
    </row>
    <row r="560" spans="2:2" ht="14.25" customHeight="1">
      <c r="B560" s="6"/>
    </row>
    <row r="561" spans="2:2" ht="14.25" customHeight="1">
      <c r="B561" s="6"/>
    </row>
    <row r="562" spans="2:2" ht="14.25" customHeight="1">
      <c r="B562" s="6"/>
    </row>
    <row r="563" spans="2:2" ht="14.25" customHeight="1">
      <c r="B563" s="6"/>
    </row>
    <row r="564" spans="2:2" ht="14.25" customHeight="1">
      <c r="B564" s="6"/>
    </row>
    <row r="565" spans="2:2" ht="14.25" customHeight="1">
      <c r="B565" s="6"/>
    </row>
    <row r="566" spans="2:2" ht="14.25" customHeight="1">
      <c r="B566" s="6"/>
    </row>
    <row r="567" spans="2:2" ht="14.25" customHeight="1">
      <c r="B567" s="6"/>
    </row>
    <row r="568" spans="2:2" ht="14.25" customHeight="1">
      <c r="B568" s="6"/>
    </row>
    <row r="569" spans="2:2" ht="14.25" customHeight="1">
      <c r="B569" s="6"/>
    </row>
    <row r="570" spans="2:2" ht="14.25" customHeight="1">
      <c r="B570" s="6"/>
    </row>
    <row r="571" spans="2:2" ht="14.25" customHeight="1">
      <c r="B571" s="6"/>
    </row>
    <row r="572" spans="2:2" ht="14.25" customHeight="1">
      <c r="B572" s="6"/>
    </row>
    <row r="573" spans="2:2" ht="14.25" customHeight="1">
      <c r="B573" s="6"/>
    </row>
    <row r="574" spans="2:2" ht="14.25" customHeight="1">
      <c r="B574" s="6"/>
    </row>
    <row r="575" spans="2:2" ht="14.25" customHeight="1">
      <c r="B575" s="6"/>
    </row>
    <row r="576" spans="2:2" ht="14.25" customHeight="1">
      <c r="B576" s="6"/>
    </row>
    <row r="577" spans="2:2" ht="14.25" customHeight="1">
      <c r="B577" s="6"/>
    </row>
    <row r="578" spans="2:2" ht="14.25" customHeight="1">
      <c r="B578" s="6"/>
    </row>
    <row r="579" spans="2:2" ht="14.25" customHeight="1">
      <c r="B579" s="6"/>
    </row>
    <row r="580" spans="2:2" ht="14.25" customHeight="1">
      <c r="B580" s="6"/>
    </row>
    <row r="581" spans="2:2" ht="14.25" customHeight="1">
      <c r="B581" s="6"/>
    </row>
    <row r="582" spans="2:2" ht="14.25" customHeight="1">
      <c r="B582" s="6"/>
    </row>
    <row r="583" spans="2:2" ht="14.25" customHeight="1">
      <c r="B583" s="6"/>
    </row>
    <row r="584" spans="2:2" ht="14.25" customHeight="1">
      <c r="B584" s="6"/>
    </row>
    <row r="585" spans="2:2" ht="14.25" customHeight="1">
      <c r="B585" s="6"/>
    </row>
    <row r="586" spans="2:2" ht="14.25" customHeight="1">
      <c r="B586" s="6"/>
    </row>
    <row r="587" spans="2:2" ht="14.25" customHeight="1">
      <c r="B587" s="6"/>
    </row>
    <row r="588" spans="2:2" ht="14.25" customHeight="1">
      <c r="B588" s="6"/>
    </row>
    <row r="589" spans="2:2" ht="14.25" customHeight="1">
      <c r="B589" s="6"/>
    </row>
    <row r="590" spans="2:2" ht="14.25" customHeight="1">
      <c r="B590" s="6"/>
    </row>
    <row r="591" spans="2:2" ht="14.25" customHeight="1">
      <c r="B591" s="6"/>
    </row>
    <row r="592" spans="2:2" ht="14.25" customHeight="1">
      <c r="B592" s="6"/>
    </row>
    <row r="593" spans="2:2" ht="14.25" customHeight="1">
      <c r="B593" s="6"/>
    </row>
    <row r="594" spans="2:2" ht="14.25" customHeight="1">
      <c r="B594" s="6"/>
    </row>
    <row r="595" spans="2:2" ht="14.25" customHeight="1">
      <c r="B595" s="6"/>
    </row>
    <row r="596" spans="2:2" ht="14.25" customHeight="1">
      <c r="B596" s="6"/>
    </row>
    <row r="597" spans="2:2" ht="14.25" customHeight="1">
      <c r="B597" s="6"/>
    </row>
    <row r="598" spans="2:2" ht="14.25" customHeight="1">
      <c r="B598" s="6"/>
    </row>
    <row r="599" spans="2:2" ht="14.25" customHeight="1">
      <c r="B599" s="6"/>
    </row>
    <row r="600" spans="2:2" ht="14.25" customHeight="1">
      <c r="B600" s="6"/>
    </row>
    <row r="601" spans="2:2" ht="14.25" customHeight="1">
      <c r="B601" s="6"/>
    </row>
    <row r="602" spans="2:2" ht="14.25" customHeight="1">
      <c r="B602" s="6"/>
    </row>
    <row r="603" spans="2:2" ht="14.25" customHeight="1">
      <c r="B603" s="6"/>
    </row>
    <row r="604" spans="2:2" ht="14.25" customHeight="1">
      <c r="B604" s="6"/>
    </row>
    <row r="605" spans="2:2" ht="14.25" customHeight="1">
      <c r="B605" s="6"/>
    </row>
    <row r="606" spans="2:2" ht="14.25" customHeight="1">
      <c r="B606" s="6"/>
    </row>
    <row r="607" spans="2:2" ht="14.25" customHeight="1">
      <c r="B607" s="6"/>
    </row>
    <row r="608" spans="2:2" ht="14.25" customHeight="1">
      <c r="B608" s="6"/>
    </row>
    <row r="609" spans="2:2" ht="14.25" customHeight="1">
      <c r="B609" s="6"/>
    </row>
    <row r="610" spans="2:2" ht="14.25" customHeight="1">
      <c r="B610" s="6"/>
    </row>
    <row r="611" spans="2:2" ht="14.25" customHeight="1">
      <c r="B611" s="6"/>
    </row>
    <row r="612" spans="2:2" ht="14.25" customHeight="1">
      <c r="B612" s="6"/>
    </row>
    <row r="613" spans="2:2" ht="14.25" customHeight="1">
      <c r="B613" s="6"/>
    </row>
    <row r="614" spans="2:2" ht="14.25" customHeight="1">
      <c r="B614" s="6"/>
    </row>
    <row r="615" spans="2:2" ht="14.25" customHeight="1">
      <c r="B615" s="6"/>
    </row>
    <row r="616" spans="2:2" ht="14.25" customHeight="1">
      <c r="B616" s="6"/>
    </row>
    <row r="617" spans="2:2" ht="14.25" customHeight="1">
      <c r="B617" s="6"/>
    </row>
    <row r="618" spans="2:2" ht="14.25" customHeight="1">
      <c r="B618" s="6"/>
    </row>
    <row r="619" spans="2:2" ht="14.25" customHeight="1">
      <c r="B619" s="6"/>
    </row>
    <row r="620" spans="2:2" ht="14.25" customHeight="1">
      <c r="B620" s="6"/>
    </row>
    <row r="621" spans="2:2" ht="14.25" customHeight="1">
      <c r="B621" s="6"/>
    </row>
    <row r="622" spans="2:2" ht="14.25" customHeight="1">
      <c r="B622" s="6"/>
    </row>
    <row r="623" spans="2:2" ht="14.25" customHeight="1">
      <c r="B623" s="6"/>
    </row>
    <row r="624" spans="2:2" ht="14.25" customHeight="1">
      <c r="B624" s="6"/>
    </row>
    <row r="625" spans="2:2" ht="14.25" customHeight="1">
      <c r="B625" s="6"/>
    </row>
    <row r="626" spans="2:2" ht="14.25" customHeight="1">
      <c r="B626" s="6"/>
    </row>
    <row r="627" spans="2:2" ht="14.25" customHeight="1">
      <c r="B627" s="6"/>
    </row>
    <row r="628" spans="2:2" ht="14.25" customHeight="1">
      <c r="B628" s="6"/>
    </row>
    <row r="629" spans="2:2" ht="14.25" customHeight="1">
      <c r="B629" s="6"/>
    </row>
    <row r="630" spans="2:2" ht="14.25" customHeight="1">
      <c r="B630" s="6"/>
    </row>
    <row r="631" spans="2:2" ht="14.25" customHeight="1">
      <c r="B631" s="6"/>
    </row>
    <row r="632" spans="2:2" ht="14.25" customHeight="1">
      <c r="B632" s="6"/>
    </row>
    <row r="633" spans="2:2" ht="14.25" customHeight="1">
      <c r="B633" s="6"/>
    </row>
    <row r="634" spans="2:2" ht="14.25" customHeight="1">
      <c r="B634" s="6"/>
    </row>
    <row r="635" spans="2:2" ht="14.25" customHeight="1">
      <c r="B635" s="6"/>
    </row>
    <row r="636" spans="2:2" ht="14.25" customHeight="1">
      <c r="B636" s="6"/>
    </row>
    <row r="637" spans="2:2" ht="14.25" customHeight="1">
      <c r="B637" s="6"/>
    </row>
    <row r="638" spans="2:2" ht="14.25" customHeight="1">
      <c r="B638" s="6"/>
    </row>
    <row r="639" spans="2:2" ht="14.25" customHeight="1">
      <c r="B639" s="6"/>
    </row>
    <row r="640" spans="2:2" ht="14.25" customHeight="1">
      <c r="B640" s="6"/>
    </row>
    <row r="641" spans="2:2" ht="14.25" customHeight="1">
      <c r="B641" s="6"/>
    </row>
    <row r="642" spans="2:2" ht="14.25" customHeight="1">
      <c r="B642" s="6"/>
    </row>
    <row r="643" spans="2:2" ht="14.25" customHeight="1">
      <c r="B643" s="6"/>
    </row>
    <row r="644" spans="2:2" ht="14.25" customHeight="1">
      <c r="B644" s="6"/>
    </row>
    <row r="645" spans="2:2" ht="14.25" customHeight="1">
      <c r="B645" s="6"/>
    </row>
    <row r="646" spans="2:2" ht="14.25" customHeight="1">
      <c r="B646" s="6"/>
    </row>
    <row r="647" spans="2:2" ht="14.25" customHeight="1">
      <c r="B647" s="6"/>
    </row>
    <row r="648" spans="2:2" ht="14.25" customHeight="1">
      <c r="B648" s="6"/>
    </row>
    <row r="649" spans="2:2" ht="14.25" customHeight="1">
      <c r="B649" s="6"/>
    </row>
    <row r="650" spans="2:2" ht="14.25" customHeight="1">
      <c r="B650" s="6"/>
    </row>
    <row r="651" spans="2:2" ht="14.25" customHeight="1">
      <c r="B651" s="6"/>
    </row>
    <row r="652" spans="2:2" ht="14.25" customHeight="1">
      <c r="B652" s="6"/>
    </row>
    <row r="653" spans="2:2" ht="14.25" customHeight="1">
      <c r="B653" s="6"/>
    </row>
    <row r="654" spans="2:2" ht="14.25" customHeight="1">
      <c r="B654" s="6"/>
    </row>
    <row r="655" spans="2:2" ht="14.25" customHeight="1">
      <c r="B655" s="6"/>
    </row>
    <row r="656" spans="2:2" ht="14.25" customHeight="1">
      <c r="B656" s="6"/>
    </row>
    <row r="657" spans="2:2" ht="14.25" customHeight="1">
      <c r="B657" s="6"/>
    </row>
    <row r="658" spans="2:2" ht="14.25" customHeight="1">
      <c r="B658" s="6"/>
    </row>
    <row r="659" spans="2:2" ht="14.25" customHeight="1">
      <c r="B659" s="6"/>
    </row>
    <row r="660" spans="2:2" ht="14.25" customHeight="1">
      <c r="B660" s="6"/>
    </row>
    <row r="661" spans="2:2" ht="14.25" customHeight="1">
      <c r="B661" s="6"/>
    </row>
    <row r="662" spans="2:2" ht="14.25" customHeight="1">
      <c r="B662" s="6"/>
    </row>
    <row r="663" spans="2:2" ht="14.25" customHeight="1">
      <c r="B663" s="6"/>
    </row>
    <row r="664" spans="2:2" ht="14.25" customHeight="1">
      <c r="B664" s="6"/>
    </row>
    <row r="665" spans="2:2" ht="14.25" customHeight="1">
      <c r="B665" s="6"/>
    </row>
    <row r="666" spans="2:2" ht="14.25" customHeight="1">
      <c r="B666" s="6"/>
    </row>
    <row r="667" spans="2:2" ht="14.25" customHeight="1">
      <c r="B667" s="6"/>
    </row>
    <row r="668" spans="2:2" ht="14.25" customHeight="1">
      <c r="B668" s="6"/>
    </row>
    <row r="669" spans="2:2" ht="14.25" customHeight="1">
      <c r="B669" s="6"/>
    </row>
    <row r="670" spans="2:2" ht="14.25" customHeight="1">
      <c r="B670" s="6"/>
    </row>
    <row r="671" spans="2:2" ht="14.25" customHeight="1">
      <c r="B671" s="6"/>
    </row>
    <row r="672" spans="2:2" ht="14.25" customHeight="1">
      <c r="B672" s="6"/>
    </row>
    <row r="673" spans="2:2" ht="14.25" customHeight="1">
      <c r="B673" s="6"/>
    </row>
    <row r="674" spans="2:2" ht="14.25" customHeight="1">
      <c r="B674" s="6"/>
    </row>
    <row r="675" spans="2:2" ht="14.25" customHeight="1">
      <c r="B675" s="6"/>
    </row>
    <row r="676" spans="2:2" ht="14.25" customHeight="1">
      <c r="B676" s="6"/>
    </row>
    <row r="677" spans="2:2" ht="14.25" customHeight="1">
      <c r="B677" s="6"/>
    </row>
    <row r="678" spans="2:2" ht="14.25" customHeight="1">
      <c r="B678" s="6"/>
    </row>
    <row r="679" spans="2:2" ht="14.25" customHeight="1">
      <c r="B679" s="6"/>
    </row>
    <row r="680" spans="2:2" ht="14.25" customHeight="1">
      <c r="B680" s="6"/>
    </row>
    <row r="681" spans="2:2" ht="14.25" customHeight="1">
      <c r="B681" s="6"/>
    </row>
    <row r="682" spans="2:2" ht="14.25" customHeight="1">
      <c r="B682" s="6"/>
    </row>
    <row r="683" spans="2:2" ht="14.25" customHeight="1">
      <c r="B683" s="6"/>
    </row>
    <row r="684" spans="2:2" ht="14.25" customHeight="1">
      <c r="B684" s="6"/>
    </row>
    <row r="685" spans="2:2" ht="14.25" customHeight="1">
      <c r="B685" s="6"/>
    </row>
    <row r="686" spans="2:2" ht="14.25" customHeight="1">
      <c r="B686" s="6"/>
    </row>
    <row r="687" spans="2:2" ht="14.25" customHeight="1">
      <c r="B687" s="6"/>
    </row>
    <row r="688" spans="2:2" ht="14.25" customHeight="1">
      <c r="B688" s="6"/>
    </row>
    <row r="689" spans="2:2" ht="14.25" customHeight="1">
      <c r="B689" s="6"/>
    </row>
    <row r="690" spans="2:2" ht="14.25" customHeight="1">
      <c r="B690" s="6"/>
    </row>
    <row r="691" spans="2:2" ht="14.25" customHeight="1">
      <c r="B691" s="6"/>
    </row>
    <row r="692" spans="2:2" ht="14.25" customHeight="1">
      <c r="B692" s="6"/>
    </row>
    <row r="693" spans="2:2" ht="14.25" customHeight="1">
      <c r="B693" s="6"/>
    </row>
    <row r="694" spans="2:2" ht="14.25" customHeight="1">
      <c r="B694" s="6"/>
    </row>
    <row r="695" spans="2:2" ht="14.25" customHeight="1">
      <c r="B695" s="6"/>
    </row>
    <row r="696" spans="2:2" ht="14.25" customHeight="1">
      <c r="B696" s="6"/>
    </row>
    <row r="697" spans="2:2" ht="14.25" customHeight="1">
      <c r="B697" s="6"/>
    </row>
    <row r="698" spans="2:2" ht="14.25" customHeight="1">
      <c r="B698" s="6"/>
    </row>
    <row r="699" spans="2:2" ht="14.25" customHeight="1">
      <c r="B699" s="6"/>
    </row>
    <row r="700" spans="2:2" ht="14.25" customHeight="1">
      <c r="B700" s="6"/>
    </row>
    <row r="701" spans="2:2" ht="14.25" customHeight="1">
      <c r="B701" s="6"/>
    </row>
    <row r="702" spans="2:2" ht="14.25" customHeight="1">
      <c r="B702" s="6"/>
    </row>
    <row r="703" spans="2:2" ht="14.25" customHeight="1">
      <c r="B703" s="6"/>
    </row>
    <row r="704" spans="2:2" ht="14.25" customHeight="1">
      <c r="B704" s="6"/>
    </row>
    <row r="705" spans="2:2" ht="14.25" customHeight="1">
      <c r="B705" s="6"/>
    </row>
    <row r="706" spans="2:2" ht="14.25" customHeight="1">
      <c r="B706" s="6"/>
    </row>
    <row r="707" spans="2:2" ht="14.25" customHeight="1">
      <c r="B707" s="6"/>
    </row>
    <row r="708" spans="2:2" ht="14.25" customHeight="1">
      <c r="B708" s="6"/>
    </row>
    <row r="709" spans="2:2" ht="14.25" customHeight="1">
      <c r="B709" s="6"/>
    </row>
    <row r="710" spans="2:2" ht="14.25" customHeight="1">
      <c r="B710" s="6"/>
    </row>
    <row r="711" spans="2:2" ht="14.25" customHeight="1">
      <c r="B711" s="6"/>
    </row>
    <row r="712" spans="2:2" ht="14.25" customHeight="1">
      <c r="B712" s="6"/>
    </row>
    <row r="713" spans="2:2" ht="14.25" customHeight="1">
      <c r="B713" s="6"/>
    </row>
    <row r="714" spans="2:2" ht="14.25" customHeight="1">
      <c r="B714" s="6"/>
    </row>
    <row r="715" spans="2:2" ht="14.25" customHeight="1">
      <c r="B715" s="6"/>
    </row>
    <row r="716" spans="2:2" ht="14.25" customHeight="1">
      <c r="B716" s="6"/>
    </row>
    <row r="717" spans="2:2" ht="14.25" customHeight="1">
      <c r="B717" s="6"/>
    </row>
    <row r="718" spans="2:2" ht="14.25" customHeight="1">
      <c r="B718" s="6"/>
    </row>
    <row r="719" spans="2:2" ht="14.25" customHeight="1">
      <c r="B719" s="6"/>
    </row>
    <row r="720" spans="2:2" ht="14.25" customHeight="1">
      <c r="B720" s="6"/>
    </row>
    <row r="721" spans="2:2" ht="14.25" customHeight="1">
      <c r="B721" s="6"/>
    </row>
    <row r="722" spans="2:2" ht="14.25" customHeight="1">
      <c r="B722" s="6"/>
    </row>
    <row r="723" spans="2:2" ht="14.25" customHeight="1">
      <c r="B723" s="6"/>
    </row>
    <row r="724" spans="2:2" ht="14.25" customHeight="1">
      <c r="B724" s="6"/>
    </row>
    <row r="725" spans="2:2" ht="14.25" customHeight="1">
      <c r="B725" s="6"/>
    </row>
    <row r="726" spans="2:2" ht="14.25" customHeight="1">
      <c r="B726" s="6"/>
    </row>
    <row r="727" spans="2:2" ht="14.25" customHeight="1">
      <c r="B727" s="6"/>
    </row>
    <row r="728" spans="2:2" ht="14.25" customHeight="1">
      <c r="B728" s="6"/>
    </row>
    <row r="729" spans="2:2" ht="14.25" customHeight="1">
      <c r="B729" s="6"/>
    </row>
    <row r="730" spans="2:2" ht="14.25" customHeight="1">
      <c r="B730" s="6"/>
    </row>
    <row r="731" spans="2:2" ht="14.25" customHeight="1">
      <c r="B731" s="6"/>
    </row>
    <row r="732" spans="2:2" ht="14.25" customHeight="1">
      <c r="B732" s="6"/>
    </row>
    <row r="733" spans="2:2" ht="14.25" customHeight="1">
      <c r="B733" s="6"/>
    </row>
    <row r="734" spans="2:2" ht="14.25" customHeight="1">
      <c r="B734" s="6"/>
    </row>
    <row r="735" spans="2:2" ht="14.25" customHeight="1">
      <c r="B735" s="6"/>
    </row>
    <row r="736" spans="2:2" ht="14.25" customHeight="1">
      <c r="B736" s="6"/>
    </row>
    <row r="737" spans="2:2" ht="14.25" customHeight="1">
      <c r="B737" s="6"/>
    </row>
    <row r="738" spans="2:2" ht="14.25" customHeight="1">
      <c r="B738" s="6"/>
    </row>
    <row r="739" spans="2:2" ht="14.25" customHeight="1">
      <c r="B739" s="6"/>
    </row>
    <row r="740" spans="2:2" ht="14.25" customHeight="1">
      <c r="B740" s="6"/>
    </row>
    <row r="741" spans="2:2" ht="14.25" customHeight="1">
      <c r="B741" s="6"/>
    </row>
    <row r="742" spans="2:2" ht="14.25" customHeight="1">
      <c r="B742" s="6"/>
    </row>
    <row r="743" spans="2:2" ht="14.25" customHeight="1">
      <c r="B743" s="6"/>
    </row>
    <row r="744" spans="2:2" ht="14.25" customHeight="1">
      <c r="B744" s="6"/>
    </row>
    <row r="745" spans="2:2" ht="14.25" customHeight="1">
      <c r="B745" s="6"/>
    </row>
    <row r="746" spans="2:2" ht="14.25" customHeight="1">
      <c r="B746" s="6"/>
    </row>
    <row r="747" spans="2:2" ht="14.25" customHeight="1">
      <c r="B747" s="6"/>
    </row>
    <row r="748" spans="2:2" ht="14.25" customHeight="1">
      <c r="B748" s="6"/>
    </row>
    <row r="749" spans="2:2" ht="14.25" customHeight="1">
      <c r="B749" s="6"/>
    </row>
    <row r="750" spans="2:2" ht="14.25" customHeight="1">
      <c r="B750" s="6"/>
    </row>
    <row r="751" spans="2:2" ht="14.25" customHeight="1">
      <c r="B751" s="6"/>
    </row>
    <row r="752" spans="2:2" ht="14.25" customHeight="1">
      <c r="B752" s="6"/>
    </row>
    <row r="753" spans="2:2" ht="14.25" customHeight="1">
      <c r="B753" s="6"/>
    </row>
    <row r="754" spans="2:2" ht="14.25" customHeight="1">
      <c r="B754" s="6"/>
    </row>
    <row r="755" spans="2:2" ht="14.25" customHeight="1">
      <c r="B755" s="6"/>
    </row>
    <row r="756" spans="2:2" ht="14.25" customHeight="1">
      <c r="B756" s="6"/>
    </row>
    <row r="757" spans="2:2" ht="14.25" customHeight="1">
      <c r="B757" s="6"/>
    </row>
    <row r="758" spans="2:2" ht="14.25" customHeight="1">
      <c r="B758" s="6"/>
    </row>
    <row r="759" spans="2:2" ht="14.25" customHeight="1">
      <c r="B759" s="6"/>
    </row>
    <row r="760" spans="2:2" ht="14.25" customHeight="1">
      <c r="B760" s="6"/>
    </row>
    <row r="761" spans="2:2" ht="14.25" customHeight="1">
      <c r="B761" s="6"/>
    </row>
    <row r="762" spans="2:2" ht="14.25" customHeight="1">
      <c r="B762" s="6"/>
    </row>
    <row r="763" spans="2:2" ht="14.25" customHeight="1">
      <c r="B763" s="6"/>
    </row>
    <row r="764" spans="2:2" ht="14.25" customHeight="1">
      <c r="B764" s="6"/>
    </row>
    <row r="765" spans="2:2" ht="14.25" customHeight="1">
      <c r="B765" s="6"/>
    </row>
    <row r="766" spans="2:2" ht="14.25" customHeight="1">
      <c r="B766" s="6"/>
    </row>
    <row r="767" spans="2:2" ht="14.25" customHeight="1">
      <c r="B767" s="6"/>
    </row>
    <row r="768" spans="2:2" ht="14.25" customHeight="1">
      <c r="B768" s="6"/>
    </row>
    <row r="769" spans="2:2" ht="14.25" customHeight="1">
      <c r="B769" s="6"/>
    </row>
    <row r="770" spans="2:2" ht="14.25" customHeight="1">
      <c r="B770" s="6"/>
    </row>
    <row r="771" spans="2:2" ht="14.25" customHeight="1">
      <c r="B771" s="6"/>
    </row>
    <row r="772" spans="2:2" ht="14.25" customHeight="1">
      <c r="B772" s="6"/>
    </row>
    <row r="773" spans="2:2" ht="14.25" customHeight="1">
      <c r="B773" s="6"/>
    </row>
    <row r="774" spans="2:2" ht="14.25" customHeight="1">
      <c r="B774" s="6"/>
    </row>
    <row r="775" spans="2:2" ht="14.25" customHeight="1">
      <c r="B775" s="6"/>
    </row>
    <row r="776" spans="2:2" ht="14.25" customHeight="1">
      <c r="B776" s="6"/>
    </row>
    <row r="777" spans="2:2" ht="14.25" customHeight="1">
      <c r="B777" s="6"/>
    </row>
    <row r="778" spans="2:2" ht="14.25" customHeight="1">
      <c r="B778" s="6"/>
    </row>
    <row r="779" spans="2:2" ht="14.25" customHeight="1">
      <c r="B779" s="6"/>
    </row>
    <row r="780" spans="2:2" ht="14.25" customHeight="1">
      <c r="B780" s="6"/>
    </row>
    <row r="781" spans="2:2" ht="14.25" customHeight="1">
      <c r="B781" s="6"/>
    </row>
    <row r="782" spans="2:2" ht="14.25" customHeight="1">
      <c r="B782" s="6"/>
    </row>
    <row r="783" spans="2:2" ht="14.25" customHeight="1">
      <c r="B783" s="6"/>
    </row>
    <row r="784" spans="2:2" ht="14.25" customHeight="1">
      <c r="B784" s="6"/>
    </row>
    <row r="785" spans="2:2" ht="14.25" customHeight="1">
      <c r="B785" s="6"/>
    </row>
    <row r="786" spans="2:2" ht="14.25" customHeight="1">
      <c r="B786" s="6"/>
    </row>
    <row r="787" spans="2:2" ht="14.25" customHeight="1">
      <c r="B787" s="6"/>
    </row>
    <row r="788" spans="2:2" ht="14.25" customHeight="1">
      <c r="B788" s="6"/>
    </row>
    <row r="789" spans="2:2" ht="14.25" customHeight="1">
      <c r="B789" s="6"/>
    </row>
    <row r="790" spans="2:2" ht="14.25" customHeight="1">
      <c r="B790" s="6"/>
    </row>
    <row r="791" spans="2:2" ht="14.25" customHeight="1">
      <c r="B791" s="6"/>
    </row>
    <row r="792" spans="2:2" ht="14.25" customHeight="1">
      <c r="B792" s="6"/>
    </row>
    <row r="793" spans="2:2" ht="14.25" customHeight="1">
      <c r="B793" s="6"/>
    </row>
    <row r="794" spans="2:2" ht="14.25" customHeight="1">
      <c r="B794" s="6"/>
    </row>
    <row r="795" spans="2:2" ht="14.25" customHeight="1">
      <c r="B795" s="6"/>
    </row>
    <row r="796" spans="2:2" ht="14.25" customHeight="1">
      <c r="B796" s="6"/>
    </row>
    <row r="797" spans="2:2" ht="14.25" customHeight="1">
      <c r="B797" s="6"/>
    </row>
    <row r="798" spans="2:2" ht="14.25" customHeight="1">
      <c r="B798" s="6"/>
    </row>
    <row r="799" spans="2:2" ht="14.25" customHeight="1">
      <c r="B799" s="6"/>
    </row>
    <row r="800" spans="2:2" ht="14.25" customHeight="1">
      <c r="B800" s="6"/>
    </row>
    <row r="801" spans="2:2" ht="14.25" customHeight="1">
      <c r="B801" s="6"/>
    </row>
    <row r="802" spans="2:2" ht="14.25" customHeight="1">
      <c r="B802" s="6"/>
    </row>
    <row r="803" spans="2:2" ht="14.25" customHeight="1">
      <c r="B803" s="6"/>
    </row>
    <row r="804" spans="2:2" ht="14.25" customHeight="1">
      <c r="B804" s="6"/>
    </row>
    <row r="805" spans="2:2" ht="14.25" customHeight="1">
      <c r="B805" s="6"/>
    </row>
    <row r="806" spans="2:2" ht="14.25" customHeight="1">
      <c r="B806" s="6"/>
    </row>
    <row r="807" spans="2:2" ht="14.25" customHeight="1">
      <c r="B807" s="6"/>
    </row>
    <row r="808" spans="2:2" ht="14.25" customHeight="1">
      <c r="B808" s="6"/>
    </row>
    <row r="809" spans="2:2" ht="14.25" customHeight="1">
      <c r="B809" s="6"/>
    </row>
    <row r="810" spans="2:2" ht="14.25" customHeight="1">
      <c r="B810" s="6"/>
    </row>
    <row r="811" spans="2:2" ht="14.25" customHeight="1">
      <c r="B811" s="6"/>
    </row>
    <row r="812" spans="2:2" ht="14.25" customHeight="1">
      <c r="B812" s="6"/>
    </row>
    <row r="813" spans="2:2" ht="14.25" customHeight="1">
      <c r="B813" s="6"/>
    </row>
    <row r="814" spans="2:2" ht="14.25" customHeight="1">
      <c r="B814" s="6"/>
    </row>
    <row r="815" spans="2:2" ht="14.25" customHeight="1">
      <c r="B815" s="6"/>
    </row>
    <row r="816" spans="2:2" ht="14.25" customHeight="1">
      <c r="B816" s="6"/>
    </row>
    <row r="817" spans="2:2" ht="14.25" customHeight="1">
      <c r="B817" s="6"/>
    </row>
    <row r="818" spans="2:2" ht="14.25" customHeight="1">
      <c r="B818" s="6"/>
    </row>
    <row r="819" spans="2:2" ht="14.25" customHeight="1">
      <c r="B819" s="6"/>
    </row>
    <row r="820" spans="2:2" ht="14.25" customHeight="1">
      <c r="B820" s="6"/>
    </row>
    <row r="821" spans="2:2" ht="14.25" customHeight="1">
      <c r="B821" s="6"/>
    </row>
    <row r="822" spans="2:2" ht="14.25" customHeight="1">
      <c r="B822" s="6"/>
    </row>
    <row r="823" spans="2:2" ht="14.25" customHeight="1">
      <c r="B823" s="6"/>
    </row>
    <row r="824" spans="2:2" ht="14.25" customHeight="1">
      <c r="B824" s="6"/>
    </row>
    <row r="825" spans="2:2" ht="14.25" customHeight="1">
      <c r="B825" s="6"/>
    </row>
    <row r="826" spans="2:2" ht="14.25" customHeight="1">
      <c r="B826" s="6"/>
    </row>
    <row r="827" spans="2:2" ht="14.25" customHeight="1">
      <c r="B827" s="6"/>
    </row>
    <row r="828" spans="2:2" ht="14.25" customHeight="1">
      <c r="B828" s="6"/>
    </row>
    <row r="829" spans="2:2" ht="14.25" customHeight="1">
      <c r="B829" s="6"/>
    </row>
    <row r="830" spans="2:2" ht="14.25" customHeight="1">
      <c r="B830" s="6"/>
    </row>
    <row r="831" spans="2:2" ht="14.25" customHeight="1">
      <c r="B831" s="6"/>
    </row>
    <row r="832" spans="2:2" ht="14.25" customHeight="1">
      <c r="B832" s="6"/>
    </row>
    <row r="833" spans="2:2" ht="14.25" customHeight="1">
      <c r="B833" s="6"/>
    </row>
    <row r="834" spans="2:2" ht="14.25" customHeight="1">
      <c r="B834" s="6"/>
    </row>
    <row r="835" spans="2:2" ht="14.25" customHeight="1">
      <c r="B835" s="6"/>
    </row>
    <row r="836" spans="2:2" ht="14.25" customHeight="1">
      <c r="B836" s="6"/>
    </row>
    <row r="837" spans="2:2" ht="14.25" customHeight="1">
      <c r="B837" s="6"/>
    </row>
    <row r="838" spans="2:2" ht="14.25" customHeight="1">
      <c r="B838" s="6"/>
    </row>
    <row r="839" spans="2:2" ht="14.25" customHeight="1">
      <c r="B839" s="6"/>
    </row>
    <row r="840" spans="2:2" ht="14.25" customHeight="1">
      <c r="B840" s="6"/>
    </row>
    <row r="841" spans="2:2" ht="14.25" customHeight="1">
      <c r="B841" s="6"/>
    </row>
    <row r="842" spans="2:2" ht="14.25" customHeight="1">
      <c r="B842" s="6"/>
    </row>
    <row r="843" spans="2:2" ht="14.25" customHeight="1">
      <c r="B843" s="6"/>
    </row>
    <row r="844" spans="2:2" ht="14.25" customHeight="1">
      <c r="B844" s="6"/>
    </row>
    <row r="845" spans="2:2" ht="14.25" customHeight="1">
      <c r="B845" s="6"/>
    </row>
    <row r="846" spans="2:2" ht="14.25" customHeight="1">
      <c r="B846" s="6"/>
    </row>
    <row r="847" spans="2:2" ht="14.25" customHeight="1">
      <c r="B847" s="6"/>
    </row>
    <row r="848" spans="2:2" ht="14.25" customHeight="1">
      <c r="B848" s="6"/>
    </row>
    <row r="849" spans="2:2" ht="14.25" customHeight="1">
      <c r="B849" s="6"/>
    </row>
    <row r="850" spans="2:2" ht="14.25" customHeight="1">
      <c r="B850" s="6"/>
    </row>
    <row r="851" spans="2:2" ht="14.25" customHeight="1">
      <c r="B851" s="6"/>
    </row>
    <row r="852" spans="2:2" ht="14.25" customHeight="1">
      <c r="B852" s="6"/>
    </row>
    <row r="853" spans="2:2" ht="14.25" customHeight="1">
      <c r="B853" s="6"/>
    </row>
    <row r="854" spans="2:2" ht="14.25" customHeight="1">
      <c r="B854" s="6"/>
    </row>
    <row r="855" spans="2:2" ht="14.25" customHeight="1">
      <c r="B855" s="6"/>
    </row>
    <row r="856" spans="2:2" ht="14.25" customHeight="1">
      <c r="B856" s="6"/>
    </row>
    <row r="857" spans="2:2" ht="14.25" customHeight="1">
      <c r="B857" s="6"/>
    </row>
    <row r="858" spans="2:2" ht="14.25" customHeight="1">
      <c r="B858" s="6"/>
    </row>
    <row r="859" spans="2:2" ht="14.25" customHeight="1">
      <c r="B859" s="6"/>
    </row>
    <row r="860" spans="2:2" ht="14.25" customHeight="1">
      <c r="B860" s="6"/>
    </row>
    <row r="861" spans="2:2" ht="14.25" customHeight="1">
      <c r="B861" s="6"/>
    </row>
    <row r="862" spans="2:2" ht="14.25" customHeight="1">
      <c r="B862" s="6"/>
    </row>
    <row r="863" spans="2:2" ht="14.25" customHeight="1">
      <c r="B863" s="6"/>
    </row>
    <row r="864" spans="2:2" ht="14.25" customHeight="1">
      <c r="B864" s="6"/>
    </row>
    <row r="865" spans="2:2" ht="14.25" customHeight="1">
      <c r="B865" s="6"/>
    </row>
    <row r="866" spans="2:2" ht="14.25" customHeight="1">
      <c r="B866" s="6"/>
    </row>
    <row r="867" spans="2:2" ht="14.25" customHeight="1">
      <c r="B867" s="6"/>
    </row>
    <row r="868" spans="2:2" ht="14.25" customHeight="1">
      <c r="B868" s="6"/>
    </row>
    <row r="869" spans="2:2" ht="14.25" customHeight="1">
      <c r="B869" s="6"/>
    </row>
    <row r="870" spans="2:2" ht="14.25" customHeight="1">
      <c r="B870" s="6"/>
    </row>
    <row r="871" spans="2:2" ht="14.25" customHeight="1">
      <c r="B871" s="6"/>
    </row>
    <row r="872" spans="2:2" ht="14.25" customHeight="1">
      <c r="B872" s="6"/>
    </row>
    <row r="873" spans="2:2" ht="14.25" customHeight="1">
      <c r="B873" s="6"/>
    </row>
    <row r="874" spans="2:2" ht="14.25" customHeight="1">
      <c r="B874" s="6"/>
    </row>
    <row r="875" spans="2:2" ht="14.25" customHeight="1">
      <c r="B875" s="6"/>
    </row>
    <row r="876" spans="2:2" ht="14.25" customHeight="1">
      <c r="B876" s="6"/>
    </row>
    <row r="877" spans="2:2" ht="14.25" customHeight="1">
      <c r="B877" s="6"/>
    </row>
    <row r="878" spans="2:2" ht="14.25" customHeight="1">
      <c r="B878" s="6"/>
    </row>
    <row r="879" spans="2:2" ht="14.25" customHeight="1">
      <c r="B879" s="6"/>
    </row>
    <row r="880" spans="2:2" ht="14.25" customHeight="1">
      <c r="B880" s="6"/>
    </row>
    <row r="881" spans="2:2" ht="14.25" customHeight="1">
      <c r="B881" s="6"/>
    </row>
    <row r="882" spans="2:2" ht="14.25" customHeight="1">
      <c r="B882" s="6"/>
    </row>
    <row r="883" spans="2:2" ht="14.25" customHeight="1">
      <c r="B883" s="6"/>
    </row>
    <row r="884" spans="2:2" ht="14.25" customHeight="1">
      <c r="B884" s="6"/>
    </row>
    <row r="885" spans="2:2" ht="14.25" customHeight="1">
      <c r="B885" s="6"/>
    </row>
    <row r="886" spans="2:2" ht="14.25" customHeight="1">
      <c r="B886" s="6"/>
    </row>
    <row r="887" spans="2:2" ht="14.25" customHeight="1">
      <c r="B887" s="6"/>
    </row>
    <row r="888" spans="2:2" ht="14.25" customHeight="1">
      <c r="B888" s="6"/>
    </row>
    <row r="889" spans="2:2" ht="14.25" customHeight="1">
      <c r="B889" s="6"/>
    </row>
    <row r="890" spans="2:2" ht="14.25" customHeight="1">
      <c r="B890" s="6"/>
    </row>
    <row r="891" spans="2:2" ht="14.25" customHeight="1">
      <c r="B891" s="6"/>
    </row>
    <row r="892" spans="2:2" ht="14.25" customHeight="1">
      <c r="B892" s="6"/>
    </row>
    <row r="893" spans="2:2" ht="14.25" customHeight="1">
      <c r="B893" s="6"/>
    </row>
    <row r="894" spans="2:2" ht="14.25" customHeight="1">
      <c r="B894" s="6"/>
    </row>
    <row r="895" spans="2:2" ht="14.25" customHeight="1">
      <c r="B895" s="6"/>
    </row>
    <row r="896" spans="2:2" ht="14.25" customHeight="1">
      <c r="B896" s="6"/>
    </row>
    <row r="897" spans="2:2" ht="14.25" customHeight="1">
      <c r="B897" s="6"/>
    </row>
    <row r="898" spans="2:2" ht="14.25" customHeight="1">
      <c r="B898" s="6"/>
    </row>
    <row r="899" spans="2:2" ht="14.25" customHeight="1">
      <c r="B899" s="6"/>
    </row>
    <row r="900" spans="2:2" ht="14.25" customHeight="1">
      <c r="B900" s="6"/>
    </row>
    <row r="901" spans="2:2" ht="14.25" customHeight="1">
      <c r="B901" s="6"/>
    </row>
    <row r="902" spans="2:2" ht="14.25" customHeight="1">
      <c r="B902" s="6"/>
    </row>
    <row r="903" spans="2:2" ht="14.25" customHeight="1">
      <c r="B903" s="6"/>
    </row>
    <row r="904" spans="2:2" ht="14.25" customHeight="1">
      <c r="B904" s="6"/>
    </row>
    <row r="905" spans="2:2" ht="14.25" customHeight="1">
      <c r="B905" s="6"/>
    </row>
    <row r="906" spans="2:2" ht="14.25" customHeight="1">
      <c r="B906" s="6"/>
    </row>
    <row r="907" spans="2:2" ht="14.25" customHeight="1">
      <c r="B907" s="6"/>
    </row>
    <row r="908" spans="2:2" ht="14.25" customHeight="1">
      <c r="B908" s="6"/>
    </row>
    <row r="909" spans="2:2" ht="14.25" customHeight="1">
      <c r="B909" s="6"/>
    </row>
    <row r="910" spans="2:2" ht="14.25" customHeight="1">
      <c r="B910" s="6"/>
    </row>
    <row r="911" spans="2:2" ht="14.25" customHeight="1">
      <c r="B911" s="6"/>
    </row>
    <row r="912" spans="2:2" ht="14.25" customHeight="1">
      <c r="B912" s="6"/>
    </row>
    <row r="913" spans="2:2" ht="14.25" customHeight="1">
      <c r="B913" s="6"/>
    </row>
    <row r="914" spans="2:2" ht="14.25" customHeight="1">
      <c r="B914" s="6"/>
    </row>
    <row r="915" spans="2:2" ht="14.25" customHeight="1">
      <c r="B915" s="6"/>
    </row>
    <row r="916" spans="2:2" ht="14.25" customHeight="1">
      <c r="B916" s="6"/>
    </row>
    <row r="917" spans="2:2" ht="14.25" customHeight="1">
      <c r="B917" s="6"/>
    </row>
    <row r="918" spans="2:2" ht="14.25" customHeight="1">
      <c r="B918" s="6"/>
    </row>
    <row r="919" spans="2:2" ht="14.25" customHeight="1">
      <c r="B919" s="6"/>
    </row>
    <row r="920" spans="2:2" ht="14.25" customHeight="1">
      <c r="B920" s="6"/>
    </row>
    <row r="921" spans="2:2" ht="14.25" customHeight="1">
      <c r="B921" s="6"/>
    </row>
    <row r="922" spans="2:2" ht="14.25" customHeight="1">
      <c r="B922" s="6"/>
    </row>
    <row r="923" spans="2:2" ht="14.25" customHeight="1">
      <c r="B923" s="6"/>
    </row>
    <row r="924" spans="2:2" ht="14.25" customHeight="1">
      <c r="B924" s="6"/>
    </row>
    <row r="925" spans="2:2" ht="14.25" customHeight="1">
      <c r="B925" s="6"/>
    </row>
    <row r="926" spans="2:2" ht="14.25" customHeight="1">
      <c r="B926" s="6"/>
    </row>
    <row r="927" spans="2:2" ht="14.25" customHeight="1">
      <c r="B927" s="6"/>
    </row>
    <row r="928" spans="2:2" ht="14.25" customHeight="1">
      <c r="B928" s="6"/>
    </row>
    <row r="929" spans="2:2" ht="14.25" customHeight="1">
      <c r="B929" s="6"/>
    </row>
    <row r="930" spans="2:2" ht="14.25" customHeight="1">
      <c r="B930" s="6"/>
    </row>
    <row r="931" spans="2:2" ht="14.25" customHeight="1">
      <c r="B931" s="6"/>
    </row>
    <row r="932" spans="2:2" ht="14.25" customHeight="1">
      <c r="B932" s="6"/>
    </row>
    <row r="933" spans="2:2" ht="14.25" customHeight="1">
      <c r="B933" s="6"/>
    </row>
    <row r="934" spans="2:2" ht="14.25" customHeight="1">
      <c r="B934" s="6"/>
    </row>
    <row r="935" spans="2:2" ht="14.25" customHeight="1">
      <c r="B935" s="6"/>
    </row>
    <row r="936" spans="2:2" ht="14.25" customHeight="1">
      <c r="B936" s="6"/>
    </row>
    <row r="937" spans="2:2" ht="14.25" customHeight="1">
      <c r="B937" s="6"/>
    </row>
    <row r="938" spans="2:2" ht="14.25" customHeight="1">
      <c r="B938" s="6"/>
    </row>
    <row r="939" spans="2:2" ht="14.25" customHeight="1">
      <c r="B939" s="6"/>
    </row>
    <row r="940" spans="2:2" ht="14.25" customHeight="1">
      <c r="B940" s="6"/>
    </row>
    <row r="941" spans="2:2" ht="14.25" customHeight="1">
      <c r="B941" s="6"/>
    </row>
    <row r="942" spans="2:2" ht="14.25" customHeight="1">
      <c r="B942" s="6"/>
    </row>
    <row r="943" spans="2:2" ht="14.25" customHeight="1">
      <c r="B943" s="6"/>
    </row>
    <row r="944" spans="2:2" ht="14.25" customHeight="1">
      <c r="B944" s="6"/>
    </row>
    <row r="945" spans="2:2" ht="14.25" customHeight="1">
      <c r="B945" s="6"/>
    </row>
    <row r="946" spans="2:2" ht="14.25" customHeight="1">
      <c r="B946" s="6"/>
    </row>
    <row r="947" spans="2:2" ht="14.25" customHeight="1">
      <c r="B947" s="6"/>
    </row>
    <row r="948" spans="2:2" ht="14.25" customHeight="1">
      <c r="B948" s="6"/>
    </row>
    <row r="949" spans="2:2" ht="14.25" customHeight="1">
      <c r="B949" s="6"/>
    </row>
    <row r="950" spans="2:2" ht="14.25" customHeight="1">
      <c r="B950" s="6"/>
    </row>
    <row r="951" spans="2:2" ht="14.25" customHeight="1">
      <c r="B951" s="6"/>
    </row>
    <row r="952" spans="2:2" ht="14.25" customHeight="1">
      <c r="B952" s="6"/>
    </row>
    <row r="953" spans="2:2" ht="14.25" customHeight="1">
      <c r="B953" s="6"/>
    </row>
    <row r="954" spans="2:2" ht="14.25" customHeight="1">
      <c r="B954" s="6"/>
    </row>
    <row r="955" spans="2:2" ht="14.25" customHeight="1">
      <c r="B955" s="6"/>
    </row>
    <row r="956" spans="2:2" ht="14.25" customHeight="1">
      <c r="B956" s="6"/>
    </row>
    <row r="957" spans="2:2" ht="14.25" customHeight="1">
      <c r="B957" s="6"/>
    </row>
    <row r="958" spans="2:2" ht="14.25" customHeight="1">
      <c r="B958" s="6"/>
    </row>
    <row r="959" spans="2:2" ht="14.25" customHeight="1">
      <c r="B959" s="6"/>
    </row>
    <row r="960" spans="2:2" ht="14.25" customHeight="1">
      <c r="B960" s="6"/>
    </row>
    <row r="961" spans="2:2" ht="14.25" customHeight="1">
      <c r="B961" s="6"/>
    </row>
    <row r="962" spans="2:2" ht="14.25" customHeight="1">
      <c r="B962" s="6"/>
    </row>
    <row r="963" spans="2:2" ht="14.25" customHeight="1">
      <c r="B963" s="6"/>
    </row>
    <row r="964" spans="2:2" ht="14.25" customHeight="1">
      <c r="B964" s="6"/>
    </row>
    <row r="965" spans="2:2" ht="14.25" customHeight="1">
      <c r="B965" s="6"/>
    </row>
    <row r="966" spans="2:2" ht="14.25" customHeight="1">
      <c r="B966" s="6"/>
    </row>
    <row r="967" spans="2:2" ht="14.25" customHeight="1">
      <c r="B967" s="6"/>
    </row>
    <row r="968" spans="2:2" ht="14.25" customHeight="1">
      <c r="B968" s="6"/>
    </row>
    <row r="969" spans="2:2" ht="14.25" customHeight="1">
      <c r="B969" s="6"/>
    </row>
    <row r="970" spans="2:2" ht="14.25" customHeight="1">
      <c r="B970" s="6"/>
    </row>
    <row r="971" spans="2:2" ht="14.25" customHeight="1">
      <c r="B971" s="6"/>
    </row>
    <row r="972" spans="2:2" ht="14.25" customHeight="1">
      <c r="B972" s="6"/>
    </row>
  </sheetData>
  <mergeCells count="3">
    <mergeCell ref="A2:C2"/>
    <mergeCell ref="A1:J1"/>
    <mergeCell ref="A19:J19"/>
  </mergeCells>
  <pageMargins left="0.7" right="0.7" top="0.75" bottom="0.75" header="0" footer="0"/>
  <pageSetup scale="7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1000"/>
  <sheetViews>
    <sheetView workbookViewId="0"/>
  </sheetViews>
  <sheetFormatPr defaultColWidth="14.41796875" defaultRowHeight="15" customHeight="1"/>
  <cols>
    <col min="1" max="1" width="4.15625" customWidth="1"/>
    <col min="2" max="2" width="19.26171875" customWidth="1"/>
    <col min="3" max="3" width="28.15625" customWidth="1"/>
    <col min="4" max="4" width="9.68359375" customWidth="1"/>
    <col min="5" max="5" width="8.578125" customWidth="1"/>
    <col min="6" max="6" width="9.15625" customWidth="1"/>
    <col min="7" max="7" width="13.15625" customWidth="1"/>
    <col min="8" max="8" width="3.26171875" customWidth="1"/>
    <col min="9" max="9" width="10.26171875" customWidth="1"/>
    <col min="10" max="12" width="7.68359375" customWidth="1"/>
    <col min="13" max="13" width="9.15625" customWidth="1"/>
  </cols>
  <sheetData>
    <row r="1" spans="1:13" ht="14.25" customHeight="1">
      <c r="A1" s="6"/>
      <c r="C1" s="13" t="s">
        <v>48</v>
      </c>
      <c r="D1" s="14" t="s">
        <v>49</v>
      </c>
      <c r="E1" s="14" t="s">
        <v>49</v>
      </c>
      <c r="F1" s="6"/>
      <c r="G1" s="6"/>
      <c r="L1" s="6"/>
      <c r="M1" s="6"/>
    </row>
    <row r="2" spans="1:13" ht="32.25" customHeight="1">
      <c r="A2" s="182" t="s">
        <v>50</v>
      </c>
      <c r="B2" s="183" t="s">
        <v>51</v>
      </c>
      <c r="C2" s="183" t="s">
        <v>10</v>
      </c>
      <c r="D2" s="15" t="s">
        <v>63</v>
      </c>
      <c r="E2" s="15" t="s">
        <v>64</v>
      </c>
      <c r="F2" s="184" t="s">
        <v>52</v>
      </c>
      <c r="G2" s="184" t="s">
        <v>53</v>
      </c>
      <c r="I2" s="16"/>
      <c r="J2" s="181"/>
      <c r="K2" s="120"/>
      <c r="L2" s="121"/>
    </row>
    <row r="3" spans="1:13" ht="14.25" customHeight="1">
      <c r="A3" s="151"/>
      <c r="B3" s="151"/>
      <c r="C3" s="151"/>
      <c r="D3" s="17">
        <v>1</v>
      </c>
      <c r="E3" s="17">
        <v>1</v>
      </c>
      <c r="F3" s="151"/>
      <c r="G3" s="151"/>
      <c r="I3" s="16" t="s">
        <v>49</v>
      </c>
      <c r="J3" s="181" t="s">
        <v>54</v>
      </c>
      <c r="K3" s="120"/>
      <c r="L3" s="121"/>
    </row>
    <row r="4" spans="1:13" ht="15.75" customHeight="1">
      <c r="A4" s="18">
        <v>1</v>
      </c>
      <c r="B4" s="19" t="e">
        <f>IF(#REF!="","",#REF!)</f>
        <v>#REF!</v>
      </c>
      <c r="C4" s="19" t="e">
        <f>IF(#REF!="","",#REF!)</f>
        <v>#REF!</v>
      </c>
      <c r="D4" s="36" t="e">
        <f t="array" ref="D4">IF(#REF!="","", INDEX('SO4 Rubric'!$H$4:$ZZ$4, 1, (ROW()-4)*2+1))</f>
        <v>#REF!</v>
      </c>
      <c r="E4" s="20" t="e">
        <f t="array" ref="E4">IF(#REF!="","", INDEX('SO4 Rubric'!$H$8:$ZZ$8, 1, (ROW()-4)*2+1))</f>
        <v>#REF!</v>
      </c>
      <c r="F4" s="21" t="e">
        <f t="shared" ref="F4:F23" si="0">IF(SUMPRODUCT(--(D4:E4&lt;&gt;""))=0,"",ROUND(SUMPRODUCT($D$3:$E$3,D4:E4)/COUNTIF($D$3:$E$3,1),0))</f>
        <v>#REF!</v>
      </c>
      <c r="G4" s="20" t="e">
        <f>IF(F4=""," ",VLOOKUP(F4,'Lookup Tables'!$D$9:$E$12,2))</f>
        <v>#REF!</v>
      </c>
    </row>
    <row r="5" spans="1:13" ht="17.25" customHeight="1">
      <c r="A5" s="18">
        <v>2</v>
      </c>
      <c r="B5" s="19" t="e">
        <f>IF(#REF!="","",#REF!)</f>
        <v>#REF!</v>
      </c>
      <c r="C5" s="19" t="e">
        <f>IF(#REF!="","",#REF!)</f>
        <v>#REF!</v>
      </c>
      <c r="D5" s="36" t="e">
        <f t="array" ref="D5">IF(#REF!="","", INDEX('SO4 Rubric'!$H$4:$ZZ$4, 1, (ROW()-4)*2+1))</f>
        <v>#REF!</v>
      </c>
      <c r="E5" s="20" t="e">
        <f t="array" ref="E5">IF(#REF!="","", INDEX('SO4 Rubric'!$H$8:$ZZ$8, 1, (ROW()-4)*2+1))</f>
        <v>#REF!</v>
      </c>
      <c r="F5" s="21" t="e">
        <f t="shared" si="0"/>
        <v>#REF!</v>
      </c>
      <c r="G5" s="20" t="e">
        <f>IF(F5=""," ",VLOOKUP(F5,'Lookup Tables'!$D$9:$E$12,2))</f>
        <v>#REF!</v>
      </c>
      <c r="I5" s="22"/>
      <c r="J5" s="22"/>
      <c r="K5" s="22"/>
      <c r="L5" s="22"/>
      <c r="M5" s="22"/>
    </row>
    <row r="6" spans="1:13" ht="17.25" customHeight="1">
      <c r="A6" s="18">
        <v>3</v>
      </c>
      <c r="B6" s="19" t="e">
        <f>IF(#REF!="","",#REF!)</f>
        <v>#REF!</v>
      </c>
      <c r="C6" s="19" t="e">
        <f>IF(#REF!="","",#REF!)</f>
        <v>#REF!</v>
      </c>
      <c r="D6" s="36" t="e">
        <f t="array" ref="D6">IF(#REF!="","", INDEX('SO4 Rubric'!$H$4:$ZZ$4, 1, (ROW()-4)*2+1))</f>
        <v>#REF!</v>
      </c>
      <c r="E6" s="20" t="e">
        <f t="array" ref="E6">IF(#REF!="","", INDEX('SO4 Rubric'!$H$8:$ZZ$8, 1, (ROW()-4)*2+1))</f>
        <v>#REF!</v>
      </c>
      <c r="F6" s="21" t="e">
        <f t="shared" si="0"/>
        <v>#REF!</v>
      </c>
      <c r="G6" s="20" t="e">
        <f>IF(F6=""," ",VLOOKUP(F6,'Lookup Tables'!$D$9:$E$12,2))</f>
        <v>#REF!</v>
      </c>
      <c r="I6" s="22"/>
      <c r="J6" s="22"/>
      <c r="K6" s="22"/>
      <c r="L6" s="22"/>
      <c r="M6" s="22"/>
    </row>
    <row r="7" spans="1:13" ht="17.25" customHeight="1">
      <c r="A7" s="18">
        <v>4</v>
      </c>
      <c r="B7" s="19" t="e">
        <f>IF(#REF!="","",#REF!)</f>
        <v>#REF!</v>
      </c>
      <c r="C7" s="19" t="e">
        <f>IF(#REF!="","",#REF!)</f>
        <v>#REF!</v>
      </c>
      <c r="D7" s="36" t="e">
        <f t="array" ref="D7">IF(#REF!="","", INDEX('SO4 Rubric'!$H$4:$ZZ$4, 1, (ROW()-4)*2+1))</f>
        <v>#REF!</v>
      </c>
      <c r="E7" s="20" t="e">
        <f t="array" ref="E7">IF(#REF!="","", INDEX('SO4 Rubric'!$H$8:$ZZ$8, 1, (ROW()-4)*2+1))</f>
        <v>#REF!</v>
      </c>
      <c r="F7" s="21" t="e">
        <f t="shared" si="0"/>
        <v>#REF!</v>
      </c>
      <c r="G7" s="20" t="e">
        <f>IF(F7=""," ",VLOOKUP(F7,'Lookup Tables'!$D$9:$E$12,2))</f>
        <v>#REF!</v>
      </c>
      <c r="I7" s="22"/>
      <c r="J7" s="22"/>
      <c r="K7" s="22"/>
      <c r="L7" s="22"/>
      <c r="M7" s="22"/>
    </row>
    <row r="8" spans="1:13" ht="17.25" customHeight="1">
      <c r="A8" s="18">
        <v>5</v>
      </c>
      <c r="B8" s="19" t="e">
        <f>IF(#REF!="","",#REF!)</f>
        <v>#REF!</v>
      </c>
      <c r="C8" s="19" t="e">
        <f>IF(#REF!="","",#REF!)</f>
        <v>#REF!</v>
      </c>
      <c r="D8" s="36" t="e">
        <f t="array" ref="D8">IF(#REF!="","", INDEX('SO4 Rubric'!$H$4:$ZZ$4, 1, (ROW()-4)*2+1))</f>
        <v>#REF!</v>
      </c>
      <c r="E8" s="20" t="e">
        <f t="array" ref="E8">IF(#REF!="","", INDEX('SO4 Rubric'!$H$8:$ZZ$8, 1, (ROW()-4)*2+1))</f>
        <v>#REF!</v>
      </c>
      <c r="F8" s="21" t="e">
        <f t="shared" si="0"/>
        <v>#REF!</v>
      </c>
      <c r="G8" s="20" t="e">
        <f>IF(F8=""," ",VLOOKUP(F8,'Lookup Tables'!$D$9:$E$12,2))</f>
        <v>#REF!</v>
      </c>
      <c r="I8" s="22"/>
      <c r="J8" s="22"/>
      <c r="K8" s="22"/>
      <c r="L8" s="22"/>
      <c r="M8" s="22"/>
    </row>
    <row r="9" spans="1:13" ht="17.25" customHeight="1">
      <c r="A9" s="18">
        <v>6</v>
      </c>
      <c r="B9" s="19" t="e">
        <f>IF(#REF!="","",#REF!)</f>
        <v>#REF!</v>
      </c>
      <c r="C9" s="19" t="e">
        <f>IF(#REF!="","",#REF!)</f>
        <v>#REF!</v>
      </c>
      <c r="D9" s="36" t="e">
        <f t="array" ref="D9">IF(#REF!="","", INDEX('SO4 Rubric'!$H$4:$ZZ$4, 1, (ROW()-4)*2+1))</f>
        <v>#REF!</v>
      </c>
      <c r="E9" s="20" t="e">
        <f t="array" ref="E9">IF(#REF!="","", INDEX('SO4 Rubric'!$H$8:$ZZ$8, 1, (ROW()-4)*2+1))</f>
        <v>#REF!</v>
      </c>
      <c r="F9" s="21" t="e">
        <f t="shared" si="0"/>
        <v>#REF!</v>
      </c>
      <c r="G9" s="20" t="e">
        <f>IF(F9=""," ",VLOOKUP(F9,'Lookup Tables'!$D$9:$E$12,2))</f>
        <v>#REF!</v>
      </c>
      <c r="I9" s="22"/>
      <c r="J9" s="22"/>
      <c r="K9" s="22"/>
      <c r="L9" s="22"/>
      <c r="M9" s="22"/>
    </row>
    <row r="10" spans="1:13" ht="17.25" customHeight="1">
      <c r="A10" s="18">
        <v>7</v>
      </c>
      <c r="B10" s="19" t="e">
        <f>IF(#REF!="","",#REF!)</f>
        <v>#REF!</v>
      </c>
      <c r="C10" s="19" t="e">
        <f>IF(#REF!="","",#REF!)</f>
        <v>#REF!</v>
      </c>
      <c r="D10" s="36" t="e">
        <f t="array" ref="D10">IF(#REF!="","", INDEX('SO4 Rubric'!$H$4:$ZZ$4, 1, (ROW()-4)*2+1))</f>
        <v>#REF!</v>
      </c>
      <c r="E10" s="20" t="e">
        <f t="array" ref="E10">IF(#REF!="","", INDEX('SO4 Rubric'!$H$8:$ZZ$8, 1, (ROW()-4)*2+1))</f>
        <v>#REF!</v>
      </c>
      <c r="F10" s="21" t="e">
        <f t="shared" si="0"/>
        <v>#REF!</v>
      </c>
      <c r="G10" s="20" t="e">
        <f>IF(F10=""," ",VLOOKUP(F10,'Lookup Tables'!$D$9:$E$12,2))</f>
        <v>#REF!</v>
      </c>
    </row>
    <row r="11" spans="1:13" ht="17.25" customHeight="1">
      <c r="A11" s="18">
        <v>8</v>
      </c>
      <c r="B11" s="19" t="e">
        <f>IF(#REF!="","",#REF!)</f>
        <v>#REF!</v>
      </c>
      <c r="C11" s="19" t="e">
        <f>IF(#REF!="","",#REF!)</f>
        <v>#REF!</v>
      </c>
      <c r="D11" s="36" t="e">
        <f t="array" ref="D11">IF(#REF!="","", INDEX('SO4 Rubric'!$H$4:$ZZ$4, 1, (ROW()-4)*2+1))</f>
        <v>#REF!</v>
      </c>
      <c r="E11" s="20" t="e">
        <f t="array" ref="E11">IF(#REF!="","", INDEX('SO4 Rubric'!$H$8:$ZZ$8, 1, (ROW()-4)*2+1))</f>
        <v>#REF!</v>
      </c>
      <c r="F11" s="21" t="e">
        <f t="shared" si="0"/>
        <v>#REF!</v>
      </c>
      <c r="G11" s="20" t="e">
        <f>IF(F11=""," ",VLOOKUP(F11,'Lookup Tables'!$D$9:$E$12,2))</f>
        <v>#REF!</v>
      </c>
      <c r="H11" s="23" t="str">
        <f t="shared" ref="H11:K11" si="1">IF(ISBLANK(#REF!),"",IFERROR(ROUND(3*(#REF!/#REF!),0),""))</f>
        <v/>
      </c>
      <c r="I11" s="6" t="str">
        <f t="shared" si="1"/>
        <v/>
      </c>
      <c r="J11" s="6" t="str">
        <f t="shared" si="1"/>
        <v/>
      </c>
      <c r="K11" s="6" t="str">
        <f t="shared" si="1"/>
        <v/>
      </c>
      <c r="L11" s="24" t="str">
        <f t="shared" ref="L11:L23" si="2">IF(SUMPRODUCT(--(H11:K11&lt;&gt;""))=0,"",SUMPRODUCT(#REF!,H11:K11)/COUNTIF(#REF!,1))</f>
        <v/>
      </c>
      <c r="M11" s="25" t="str">
        <f t="shared" ref="M11:M23" si="3">IF(L11="","",L11/3)</f>
        <v/>
      </c>
    </row>
    <row r="12" spans="1:13" ht="17.25" customHeight="1">
      <c r="A12" s="18">
        <v>9</v>
      </c>
      <c r="B12" s="19" t="e">
        <f>IF(#REF!="","",#REF!)</f>
        <v>#REF!</v>
      </c>
      <c r="C12" s="19" t="e">
        <f>IF(#REF!="","",#REF!)</f>
        <v>#REF!</v>
      </c>
      <c r="D12" s="36" t="e">
        <f t="array" ref="D12">IF(#REF!="","", INDEX('SO4 Rubric'!$H$4:$ZZ$4, 1, (ROW()-4)*2+1))</f>
        <v>#REF!</v>
      </c>
      <c r="E12" s="20" t="e">
        <f t="array" ref="E12">IF(#REF!="","", INDEX('SO4 Rubric'!$H$8:$ZZ$8, 1, (ROW()-4)*2+1))</f>
        <v>#REF!</v>
      </c>
      <c r="F12" s="21" t="e">
        <f t="shared" si="0"/>
        <v>#REF!</v>
      </c>
      <c r="G12" s="20" t="e">
        <f>IF(F12=""," ",VLOOKUP(F12,'Lookup Tables'!$D$9:$E$12,2))</f>
        <v>#REF!</v>
      </c>
      <c r="H12" s="23" t="str">
        <f t="shared" ref="H12:K12" si="4">IF(ISBLANK(#REF!),"",IFERROR(ROUND(3*(#REF!/#REF!),0),""))</f>
        <v/>
      </c>
      <c r="I12" s="6" t="str">
        <f t="shared" si="4"/>
        <v/>
      </c>
      <c r="J12" s="6" t="str">
        <f t="shared" si="4"/>
        <v/>
      </c>
      <c r="K12" s="6" t="str">
        <f t="shared" si="4"/>
        <v/>
      </c>
      <c r="L12" s="24" t="str">
        <f t="shared" si="2"/>
        <v/>
      </c>
      <c r="M12" s="25" t="str">
        <f t="shared" si="3"/>
        <v/>
      </c>
    </row>
    <row r="13" spans="1:13" ht="17.25" customHeight="1">
      <c r="A13" s="18">
        <v>10</v>
      </c>
      <c r="B13" s="19" t="e">
        <f>IF(#REF!="","",#REF!)</f>
        <v>#REF!</v>
      </c>
      <c r="C13" s="19" t="e">
        <f>IF(#REF!="","",#REF!)</f>
        <v>#REF!</v>
      </c>
      <c r="D13" s="36" t="e">
        <f t="array" ref="D13">IF(#REF!="","", INDEX('SO4 Rubric'!$H$4:$ZZ$4, 1, (ROW()-4)*2+1))</f>
        <v>#REF!</v>
      </c>
      <c r="E13" s="20" t="e">
        <f t="array" ref="E13">IF(#REF!="","", INDEX('SO4 Rubric'!$H$8:$ZZ$8, 1, (ROW()-4)*2+1))</f>
        <v>#REF!</v>
      </c>
      <c r="F13" s="21" t="e">
        <f t="shared" si="0"/>
        <v>#REF!</v>
      </c>
      <c r="G13" s="20" t="e">
        <f>IF(F13=""," ",VLOOKUP(F13,'Lookup Tables'!$D$9:$E$12,2))</f>
        <v>#REF!</v>
      </c>
      <c r="H13" s="26" t="str">
        <f t="shared" ref="H13:K13" si="5">IF(ISBLANK(#REF!),"",IFERROR(ROUND(3*(#REF!/#REF!),0),""))</f>
        <v/>
      </c>
      <c r="I13" s="6" t="str">
        <f t="shared" si="5"/>
        <v/>
      </c>
      <c r="J13" s="6" t="str">
        <f t="shared" si="5"/>
        <v/>
      </c>
      <c r="K13" s="6" t="str">
        <f t="shared" si="5"/>
        <v/>
      </c>
      <c r="L13" s="24" t="str">
        <f t="shared" si="2"/>
        <v/>
      </c>
      <c r="M13" s="25" t="str">
        <f t="shared" si="3"/>
        <v/>
      </c>
    </row>
    <row r="14" spans="1:13" ht="17.25" customHeight="1">
      <c r="A14" s="18">
        <v>11</v>
      </c>
      <c r="B14" s="19" t="e">
        <f>IF(#REF!="","",#REF!)</f>
        <v>#REF!</v>
      </c>
      <c r="C14" s="19" t="e">
        <f>IF(#REF!="","",#REF!)</f>
        <v>#REF!</v>
      </c>
      <c r="D14" s="36" t="e">
        <f t="array" ref="D14">IF(#REF!="","", INDEX('SO4 Rubric'!$H$4:$ZZ$4, 1, (ROW()-4)*2+1))</f>
        <v>#REF!</v>
      </c>
      <c r="E14" s="20" t="e">
        <f t="array" ref="E14">IF(#REF!="","", INDEX('SO4 Rubric'!$H$8:$ZZ$8, 1, (ROW()-4)*2+1))</f>
        <v>#REF!</v>
      </c>
      <c r="F14" s="21" t="e">
        <f t="shared" si="0"/>
        <v>#REF!</v>
      </c>
      <c r="G14" s="20" t="e">
        <f>IF(F14=""," ",VLOOKUP(F14,'Lookup Tables'!$D$9:$E$12,2))</f>
        <v>#REF!</v>
      </c>
      <c r="H14" s="6" t="str">
        <f t="shared" ref="H14:K14" si="6">IF(ISBLANK(#REF!),"",IFERROR(ROUND(3*(#REF!/#REF!),0),""))</f>
        <v/>
      </c>
      <c r="I14" s="6" t="str">
        <f t="shared" si="6"/>
        <v/>
      </c>
      <c r="J14" s="6" t="str">
        <f t="shared" si="6"/>
        <v/>
      </c>
      <c r="K14" s="6" t="str">
        <f t="shared" si="6"/>
        <v/>
      </c>
      <c r="L14" s="24" t="str">
        <f t="shared" si="2"/>
        <v/>
      </c>
      <c r="M14" s="25" t="str">
        <f t="shared" si="3"/>
        <v/>
      </c>
    </row>
    <row r="15" spans="1:13" ht="17.25" customHeight="1">
      <c r="A15" s="18">
        <v>12</v>
      </c>
      <c r="B15" s="19" t="e">
        <f>IF(#REF!="","",#REF!)</f>
        <v>#REF!</v>
      </c>
      <c r="C15" s="19" t="e">
        <f>IF(#REF!="","",#REF!)</f>
        <v>#REF!</v>
      </c>
      <c r="D15" s="36" t="e">
        <f t="array" ref="D15">IF(#REF!="","", INDEX('SO4 Rubric'!$H$4:$ZZ$4, 1, (ROW()-4)*2+1))</f>
        <v>#REF!</v>
      </c>
      <c r="E15" s="20" t="e">
        <f t="array" ref="E15">IF(#REF!="","", INDEX('SO4 Rubric'!$H$8:$ZZ$8, 1, (ROW()-4)*2+1))</f>
        <v>#REF!</v>
      </c>
      <c r="F15" s="21" t="e">
        <f t="shared" si="0"/>
        <v>#REF!</v>
      </c>
      <c r="G15" s="20" t="e">
        <f>IF(F15=""," ",VLOOKUP(F15,'Lookup Tables'!$D$9:$E$12,2))</f>
        <v>#REF!</v>
      </c>
      <c r="H15" s="6" t="str">
        <f t="shared" ref="H15:K15" si="7">IF(ISBLANK(#REF!),"",IFERROR(ROUND(3*(#REF!/#REF!),0),""))</f>
        <v/>
      </c>
      <c r="I15" s="6" t="str">
        <f t="shared" si="7"/>
        <v/>
      </c>
      <c r="J15" s="6" t="str">
        <f t="shared" si="7"/>
        <v/>
      </c>
      <c r="K15" s="6" t="str">
        <f t="shared" si="7"/>
        <v/>
      </c>
      <c r="L15" s="24" t="str">
        <f t="shared" si="2"/>
        <v/>
      </c>
      <c r="M15" s="25" t="str">
        <f t="shared" si="3"/>
        <v/>
      </c>
    </row>
    <row r="16" spans="1:13" ht="14.25" customHeight="1">
      <c r="A16" s="18">
        <v>13</v>
      </c>
      <c r="B16" s="19" t="e">
        <f>IF(#REF!="","",#REF!)</f>
        <v>#REF!</v>
      </c>
      <c r="C16" s="19" t="e">
        <f>IF(#REF!="","",#REF!)</f>
        <v>#REF!</v>
      </c>
      <c r="D16" s="36" t="e">
        <f t="array" ref="D16">IF(#REF!="","", INDEX('SO4 Rubric'!$H$4:$ZZ$4, 1, (ROW()-4)*2+1))</f>
        <v>#REF!</v>
      </c>
      <c r="E16" s="20" t="e">
        <f t="array" ref="E16">IF(#REF!="","", INDEX('SO4 Rubric'!$H$8:$ZZ$8, 1, (ROW()-4)*2+1))</f>
        <v>#REF!</v>
      </c>
      <c r="F16" s="21" t="e">
        <f t="shared" si="0"/>
        <v>#REF!</v>
      </c>
      <c r="G16" s="20" t="e">
        <f>IF(F16=""," ",VLOOKUP(F16,'Lookup Tables'!$D$9:$E$12,2))</f>
        <v>#REF!</v>
      </c>
      <c r="H16" s="6" t="str">
        <f t="shared" ref="H16:K16" si="8">IF(ISBLANK(#REF!),"",IFERROR(ROUND(3*(#REF!/#REF!),0),""))</f>
        <v/>
      </c>
      <c r="I16" s="6" t="str">
        <f t="shared" si="8"/>
        <v/>
      </c>
      <c r="J16" s="6" t="str">
        <f t="shared" si="8"/>
        <v/>
      </c>
      <c r="K16" s="6" t="str">
        <f t="shared" si="8"/>
        <v/>
      </c>
      <c r="L16" s="24" t="str">
        <f t="shared" si="2"/>
        <v/>
      </c>
      <c r="M16" s="25" t="str">
        <f t="shared" si="3"/>
        <v/>
      </c>
    </row>
    <row r="17" spans="1:13" ht="14.25" customHeight="1">
      <c r="A17" s="18">
        <v>14</v>
      </c>
      <c r="B17" s="19" t="e">
        <f>IF(#REF!="","",#REF!)</f>
        <v>#REF!</v>
      </c>
      <c r="C17" s="19" t="e">
        <f>IF(#REF!="","",#REF!)</f>
        <v>#REF!</v>
      </c>
      <c r="D17" s="36" t="e">
        <f t="array" ref="D17">IF(#REF!="","", INDEX('SO4 Rubric'!$H$4:$ZZ$4, 1, (ROW()-4)*2+1))</f>
        <v>#REF!</v>
      </c>
      <c r="E17" s="20" t="e">
        <f t="array" ref="E17">IF(#REF!="","", INDEX('SO4 Rubric'!$H$8:$ZZ$8, 1, (ROW()-4)*2+1))</f>
        <v>#REF!</v>
      </c>
      <c r="F17" s="21" t="e">
        <f t="shared" si="0"/>
        <v>#REF!</v>
      </c>
      <c r="G17" s="20" t="e">
        <f>IF(F17=""," ",VLOOKUP(F17,'Lookup Tables'!$D$9:$E$12,2))</f>
        <v>#REF!</v>
      </c>
      <c r="H17" s="6" t="str">
        <f t="shared" ref="H17:K17" si="9">IF(ISBLANK(#REF!),"",IFERROR(ROUND(3*(#REF!/#REF!),0),""))</f>
        <v/>
      </c>
      <c r="I17" s="6" t="str">
        <f t="shared" si="9"/>
        <v/>
      </c>
      <c r="J17" s="6" t="str">
        <f t="shared" si="9"/>
        <v/>
      </c>
      <c r="K17" s="6" t="str">
        <f t="shared" si="9"/>
        <v/>
      </c>
      <c r="L17" s="24" t="str">
        <f t="shared" si="2"/>
        <v/>
      </c>
      <c r="M17" s="25" t="str">
        <f t="shared" si="3"/>
        <v/>
      </c>
    </row>
    <row r="18" spans="1:13" ht="14.25" customHeight="1">
      <c r="A18" s="18">
        <v>15</v>
      </c>
      <c r="B18" s="19" t="e">
        <f>IF(#REF!="","",#REF!)</f>
        <v>#REF!</v>
      </c>
      <c r="C18" s="19" t="e">
        <f>IF(#REF!="","",#REF!)</f>
        <v>#REF!</v>
      </c>
      <c r="D18" s="36" t="e">
        <f t="array" ref="D18">IF(#REF!="","", INDEX('SO4 Rubric'!$H$4:$ZZ$4, 1, (ROW()-4)*2+1))</f>
        <v>#REF!</v>
      </c>
      <c r="E18" s="20" t="e">
        <f t="array" ref="E18">IF(#REF!="","", INDEX('SO4 Rubric'!$H$8:$ZZ$8, 1, (ROW()-4)*2+1))</f>
        <v>#REF!</v>
      </c>
      <c r="F18" s="21" t="e">
        <f t="shared" si="0"/>
        <v>#REF!</v>
      </c>
      <c r="G18" s="20" t="e">
        <f>IF(F18=""," ",VLOOKUP(F18,'Lookup Tables'!$D$9:$E$12,2))</f>
        <v>#REF!</v>
      </c>
      <c r="H18" s="6" t="str">
        <f t="shared" ref="H18:K18" si="10">IF(ISBLANK(#REF!),"",IFERROR(ROUND(3*(#REF!/#REF!),0),""))</f>
        <v/>
      </c>
      <c r="I18" s="6" t="str">
        <f t="shared" si="10"/>
        <v/>
      </c>
      <c r="J18" s="6" t="str">
        <f t="shared" si="10"/>
        <v/>
      </c>
      <c r="K18" s="6" t="str">
        <f t="shared" si="10"/>
        <v/>
      </c>
      <c r="L18" s="24" t="str">
        <f t="shared" si="2"/>
        <v/>
      </c>
      <c r="M18" s="25" t="str">
        <f t="shared" si="3"/>
        <v/>
      </c>
    </row>
    <row r="19" spans="1:13" ht="14.25" customHeight="1">
      <c r="A19" s="18">
        <v>16</v>
      </c>
      <c r="B19" s="19" t="e">
        <f>IF(#REF!="","",#REF!)</f>
        <v>#REF!</v>
      </c>
      <c r="C19" s="19" t="e">
        <f>IF(#REF!="","",#REF!)</f>
        <v>#REF!</v>
      </c>
      <c r="D19" s="36" t="e">
        <f t="array" ref="D19">IF(#REF!="","", INDEX('SO4 Rubric'!$H$4:$ZZ$4, 1, (ROW()-4)*2+1))</f>
        <v>#REF!</v>
      </c>
      <c r="E19" s="20" t="e">
        <f t="array" ref="E19">IF(#REF!="","", INDEX('SO4 Rubric'!$H$8:$ZZ$8, 1, (ROW()-4)*2+1))</f>
        <v>#REF!</v>
      </c>
      <c r="F19" s="21" t="e">
        <f t="shared" si="0"/>
        <v>#REF!</v>
      </c>
      <c r="G19" s="20" t="e">
        <f>IF(F19=""," ",VLOOKUP(F19,'Lookup Tables'!$D$9:$E$12,2))</f>
        <v>#REF!</v>
      </c>
      <c r="H19" s="6" t="str">
        <f t="shared" ref="H19:K19" si="11">IF(ISBLANK(#REF!),"",IFERROR(ROUND(3*(#REF!/#REF!),0),""))</f>
        <v/>
      </c>
      <c r="I19" s="6" t="str">
        <f t="shared" si="11"/>
        <v/>
      </c>
      <c r="J19" s="6" t="str">
        <f t="shared" si="11"/>
        <v/>
      </c>
      <c r="K19" s="6" t="str">
        <f t="shared" si="11"/>
        <v/>
      </c>
      <c r="L19" s="24" t="str">
        <f t="shared" si="2"/>
        <v/>
      </c>
      <c r="M19" s="25" t="str">
        <f t="shared" si="3"/>
        <v/>
      </c>
    </row>
    <row r="20" spans="1:13" ht="14.25" customHeight="1">
      <c r="A20" s="18">
        <v>17</v>
      </c>
      <c r="B20" s="19" t="e">
        <f>IF(#REF!="","",#REF!)</f>
        <v>#REF!</v>
      </c>
      <c r="C20" s="19" t="e">
        <f>IF(#REF!="","",#REF!)</f>
        <v>#REF!</v>
      </c>
      <c r="D20" s="36" t="e">
        <f t="array" ref="D20">IF(#REF!="","", INDEX('SO4 Rubric'!$H$4:$ZZ$4, 1, (ROW()-4)*2+1))</f>
        <v>#REF!</v>
      </c>
      <c r="E20" s="20" t="e">
        <f t="array" ref="E20">IF(#REF!="","", INDEX('SO4 Rubric'!$H$8:$ZZ$8, 1, (ROW()-4)*2+1))</f>
        <v>#REF!</v>
      </c>
      <c r="F20" s="21" t="e">
        <f t="shared" si="0"/>
        <v>#REF!</v>
      </c>
      <c r="G20" s="20" t="e">
        <f>IF(F20=""," ",VLOOKUP(F20,'Lookup Tables'!$D$9:$E$12,2))</f>
        <v>#REF!</v>
      </c>
      <c r="H20" s="6" t="str">
        <f t="shared" ref="H20:K20" si="12">IF(ISBLANK(#REF!),"",IFERROR(ROUND(3*(#REF!/#REF!),0),""))</f>
        <v/>
      </c>
      <c r="I20" s="6" t="str">
        <f t="shared" si="12"/>
        <v/>
      </c>
      <c r="J20" s="6" t="str">
        <f t="shared" si="12"/>
        <v/>
      </c>
      <c r="K20" s="6" t="str">
        <f t="shared" si="12"/>
        <v/>
      </c>
      <c r="L20" s="24" t="str">
        <f t="shared" si="2"/>
        <v/>
      </c>
      <c r="M20" s="25" t="str">
        <f t="shared" si="3"/>
        <v/>
      </c>
    </row>
    <row r="21" spans="1:13" ht="14.25" customHeight="1">
      <c r="A21" s="18">
        <v>18</v>
      </c>
      <c r="B21" s="19" t="e">
        <f>IF(#REF!="","",#REF!)</f>
        <v>#REF!</v>
      </c>
      <c r="C21" s="19" t="e">
        <f>IF(#REF!="","",#REF!)</f>
        <v>#REF!</v>
      </c>
      <c r="D21" s="36" t="e">
        <f t="array" ref="D21">IF(#REF!="","", INDEX('SO4 Rubric'!$H$4:$ZZ$4, 1, (ROW()-4)*2+1))</f>
        <v>#REF!</v>
      </c>
      <c r="E21" s="20" t="e">
        <f t="array" ref="E21">IF(#REF!="","", INDEX('SO4 Rubric'!$H$8:$ZZ$8, 1, (ROW()-4)*2+1))</f>
        <v>#REF!</v>
      </c>
      <c r="F21" s="21" t="e">
        <f t="shared" si="0"/>
        <v>#REF!</v>
      </c>
      <c r="G21" s="20" t="e">
        <f>IF(F21=""," ",VLOOKUP(F21,'Lookup Tables'!$D$9:$E$12,2))</f>
        <v>#REF!</v>
      </c>
      <c r="H21" s="6" t="str">
        <f t="shared" ref="H21:K21" si="13">IF(ISBLANK(#REF!),"",IFERROR(ROUND(3*(#REF!/#REF!),0),""))</f>
        <v/>
      </c>
      <c r="I21" s="6" t="str">
        <f t="shared" si="13"/>
        <v/>
      </c>
      <c r="J21" s="6" t="str">
        <f t="shared" si="13"/>
        <v/>
      </c>
      <c r="K21" s="6" t="str">
        <f t="shared" si="13"/>
        <v/>
      </c>
      <c r="L21" s="24" t="str">
        <f t="shared" si="2"/>
        <v/>
      </c>
      <c r="M21" s="25" t="str">
        <f t="shared" si="3"/>
        <v/>
      </c>
    </row>
    <row r="22" spans="1:13" ht="14.25" customHeight="1">
      <c r="A22" s="18">
        <v>19</v>
      </c>
      <c r="B22" s="19" t="e">
        <f>IF(#REF!="","",#REF!)</f>
        <v>#REF!</v>
      </c>
      <c r="C22" s="19" t="e">
        <f>IF(#REF!="","",#REF!)</f>
        <v>#REF!</v>
      </c>
      <c r="D22" s="36" t="e">
        <f t="array" ref="D22">IF(#REF!="","", INDEX('SO4 Rubric'!$H$4:$ZZ$4, 1, (ROW()-4)*2+1))</f>
        <v>#REF!</v>
      </c>
      <c r="E22" s="20" t="e">
        <f t="array" ref="E22">IF(#REF!="","", INDEX('SO4 Rubric'!$H$8:$ZZ$8, 1, (ROW()-4)*2+1))</f>
        <v>#REF!</v>
      </c>
      <c r="F22" s="21" t="e">
        <f t="shared" si="0"/>
        <v>#REF!</v>
      </c>
      <c r="G22" s="20" t="e">
        <f>IF(F22=""," ",VLOOKUP(F22,'Lookup Tables'!$D$9:$E$12,2))</f>
        <v>#REF!</v>
      </c>
      <c r="H22" s="6" t="str">
        <f t="shared" ref="H22:K22" si="14">IF(ISBLANK(#REF!),"",IFERROR(ROUND(3*(#REF!/#REF!),0),""))</f>
        <v/>
      </c>
      <c r="I22" s="6" t="str">
        <f t="shared" si="14"/>
        <v/>
      </c>
      <c r="J22" s="6" t="str">
        <f t="shared" si="14"/>
        <v/>
      </c>
      <c r="K22" s="6" t="str">
        <f t="shared" si="14"/>
        <v/>
      </c>
      <c r="L22" s="24" t="str">
        <f t="shared" si="2"/>
        <v/>
      </c>
      <c r="M22" s="25" t="str">
        <f t="shared" si="3"/>
        <v/>
      </c>
    </row>
    <row r="23" spans="1:13" ht="14.25" customHeight="1">
      <c r="A23" s="18">
        <v>20</v>
      </c>
      <c r="B23" s="19" t="e">
        <f>IF(#REF!="","",#REF!)</f>
        <v>#REF!</v>
      </c>
      <c r="C23" s="19" t="e">
        <f>IF(#REF!="","",#REF!)</f>
        <v>#REF!</v>
      </c>
      <c r="D23" s="36" t="e">
        <f t="array" ref="D23">IF(#REF!="","", INDEX('SO4 Rubric'!$H$4:$ZZ$4, 1, (ROW()-4)*2+1))</f>
        <v>#REF!</v>
      </c>
      <c r="E23" s="20" t="e">
        <f t="array" ref="E23">IF(#REF!="","", INDEX('SO4 Rubric'!$H$8:$ZZ$8, 1, (ROW()-4)*2+1))</f>
        <v>#REF!</v>
      </c>
      <c r="F23" s="21" t="e">
        <f t="shared" si="0"/>
        <v>#REF!</v>
      </c>
      <c r="G23" s="20" t="e">
        <f>IF(F23=""," ",VLOOKUP(F23,'Lookup Tables'!$D$9:$E$12,2))</f>
        <v>#REF!</v>
      </c>
      <c r="H23" s="6" t="str">
        <f t="shared" ref="H23:K23" si="15">IF(ISBLANK(#REF!),"",IFERROR(ROUND(3*(#REF!/#REF!),0),""))</f>
        <v/>
      </c>
      <c r="I23" s="6" t="str">
        <f t="shared" si="15"/>
        <v/>
      </c>
      <c r="J23" s="6" t="str">
        <f t="shared" si="15"/>
        <v/>
      </c>
      <c r="K23" s="6" t="str">
        <f t="shared" si="15"/>
        <v/>
      </c>
      <c r="L23" s="24" t="str">
        <f t="shared" si="2"/>
        <v/>
      </c>
      <c r="M23" s="25" t="str">
        <f t="shared" si="3"/>
        <v/>
      </c>
    </row>
    <row r="24" spans="1:13" ht="14.25" customHeight="1">
      <c r="A24" s="27"/>
      <c r="B24" s="28"/>
      <c r="C24" s="28"/>
      <c r="D24" s="165" t="s">
        <v>55</v>
      </c>
      <c r="E24" s="166"/>
      <c r="F24" s="167" t="s">
        <v>56</v>
      </c>
      <c r="G24" s="29" t="s">
        <v>57</v>
      </c>
      <c r="H24" s="30">
        <f>COUNTIF('SO4 Assessment Results'!$G$4:$G$23,G24)</f>
        <v>0</v>
      </c>
      <c r="I24" s="168" t="str">
        <f>IFERROR(TEXT(((H26+H27)/SUM(H24:H27)),"0%"),"")</f>
        <v/>
      </c>
      <c r="J24" s="169"/>
      <c r="K24" s="6"/>
      <c r="L24" s="24"/>
      <c r="M24" s="25"/>
    </row>
    <row r="25" spans="1:13" ht="14.25" customHeight="1">
      <c r="A25" s="27"/>
      <c r="B25" s="28"/>
      <c r="C25" s="28"/>
      <c r="D25" s="31" t="s">
        <v>63</v>
      </c>
      <c r="E25" s="31" t="s">
        <v>64</v>
      </c>
      <c r="F25" s="150"/>
      <c r="G25" s="29" t="s">
        <v>58</v>
      </c>
      <c r="H25" s="32">
        <f>COUNTIF('SO4 Assessment Results'!$G$4:$G$23,G25)</f>
        <v>0</v>
      </c>
      <c r="I25" s="170"/>
      <c r="J25" s="171"/>
      <c r="K25" s="6"/>
      <c r="L25" s="24"/>
      <c r="M25" s="25"/>
    </row>
    <row r="26" spans="1:13" ht="14.25" customHeight="1">
      <c r="A26" s="6"/>
      <c r="C26" s="33"/>
      <c r="D26" s="34" t="str">
        <f t="shared" ref="D26:E26" si="16">IFERROR(AVERAGE(D4:D20),"")</f>
        <v/>
      </c>
      <c r="E26" s="34" t="str">
        <f t="shared" si="16"/>
        <v/>
      </c>
      <c r="F26" s="150"/>
      <c r="G26" s="29" t="s">
        <v>59</v>
      </c>
      <c r="H26" s="32">
        <f>COUNTIF('SO4 Assessment Results'!$G$4:$G$23,G26)</f>
        <v>0</v>
      </c>
      <c r="I26" s="170"/>
      <c r="J26" s="171"/>
      <c r="K26" s="1" t="str">
        <f>IFERROR(AVERAGE(K11:K23),"")</f>
        <v/>
      </c>
      <c r="L26" s="6"/>
      <c r="M26" s="6"/>
    </row>
    <row r="27" spans="1:13" ht="14.25" customHeight="1">
      <c r="A27" s="6"/>
      <c r="C27" s="35"/>
      <c r="D27" s="20" t="str">
        <f t="shared" ref="D27:E27" si="17">IFERROR(TEXT((COUNTIF(D4:D23,2) + COUNTIF(D4:D23,3)) / COUNT(D4:D23),"0%"),"")</f>
        <v/>
      </c>
      <c r="E27" s="20" t="str">
        <f t="shared" si="17"/>
        <v/>
      </c>
      <c r="F27" s="151"/>
      <c r="G27" s="29" t="s">
        <v>60</v>
      </c>
      <c r="H27" s="32">
        <f>COUNTIF('SO4 Assessment Results'!$G$4:$G$23,G27)</f>
        <v>0</v>
      </c>
      <c r="I27" s="172"/>
      <c r="J27" s="173"/>
      <c r="M27" s="6"/>
    </row>
    <row r="28" spans="1:13" ht="14.25" customHeight="1">
      <c r="A28" s="6"/>
      <c r="C28" s="35"/>
      <c r="D28" s="6"/>
      <c r="E28" s="6"/>
      <c r="H28" s="6"/>
    </row>
    <row r="29" spans="1:13" ht="14.25" customHeight="1">
      <c r="A29" s="6"/>
      <c r="C29" s="35"/>
      <c r="D29" s="6"/>
      <c r="E29" s="6"/>
      <c r="F29" s="6"/>
      <c r="G29" s="6"/>
      <c r="H29" s="6"/>
      <c r="M29" s="6"/>
    </row>
    <row r="30" spans="1:13" ht="14.25" customHeight="1">
      <c r="A30" s="6"/>
      <c r="B30" s="174" t="s">
        <v>61</v>
      </c>
      <c r="C30" s="120"/>
      <c r="D30" s="120"/>
      <c r="E30" s="166"/>
      <c r="F30" s="6"/>
      <c r="G30" s="6"/>
      <c r="H30" s="6"/>
      <c r="M30" s="6"/>
    </row>
    <row r="31" spans="1:13" ht="14.25" customHeight="1">
      <c r="A31" s="6"/>
      <c r="B31" s="175" t="s">
        <v>62</v>
      </c>
      <c r="C31" s="176"/>
      <c r="D31" s="176"/>
      <c r="E31" s="177"/>
      <c r="F31" s="6"/>
      <c r="G31" s="6"/>
      <c r="H31" s="6"/>
      <c r="M31" s="6"/>
    </row>
    <row r="32" spans="1:13" ht="14.25" customHeight="1">
      <c r="B32" s="170"/>
      <c r="C32" s="127"/>
      <c r="D32" s="127"/>
      <c r="E32" s="171"/>
      <c r="F32" s="6"/>
      <c r="G32" s="6"/>
      <c r="H32" s="6"/>
      <c r="M32" s="6"/>
    </row>
    <row r="33" spans="1:13" ht="14.25" customHeight="1">
      <c r="A33" s="6"/>
      <c r="B33" s="170"/>
      <c r="C33" s="127"/>
      <c r="D33" s="127"/>
      <c r="E33" s="171"/>
      <c r="F33" s="6"/>
      <c r="G33" s="6"/>
      <c r="H33" s="6"/>
      <c r="M33" s="6"/>
    </row>
    <row r="34" spans="1:13" ht="14.25" customHeight="1">
      <c r="A34" s="6"/>
      <c r="B34" s="178"/>
      <c r="C34" s="179"/>
      <c r="D34" s="179"/>
      <c r="E34" s="180"/>
      <c r="F34" s="6"/>
      <c r="G34" s="6"/>
      <c r="H34" s="6"/>
      <c r="M34" s="6"/>
    </row>
    <row r="35" spans="1:13" ht="14.25" customHeight="1">
      <c r="A35" s="6"/>
      <c r="F35" s="6"/>
      <c r="G35" s="6"/>
      <c r="H35" s="6"/>
      <c r="M35" s="6"/>
    </row>
    <row r="36" spans="1:13" ht="14.25" customHeight="1">
      <c r="A36" s="6"/>
      <c r="F36" s="6"/>
      <c r="G36" s="6"/>
      <c r="H36" s="6"/>
      <c r="M36" s="6"/>
    </row>
    <row r="37" spans="1:13" ht="14.25" customHeight="1">
      <c r="A37" s="6"/>
      <c r="F37" s="6"/>
      <c r="G37" s="6"/>
      <c r="H37" s="6"/>
      <c r="M37" s="6"/>
    </row>
    <row r="38" spans="1:13" ht="14.25" customHeight="1">
      <c r="A38" s="6"/>
      <c r="F38" s="6"/>
      <c r="G38" s="6"/>
      <c r="H38" s="6"/>
      <c r="M38" s="6"/>
    </row>
    <row r="39" spans="1:13" ht="14.25" customHeight="1">
      <c r="A39" s="6"/>
      <c r="F39" s="6"/>
      <c r="G39" s="6"/>
      <c r="H39" s="6"/>
      <c r="M39" s="6"/>
    </row>
    <row r="40" spans="1:13" ht="14.25" customHeight="1">
      <c r="A40" s="6"/>
      <c r="F40" s="6"/>
      <c r="G40" s="6"/>
      <c r="H40" s="6"/>
      <c r="M40" s="6"/>
    </row>
    <row r="41" spans="1:13" ht="14.25" customHeight="1">
      <c r="A41" s="6"/>
      <c r="F41" s="6"/>
      <c r="G41" s="6"/>
      <c r="H41" s="6"/>
      <c r="M41" s="6"/>
    </row>
    <row r="42" spans="1:13" ht="14.25" customHeight="1">
      <c r="A42" s="6"/>
      <c r="F42" s="6"/>
      <c r="G42" s="6"/>
      <c r="H42" s="6"/>
      <c r="M42" s="6"/>
    </row>
    <row r="43" spans="1:13" ht="14.25" customHeight="1">
      <c r="A43" s="6"/>
      <c r="F43" s="6"/>
      <c r="G43" s="6"/>
      <c r="H43" s="6"/>
      <c r="M43" s="6"/>
    </row>
    <row r="44" spans="1:13" ht="14.25" customHeight="1">
      <c r="A44" s="6"/>
      <c r="F44" s="6"/>
      <c r="G44" s="6"/>
      <c r="H44" s="6"/>
      <c r="M44" s="6"/>
    </row>
    <row r="45" spans="1:13" ht="14.25" customHeight="1">
      <c r="A45" s="6"/>
      <c r="F45" s="6"/>
      <c r="G45" s="6"/>
      <c r="H45" s="6"/>
      <c r="M45" s="6"/>
    </row>
    <row r="46" spans="1:13" ht="14.25" customHeight="1">
      <c r="A46" s="6"/>
      <c r="F46" s="6"/>
      <c r="G46" s="6"/>
      <c r="H46" s="6"/>
      <c r="M46" s="6"/>
    </row>
    <row r="47" spans="1:13" ht="14.25" customHeight="1">
      <c r="A47" s="6"/>
      <c r="F47" s="6"/>
      <c r="G47" s="6"/>
      <c r="H47" s="6"/>
      <c r="M47" s="6"/>
    </row>
    <row r="48" spans="1:13" ht="14.25" customHeight="1">
      <c r="A48" s="6"/>
      <c r="F48" s="6"/>
      <c r="G48" s="6"/>
      <c r="H48" s="6"/>
      <c r="M48" s="6"/>
    </row>
    <row r="49" spans="1:13" ht="14.25" customHeight="1">
      <c r="A49" s="6"/>
      <c r="F49" s="6"/>
      <c r="G49" s="6"/>
      <c r="H49" s="6"/>
      <c r="M49" s="6"/>
    </row>
    <row r="50" spans="1:13" ht="14.25" customHeight="1">
      <c r="A50" s="6"/>
      <c r="F50" s="6"/>
      <c r="G50" s="6"/>
      <c r="H50" s="6"/>
      <c r="M50" s="6"/>
    </row>
    <row r="51" spans="1:13" ht="14.25" customHeight="1">
      <c r="A51" s="6"/>
      <c r="F51" s="6"/>
      <c r="G51" s="6"/>
      <c r="H51" s="6"/>
      <c r="M51" s="6"/>
    </row>
    <row r="52" spans="1:13" ht="14.25" customHeight="1">
      <c r="A52" s="6"/>
      <c r="F52" s="6"/>
      <c r="G52" s="6"/>
      <c r="H52" s="6"/>
      <c r="M52" s="6"/>
    </row>
    <row r="53" spans="1:13" ht="14.25" customHeight="1">
      <c r="A53" s="6"/>
      <c r="F53" s="6"/>
      <c r="G53" s="6"/>
      <c r="H53" s="6"/>
      <c r="M53" s="6"/>
    </row>
    <row r="54" spans="1:13" ht="14.25" customHeight="1">
      <c r="A54" s="6"/>
      <c r="F54" s="6"/>
      <c r="G54" s="6"/>
      <c r="H54" s="6"/>
      <c r="M54" s="6"/>
    </row>
    <row r="55" spans="1:13" ht="14.25" customHeight="1">
      <c r="A55" s="6"/>
      <c r="F55" s="6"/>
      <c r="G55" s="6"/>
      <c r="H55" s="6"/>
      <c r="M55" s="6"/>
    </row>
    <row r="56" spans="1:13" ht="14.25" customHeight="1">
      <c r="A56" s="6"/>
      <c r="F56" s="6"/>
      <c r="G56" s="6"/>
      <c r="H56" s="6"/>
      <c r="M56" s="6"/>
    </row>
    <row r="57" spans="1:13" ht="14.25" customHeight="1">
      <c r="A57" s="6"/>
      <c r="F57" s="6"/>
      <c r="G57" s="6"/>
      <c r="H57" s="6"/>
      <c r="M57" s="6"/>
    </row>
    <row r="58" spans="1:13" ht="14.25" customHeight="1">
      <c r="A58" s="6"/>
      <c r="F58" s="6"/>
      <c r="G58" s="6"/>
      <c r="H58" s="6"/>
      <c r="M58" s="6"/>
    </row>
    <row r="59" spans="1:13" ht="14.25" customHeight="1">
      <c r="A59" s="6"/>
      <c r="F59" s="6"/>
      <c r="G59" s="6"/>
      <c r="H59" s="6"/>
      <c r="M59" s="6"/>
    </row>
    <row r="60" spans="1:13" ht="14.25" customHeight="1">
      <c r="A60" s="6"/>
      <c r="F60" s="6"/>
      <c r="G60" s="6"/>
      <c r="H60" s="6"/>
      <c r="M60" s="6"/>
    </row>
    <row r="61" spans="1:13" ht="14.25" customHeight="1">
      <c r="A61" s="6"/>
      <c r="F61" s="6"/>
      <c r="G61" s="6"/>
      <c r="H61" s="6"/>
      <c r="M61" s="6"/>
    </row>
    <row r="62" spans="1:13" ht="14.25" customHeight="1">
      <c r="A62" s="6"/>
      <c r="F62" s="6"/>
      <c r="G62" s="6"/>
      <c r="H62" s="6"/>
      <c r="M62" s="6"/>
    </row>
    <row r="63" spans="1:13" ht="14.25" customHeight="1">
      <c r="A63" s="6"/>
      <c r="F63" s="6"/>
      <c r="G63" s="6"/>
      <c r="H63" s="6"/>
      <c r="M63" s="6"/>
    </row>
    <row r="64" spans="1:13" ht="14.25" customHeight="1">
      <c r="A64" s="6"/>
      <c r="F64" s="6"/>
      <c r="G64" s="6"/>
      <c r="H64" s="6"/>
      <c r="M64" s="6"/>
    </row>
    <row r="65" spans="1:13" ht="14.25" customHeight="1">
      <c r="A65" s="6"/>
      <c r="F65" s="6"/>
      <c r="G65" s="6"/>
      <c r="H65" s="6"/>
      <c r="M65" s="6"/>
    </row>
    <row r="66" spans="1:13" ht="14.25" customHeight="1">
      <c r="A66" s="6"/>
      <c r="F66" s="6"/>
      <c r="G66" s="6"/>
      <c r="H66" s="6"/>
      <c r="M66" s="6"/>
    </row>
    <row r="67" spans="1:13" ht="14.25" customHeight="1">
      <c r="A67" s="6"/>
      <c r="F67" s="6"/>
      <c r="G67" s="6"/>
      <c r="H67" s="6"/>
      <c r="M67" s="6"/>
    </row>
    <row r="68" spans="1:13" ht="14.25" customHeight="1">
      <c r="A68" s="6"/>
      <c r="F68" s="6"/>
      <c r="G68" s="6"/>
      <c r="H68" s="6"/>
      <c r="M68" s="6"/>
    </row>
    <row r="69" spans="1:13" ht="14.25" customHeight="1">
      <c r="A69" s="6"/>
      <c r="F69" s="6"/>
      <c r="G69" s="6"/>
      <c r="H69" s="6"/>
      <c r="M69" s="6"/>
    </row>
    <row r="70" spans="1:13" ht="14.25" customHeight="1">
      <c r="A70" s="6"/>
      <c r="F70" s="6"/>
      <c r="G70" s="6"/>
      <c r="H70" s="6"/>
      <c r="M70" s="6"/>
    </row>
    <row r="71" spans="1:13" ht="14.25" customHeight="1">
      <c r="A71" s="6"/>
      <c r="F71" s="6"/>
      <c r="G71" s="6"/>
      <c r="H71" s="6"/>
      <c r="M71" s="6"/>
    </row>
    <row r="72" spans="1:13" ht="14.25" customHeight="1">
      <c r="A72" s="6"/>
      <c r="F72" s="6"/>
      <c r="G72" s="6"/>
      <c r="H72" s="6"/>
      <c r="M72" s="6"/>
    </row>
    <row r="73" spans="1:13" ht="14.25" customHeight="1">
      <c r="A73" s="6"/>
      <c r="F73" s="6"/>
      <c r="G73" s="6"/>
      <c r="H73" s="6"/>
      <c r="M73" s="6"/>
    </row>
    <row r="74" spans="1:13" ht="14.25" customHeight="1">
      <c r="A74" s="6"/>
      <c r="F74" s="6"/>
      <c r="G74" s="6"/>
      <c r="H74" s="6"/>
      <c r="M74" s="6"/>
    </row>
    <row r="75" spans="1:13" ht="14.25" customHeight="1">
      <c r="A75" s="6"/>
      <c r="F75" s="6"/>
      <c r="G75" s="6"/>
      <c r="H75" s="6"/>
      <c r="M75" s="6"/>
    </row>
    <row r="76" spans="1:13" ht="14.25" customHeight="1">
      <c r="A76" s="6"/>
      <c r="F76" s="6"/>
      <c r="G76" s="6"/>
      <c r="H76" s="6"/>
      <c r="M76" s="6"/>
    </row>
    <row r="77" spans="1:13" ht="14.25" customHeight="1">
      <c r="A77" s="6"/>
      <c r="F77" s="6"/>
      <c r="G77" s="6"/>
      <c r="H77" s="6"/>
      <c r="M77" s="6"/>
    </row>
    <row r="78" spans="1:13" ht="14.25" customHeight="1">
      <c r="A78" s="6"/>
      <c r="F78" s="6"/>
      <c r="G78" s="6"/>
      <c r="H78" s="6"/>
      <c r="M78" s="6"/>
    </row>
    <row r="79" spans="1:13" ht="14.25" customHeight="1">
      <c r="A79" s="6"/>
      <c r="F79" s="6"/>
      <c r="G79" s="6"/>
      <c r="H79" s="6"/>
      <c r="M79" s="6"/>
    </row>
    <row r="80" spans="1:13" ht="14.25" customHeight="1">
      <c r="A80" s="6"/>
      <c r="F80" s="6"/>
      <c r="G80" s="6"/>
      <c r="H80" s="6"/>
      <c r="M80" s="6"/>
    </row>
    <row r="81" spans="1:13" ht="14.25" customHeight="1">
      <c r="A81" s="6"/>
      <c r="F81" s="6"/>
      <c r="G81" s="6"/>
      <c r="H81" s="6"/>
      <c r="M81" s="6"/>
    </row>
    <row r="82" spans="1:13" ht="14.25" customHeight="1">
      <c r="A82" s="6"/>
      <c r="F82" s="6"/>
      <c r="G82" s="6"/>
      <c r="H82" s="6"/>
      <c r="M82" s="6"/>
    </row>
    <row r="83" spans="1:13" ht="14.25" customHeight="1">
      <c r="A83" s="6"/>
      <c r="F83" s="6"/>
      <c r="G83" s="6"/>
      <c r="H83" s="6"/>
      <c r="M83" s="6"/>
    </row>
    <row r="84" spans="1:13" ht="14.25" customHeight="1">
      <c r="A84" s="6"/>
      <c r="F84" s="6"/>
      <c r="G84" s="6"/>
      <c r="H84" s="6"/>
      <c r="M84" s="6"/>
    </row>
    <row r="85" spans="1:13" ht="14.25" customHeight="1">
      <c r="A85" s="6"/>
      <c r="F85" s="6"/>
      <c r="G85" s="6"/>
      <c r="H85" s="6"/>
      <c r="M85" s="6"/>
    </row>
    <row r="86" spans="1:13" ht="14.25" customHeight="1">
      <c r="A86" s="6"/>
      <c r="F86" s="6"/>
      <c r="G86" s="6"/>
      <c r="H86" s="6"/>
      <c r="M86" s="6"/>
    </row>
    <row r="87" spans="1:13" ht="14.25" customHeight="1">
      <c r="A87" s="6"/>
      <c r="F87" s="6"/>
      <c r="G87" s="6"/>
      <c r="H87" s="6"/>
      <c r="M87" s="6"/>
    </row>
    <row r="88" spans="1:13" ht="14.25" customHeight="1">
      <c r="A88" s="6"/>
      <c r="F88" s="6"/>
      <c r="G88" s="6"/>
      <c r="H88" s="6"/>
      <c r="M88" s="6"/>
    </row>
    <row r="89" spans="1:13" ht="14.25" customHeight="1">
      <c r="A89" s="6"/>
      <c r="F89" s="6"/>
      <c r="G89" s="6"/>
      <c r="H89" s="6"/>
      <c r="M89" s="6"/>
    </row>
    <row r="90" spans="1:13" ht="14.25" customHeight="1">
      <c r="A90" s="6"/>
      <c r="F90" s="6"/>
      <c r="G90" s="6"/>
      <c r="H90" s="6"/>
      <c r="M90" s="6"/>
    </row>
    <row r="91" spans="1:13" ht="14.25" customHeight="1">
      <c r="A91" s="6"/>
      <c r="F91" s="6"/>
      <c r="G91" s="6"/>
      <c r="H91" s="6"/>
      <c r="M91" s="6"/>
    </row>
    <row r="92" spans="1:13" ht="14.25" customHeight="1">
      <c r="A92" s="6"/>
      <c r="F92" s="6"/>
      <c r="G92" s="6"/>
      <c r="H92" s="6"/>
      <c r="M92" s="6"/>
    </row>
    <row r="93" spans="1:13" ht="14.25" customHeight="1">
      <c r="A93" s="6"/>
      <c r="F93" s="6"/>
      <c r="G93" s="6"/>
      <c r="H93" s="6"/>
      <c r="M93" s="6"/>
    </row>
    <row r="94" spans="1:13" ht="14.25" customHeight="1">
      <c r="A94" s="6"/>
      <c r="F94" s="6"/>
      <c r="G94" s="6"/>
      <c r="H94" s="6"/>
      <c r="M94" s="6"/>
    </row>
    <row r="95" spans="1:13" ht="14.25" customHeight="1">
      <c r="A95" s="6"/>
      <c r="F95" s="6"/>
      <c r="G95" s="6"/>
      <c r="H95" s="6"/>
      <c r="M95" s="6"/>
    </row>
    <row r="96" spans="1:13" ht="14.25" customHeight="1">
      <c r="A96" s="6"/>
      <c r="F96" s="6"/>
      <c r="G96" s="6"/>
      <c r="H96" s="6"/>
      <c r="M96" s="6"/>
    </row>
    <row r="97" spans="1:13" ht="14.25" customHeight="1">
      <c r="A97" s="6"/>
      <c r="F97" s="6"/>
      <c r="G97" s="6"/>
      <c r="H97" s="6"/>
      <c r="M97" s="6"/>
    </row>
    <row r="98" spans="1:13" ht="14.25" customHeight="1">
      <c r="A98" s="6"/>
      <c r="F98" s="6"/>
      <c r="G98" s="6"/>
      <c r="H98" s="6"/>
      <c r="M98" s="6"/>
    </row>
    <row r="99" spans="1:13" ht="14.25" customHeight="1">
      <c r="A99" s="6"/>
      <c r="F99" s="6"/>
      <c r="G99" s="6"/>
      <c r="H99" s="6"/>
      <c r="M99" s="6"/>
    </row>
    <row r="100" spans="1:13" ht="14.25" customHeight="1">
      <c r="A100" s="6"/>
      <c r="F100" s="6"/>
      <c r="G100" s="6"/>
      <c r="H100" s="6"/>
      <c r="M100" s="6"/>
    </row>
    <row r="101" spans="1:13" ht="14.25" customHeight="1">
      <c r="A101" s="6"/>
      <c r="F101" s="6"/>
      <c r="G101" s="6"/>
      <c r="H101" s="6"/>
      <c r="M101" s="6"/>
    </row>
    <row r="102" spans="1:13" ht="14.25" customHeight="1">
      <c r="A102" s="6"/>
      <c r="F102" s="6"/>
      <c r="G102" s="6"/>
      <c r="H102" s="6"/>
      <c r="M102" s="6"/>
    </row>
    <row r="103" spans="1:13" ht="14.25" customHeight="1">
      <c r="A103" s="6"/>
      <c r="F103" s="6"/>
      <c r="G103" s="6"/>
      <c r="H103" s="6"/>
      <c r="M103" s="6"/>
    </row>
    <row r="104" spans="1:13" ht="14.25" customHeight="1">
      <c r="A104" s="6"/>
      <c r="F104" s="6"/>
      <c r="G104" s="6"/>
      <c r="H104" s="6"/>
      <c r="M104" s="6"/>
    </row>
    <row r="105" spans="1:13" ht="14.25" customHeight="1">
      <c r="A105" s="6"/>
      <c r="F105" s="6"/>
      <c r="G105" s="6"/>
      <c r="H105" s="6"/>
      <c r="M105" s="6"/>
    </row>
    <row r="106" spans="1:13" ht="14.25" customHeight="1">
      <c r="A106" s="6"/>
      <c r="F106" s="6"/>
      <c r="G106" s="6"/>
      <c r="H106" s="6"/>
      <c r="M106" s="6"/>
    </row>
    <row r="107" spans="1:13" ht="14.25" customHeight="1">
      <c r="A107" s="6"/>
      <c r="F107" s="6"/>
      <c r="G107" s="6"/>
      <c r="H107" s="6"/>
      <c r="M107" s="6"/>
    </row>
    <row r="108" spans="1:13" ht="14.25" customHeight="1">
      <c r="A108" s="6"/>
      <c r="F108" s="6"/>
      <c r="G108" s="6"/>
      <c r="H108" s="6"/>
      <c r="M108" s="6"/>
    </row>
    <row r="109" spans="1:13" ht="14.25" customHeight="1">
      <c r="A109" s="6"/>
      <c r="F109" s="6"/>
      <c r="G109" s="6"/>
      <c r="H109" s="6"/>
      <c r="M109" s="6"/>
    </row>
    <row r="110" spans="1:13" ht="14.25" customHeight="1">
      <c r="A110" s="6"/>
      <c r="F110" s="6"/>
      <c r="G110" s="6"/>
      <c r="H110" s="6"/>
      <c r="M110" s="6"/>
    </row>
    <row r="111" spans="1:13" ht="14.25" customHeight="1">
      <c r="A111" s="6"/>
      <c r="F111" s="6"/>
      <c r="G111" s="6"/>
      <c r="H111" s="6"/>
      <c r="M111" s="6"/>
    </row>
    <row r="112" spans="1:13" ht="14.25" customHeight="1">
      <c r="A112" s="6"/>
      <c r="F112" s="6"/>
      <c r="G112" s="6"/>
      <c r="H112" s="6"/>
      <c r="M112" s="6"/>
    </row>
    <row r="113" spans="1:13" ht="14.25" customHeight="1">
      <c r="A113" s="6"/>
      <c r="F113" s="6"/>
      <c r="G113" s="6"/>
      <c r="H113" s="6"/>
      <c r="M113" s="6"/>
    </row>
    <row r="114" spans="1:13" ht="14.25" customHeight="1">
      <c r="A114" s="6"/>
      <c r="F114" s="6"/>
      <c r="G114" s="6"/>
      <c r="H114" s="6"/>
      <c r="M114" s="6"/>
    </row>
    <row r="115" spans="1:13" ht="14.25" customHeight="1">
      <c r="A115" s="6"/>
      <c r="F115" s="6"/>
      <c r="G115" s="6"/>
      <c r="H115" s="6"/>
      <c r="M115" s="6"/>
    </row>
    <row r="116" spans="1:13" ht="14.25" customHeight="1">
      <c r="A116" s="6"/>
      <c r="F116" s="6"/>
      <c r="G116" s="6"/>
      <c r="H116" s="6"/>
      <c r="M116" s="6"/>
    </row>
    <row r="117" spans="1:13" ht="14.25" customHeight="1">
      <c r="A117" s="6"/>
      <c r="F117" s="6"/>
      <c r="G117" s="6"/>
      <c r="H117" s="6"/>
      <c r="M117" s="6"/>
    </row>
    <row r="118" spans="1:13" ht="14.25" customHeight="1">
      <c r="A118" s="6"/>
      <c r="F118" s="6"/>
      <c r="G118" s="6"/>
      <c r="H118" s="6"/>
      <c r="M118" s="6"/>
    </row>
    <row r="119" spans="1:13" ht="14.25" customHeight="1">
      <c r="A119" s="6"/>
      <c r="F119" s="6"/>
      <c r="G119" s="6"/>
      <c r="H119" s="6"/>
      <c r="M119" s="6"/>
    </row>
    <row r="120" spans="1:13" ht="14.25" customHeight="1">
      <c r="A120" s="6"/>
      <c r="F120" s="6"/>
      <c r="G120" s="6"/>
      <c r="H120" s="6"/>
      <c r="M120" s="6"/>
    </row>
    <row r="121" spans="1:13" ht="14.25" customHeight="1">
      <c r="A121" s="6"/>
      <c r="F121" s="6"/>
      <c r="G121" s="6"/>
      <c r="H121" s="6"/>
      <c r="M121" s="6"/>
    </row>
    <row r="122" spans="1:13" ht="14.25" customHeight="1">
      <c r="A122" s="6"/>
      <c r="F122" s="6"/>
      <c r="G122" s="6"/>
      <c r="H122" s="6"/>
      <c r="M122" s="6"/>
    </row>
    <row r="123" spans="1:13" ht="14.25" customHeight="1">
      <c r="A123" s="6"/>
      <c r="F123" s="6"/>
      <c r="G123" s="6"/>
      <c r="H123" s="6"/>
      <c r="M123" s="6"/>
    </row>
    <row r="124" spans="1:13" ht="14.25" customHeight="1">
      <c r="A124" s="6"/>
      <c r="F124" s="6"/>
      <c r="G124" s="6"/>
      <c r="H124" s="6"/>
      <c r="M124" s="6"/>
    </row>
    <row r="125" spans="1:13" ht="14.25" customHeight="1">
      <c r="A125" s="6"/>
      <c r="F125" s="6"/>
      <c r="G125" s="6"/>
      <c r="H125" s="6"/>
      <c r="M125" s="6"/>
    </row>
    <row r="126" spans="1:13" ht="14.25" customHeight="1">
      <c r="A126" s="6"/>
      <c r="F126" s="6"/>
      <c r="G126" s="6"/>
      <c r="H126" s="6"/>
      <c r="M126" s="6"/>
    </row>
    <row r="127" spans="1:13" ht="14.25" customHeight="1">
      <c r="A127" s="6"/>
      <c r="F127" s="6"/>
      <c r="G127" s="6"/>
      <c r="H127" s="6"/>
      <c r="M127" s="6"/>
    </row>
    <row r="128" spans="1:13" ht="14.25" customHeight="1">
      <c r="A128" s="6"/>
      <c r="F128" s="6"/>
      <c r="G128" s="6"/>
      <c r="H128" s="6"/>
      <c r="M128" s="6"/>
    </row>
    <row r="129" spans="1:13" ht="14.25" customHeight="1">
      <c r="A129" s="6"/>
      <c r="F129" s="6"/>
      <c r="G129" s="6"/>
      <c r="H129" s="6"/>
      <c r="M129" s="6"/>
    </row>
    <row r="130" spans="1:13" ht="14.25" customHeight="1">
      <c r="A130" s="6"/>
      <c r="F130" s="6"/>
      <c r="G130" s="6"/>
      <c r="H130" s="6"/>
      <c r="M130" s="6"/>
    </row>
    <row r="131" spans="1:13" ht="14.25" customHeight="1">
      <c r="A131" s="6"/>
      <c r="F131" s="6"/>
      <c r="G131" s="6"/>
      <c r="H131" s="6"/>
      <c r="M131" s="6"/>
    </row>
    <row r="132" spans="1:13" ht="14.25" customHeight="1">
      <c r="A132" s="6"/>
      <c r="F132" s="6"/>
      <c r="G132" s="6"/>
      <c r="H132" s="6"/>
      <c r="M132" s="6"/>
    </row>
    <row r="133" spans="1:13" ht="14.25" customHeight="1">
      <c r="A133" s="6"/>
      <c r="F133" s="6"/>
      <c r="G133" s="6"/>
      <c r="H133" s="6"/>
      <c r="M133" s="6"/>
    </row>
    <row r="134" spans="1:13" ht="14.25" customHeight="1">
      <c r="A134" s="6"/>
      <c r="F134" s="6"/>
      <c r="G134" s="6"/>
      <c r="H134" s="6"/>
      <c r="M134" s="6"/>
    </row>
    <row r="135" spans="1:13" ht="14.25" customHeight="1">
      <c r="A135" s="6"/>
      <c r="F135" s="6"/>
      <c r="G135" s="6"/>
      <c r="H135" s="6"/>
      <c r="M135" s="6"/>
    </row>
    <row r="136" spans="1:13" ht="14.25" customHeight="1">
      <c r="A136" s="6"/>
      <c r="F136" s="6"/>
      <c r="G136" s="6"/>
      <c r="H136" s="6"/>
      <c r="M136" s="6"/>
    </row>
    <row r="137" spans="1:13" ht="14.25" customHeight="1">
      <c r="A137" s="6"/>
      <c r="F137" s="6"/>
      <c r="G137" s="6"/>
      <c r="H137" s="6"/>
      <c r="M137" s="6"/>
    </row>
    <row r="138" spans="1:13" ht="14.25" customHeight="1">
      <c r="A138" s="6"/>
      <c r="F138" s="6"/>
      <c r="G138" s="6"/>
      <c r="H138" s="6"/>
      <c r="M138" s="6"/>
    </row>
    <row r="139" spans="1:13" ht="14.25" customHeight="1">
      <c r="A139" s="6"/>
      <c r="F139" s="6"/>
      <c r="G139" s="6"/>
      <c r="H139" s="6"/>
      <c r="M139" s="6"/>
    </row>
    <row r="140" spans="1:13" ht="14.25" customHeight="1">
      <c r="A140" s="6"/>
      <c r="F140" s="6"/>
      <c r="G140" s="6"/>
      <c r="H140" s="6"/>
      <c r="M140" s="6"/>
    </row>
    <row r="141" spans="1:13" ht="14.25" customHeight="1">
      <c r="A141" s="6"/>
      <c r="F141" s="6"/>
      <c r="G141" s="6"/>
      <c r="H141" s="6"/>
      <c r="M141" s="6"/>
    </row>
    <row r="142" spans="1:13" ht="14.25" customHeight="1">
      <c r="A142" s="6"/>
      <c r="F142" s="6"/>
      <c r="G142" s="6"/>
      <c r="H142" s="6"/>
      <c r="M142" s="6"/>
    </row>
    <row r="143" spans="1:13" ht="14.25" customHeight="1">
      <c r="A143" s="6"/>
      <c r="F143" s="6"/>
      <c r="G143" s="6"/>
      <c r="H143" s="6"/>
      <c r="M143" s="6"/>
    </row>
    <row r="144" spans="1:13" ht="14.25" customHeight="1">
      <c r="A144" s="6"/>
      <c r="F144" s="6"/>
      <c r="G144" s="6"/>
      <c r="H144" s="6"/>
      <c r="M144" s="6"/>
    </row>
    <row r="145" spans="1:13" ht="14.25" customHeight="1">
      <c r="A145" s="6"/>
      <c r="F145" s="6"/>
      <c r="G145" s="6"/>
      <c r="H145" s="6"/>
      <c r="M145" s="6"/>
    </row>
    <row r="146" spans="1:13" ht="14.25" customHeight="1">
      <c r="A146" s="6"/>
      <c r="F146" s="6"/>
      <c r="G146" s="6"/>
      <c r="H146" s="6"/>
      <c r="M146" s="6"/>
    </row>
    <row r="147" spans="1:13" ht="14.25" customHeight="1">
      <c r="A147" s="6"/>
      <c r="F147" s="6"/>
      <c r="G147" s="6"/>
      <c r="H147" s="6"/>
      <c r="M147" s="6"/>
    </row>
    <row r="148" spans="1:13" ht="14.25" customHeight="1">
      <c r="A148" s="6"/>
      <c r="F148" s="6"/>
      <c r="G148" s="6"/>
      <c r="H148" s="6"/>
      <c r="M148" s="6"/>
    </row>
    <row r="149" spans="1:13" ht="14.25" customHeight="1">
      <c r="A149" s="6"/>
      <c r="F149" s="6"/>
      <c r="G149" s="6"/>
      <c r="H149" s="6"/>
      <c r="M149" s="6"/>
    </row>
    <row r="150" spans="1:13" ht="14.25" customHeight="1">
      <c r="A150" s="6"/>
      <c r="F150" s="6"/>
      <c r="G150" s="6"/>
      <c r="H150" s="6"/>
      <c r="M150" s="6"/>
    </row>
    <row r="151" spans="1:13" ht="14.25" customHeight="1">
      <c r="A151" s="6"/>
      <c r="F151" s="6"/>
      <c r="G151" s="6"/>
      <c r="H151" s="6"/>
      <c r="M151" s="6"/>
    </row>
    <row r="152" spans="1:13" ht="14.25" customHeight="1">
      <c r="A152" s="6"/>
      <c r="F152" s="6"/>
      <c r="G152" s="6"/>
      <c r="H152" s="6"/>
      <c r="M152" s="6"/>
    </row>
    <row r="153" spans="1:13" ht="14.25" customHeight="1">
      <c r="A153" s="6"/>
      <c r="F153" s="6"/>
      <c r="G153" s="6"/>
      <c r="H153" s="6"/>
      <c r="M153" s="6"/>
    </row>
    <row r="154" spans="1:13" ht="14.25" customHeight="1">
      <c r="A154" s="6"/>
      <c r="F154" s="6"/>
      <c r="G154" s="6"/>
      <c r="H154" s="6"/>
      <c r="M154" s="6"/>
    </row>
    <row r="155" spans="1:13" ht="14.25" customHeight="1">
      <c r="A155" s="6"/>
      <c r="F155" s="6"/>
      <c r="G155" s="6"/>
      <c r="H155" s="6"/>
      <c r="M155" s="6"/>
    </row>
    <row r="156" spans="1:13" ht="14.25" customHeight="1">
      <c r="A156" s="6"/>
      <c r="F156" s="6"/>
      <c r="G156" s="6"/>
      <c r="H156" s="6"/>
      <c r="M156" s="6"/>
    </row>
    <row r="157" spans="1:13" ht="14.25" customHeight="1">
      <c r="A157" s="6"/>
      <c r="F157" s="6"/>
      <c r="G157" s="6"/>
      <c r="H157" s="6"/>
      <c r="M157" s="6"/>
    </row>
    <row r="158" spans="1:13" ht="14.25" customHeight="1">
      <c r="A158" s="6"/>
      <c r="F158" s="6"/>
      <c r="G158" s="6"/>
      <c r="H158" s="6"/>
      <c r="M158" s="6"/>
    </row>
    <row r="159" spans="1:13" ht="14.25" customHeight="1">
      <c r="A159" s="6"/>
      <c r="F159" s="6"/>
      <c r="G159" s="6"/>
      <c r="H159" s="6"/>
      <c r="M159" s="6"/>
    </row>
    <row r="160" spans="1:13" ht="14.25" customHeight="1">
      <c r="A160" s="6"/>
      <c r="F160" s="6"/>
      <c r="G160" s="6"/>
      <c r="H160" s="6"/>
      <c r="M160" s="6"/>
    </row>
    <row r="161" spans="1:13" ht="14.25" customHeight="1">
      <c r="A161" s="6"/>
      <c r="F161" s="6"/>
      <c r="G161" s="6"/>
      <c r="H161" s="6"/>
      <c r="M161" s="6"/>
    </row>
    <row r="162" spans="1:13" ht="14.25" customHeight="1">
      <c r="A162" s="6"/>
      <c r="F162" s="6"/>
      <c r="G162" s="6"/>
      <c r="H162" s="6"/>
      <c r="M162" s="6"/>
    </row>
    <row r="163" spans="1:13" ht="14.25" customHeight="1">
      <c r="A163" s="6"/>
      <c r="F163" s="6"/>
      <c r="G163" s="6"/>
      <c r="H163" s="6"/>
      <c r="M163" s="6"/>
    </row>
    <row r="164" spans="1:13" ht="14.25" customHeight="1">
      <c r="A164" s="6"/>
      <c r="F164" s="6"/>
      <c r="G164" s="6"/>
      <c r="H164" s="6"/>
      <c r="M164" s="6"/>
    </row>
    <row r="165" spans="1:13" ht="14.25" customHeight="1">
      <c r="A165" s="6"/>
      <c r="F165" s="6"/>
      <c r="G165" s="6"/>
      <c r="H165" s="6"/>
      <c r="M165" s="6"/>
    </row>
    <row r="166" spans="1:13" ht="14.25" customHeight="1">
      <c r="A166" s="6"/>
      <c r="F166" s="6"/>
      <c r="G166" s="6"/>
      <c r="H166" s="6"/>
      <c r="M166" s="6"/>
    </row>
    <row r="167" spans="1:13" ht="14.25" customHeight="1">
      <c r="A167" s="6"/>
      <c r="F167" s="6"/>
      <c r="G167" s="6"/>
      <c r="H167" s="6"/>
      <c r="M167" s="6"/>
    </row>
    <row r="168" spans="1:13" ht="14.25" customHeight="1">
      <c r="A168" s="6"/>
      <c r="F168" s="6"/>
      <c r="G168" s="6"/>
      <c r="H168" s="6"/>
      <c r="M168" s="6"/>
    </row>
    <row r="169" spans="1:13" ht="14.25" customHeight="1">
      <c r="A169" s="6"/>
      <c r="F169" s="6"/>
      <c r="G169" s="6"/>
      <c r="H169" s="6"/>
      <c r="M169" s="6"/>
    </row>
    <row r="170" spans="1:13" ht="14.25" customHeight="1">
      <c r="A170" s="6"/>
      <c r="F170" s="6"/>
      <c r="G170" s="6"/>
      <c r="H170" s="6"/>
      <c r="M170" s="6"/>
    </row>
    <row r="171" spans="1:13" ht="14.25" customHeight="1">
      <c r="A171" s="6"/>
      <c r="F171" s="6"/>
      <c r="G171" s="6"/>
      <c r="H171" s="6"/>
      <c r="M171" s="6"/>
    </row>
    <row r="172" spans="1:13" ht="14.25" customHeight="1">
      <c r="A172" s="6"/>
      <c r="F172" s="6"/>
      <c r="G172" s="6"/>
      <c r="H172" s="6"/>
      <c r="M172" s="6"/>
    </row>
    <row r="173" spans="1:13" ht="14.25" customHeight="1">
      <c r="A173" s="6"/>
      <c r="F173" s="6"/>
      <c r="G173" s="6"/>
      <c r="H173" s="6"/>
      <c r="M173" s="6"/>
    </row>
    <row r="174" spans="1:13" ht="14.25" customHeight="1">
      <c r="A174" s="6"/>
      <c r="F174" s="6"/>
      <c r="G174" s="6"/>
      <c r="H174" s="6"/>
      <c r="M174" s="6"/>
    </row>
    <row r="175" spans="1:13" ht="14.25" customHeight="1">
      <c r="A175" s="6"/>
      <c r="F175" s="6"/>
      <c r="G175" s="6"/>
      <c r="H175" s="6"/>
      <c r="M175" s="6"/>
    </row>
    <row r="176" spans="1:13" ht="14.25" customHeight="1">
      <c r="A176" s="6"/>
      <c r="F176" s="6"/>
      <c r="G176" s="6"/>
      <c r="H176" s="6"/>
      <c r="M176" s="6"/>
    </row>
    <row r="177" spans="1:13" ht="14.25" customHeight="1">
      <c r="A177" s="6"/>
      <c r="F177" s="6"/>
      <c r="G177" s="6"/>
      <c r="H177" s="6"/>
      <c r="M177" s="6"/>
    </row>
    <row r="178" spans="1:13" ht="14.25" customHeight="1">
      <c r="A178" s="6"/>
      <c r="F178" s="6"/>
      <c r="G178" s="6"/>
      <c r="H178" s="6"/>
      <c r="M178" s="6"/>
    </row>
    <row r="179" spans="1:13" ht="14.25" customHeight="1">
      <c r="A179" s="6"/>
      <c r="F179" s="6"/>
      <c r="G179" s="6"/>
      <c r="H179" s="6"/>
      <c r="M179" s="6"/>
    </row>
    <row r="180" spans="1:13" ht="14.25" customHeight="1">
      <c r="A180" s="6"/>
      <c r="F180" s="6"/>
      <c r="G180" s="6"/>
      <c r="H180" s="6"/>
      <c r="M180" s="6"/>
    </row>
    <row r="181" spans="1:13" ht="14.25" customHeight="1">
      <c r="A181" s="6"/>
      <c r="F181" s="6"/>
      <c r="G181" s="6"/>
      <c r="H181" s="6"/>
      <c r="M181" s="6"/>
    </row>
    <row r="182" spans="1:13" ht="14.25" customHeight="1">
      <c r="A182" s="6"/>
      <c r="F182" s="6"/>
      <c r="G182" s="6"/>
      <c r="H182" s="6"/>
      <c r="M182" s="6"/>
    </row>
    <row r="183" spans="1:13" ht="14.25" customHeight="1">
      <c r="A183" s="6"/>
      <c r="F183" s="6"/>
      <c r="G183" s="6"/>
      <c r="H183" s="6"/>
      <c r="M183" s="6"/>
    </row>
    <row r="184" spans="1:13" ht="14.25" customHeight="1">
      <c r="A184" s="6"/>
      <c r="F184" s="6"/>
      <c r="G184" s="6"/>
      <c r="H184" s="6"/>
      <c r="M184" s="6"/>
    </row>
    <row r="185" spans="1:13" ht="14.25" customHeight="1">
      <c r="A185" s="6"/>
      <c r="F185" s="6"/>
      <c r="G185" s="6"/>
      <c r="H185" s="6"/>
      <c r="M185" s="6"/>
    </row>
    <row r="186" spans="1:13" ht="14.25" customHeight="1">
      <c r="A186" s="6"/>
      <c r="F186" s="6"/>
      <c r="G186" s="6"/>
      <c r="H186" s="6"/>
      <c r="M186" s="6"/>
    </row>
    <row r="187" spans="1:13" ht="14.25" customHeight="1">
      <c r="A187" s="6"/>
      <c r="F187" s="6"/>
      <c r="G187" s="6"/>
      <c r="H187" s="6"/>
      <c r="M187" s="6"/>
    </row>
    <row r="188" spans="1:13" ht="14.25" customHeight="1">
      <c r="A188" s="6"/>
      <c r="F188" s="6"/>
      <c r="G188" s="6"/>
      <c r="H188" s="6"/>
      <c r="M188" s="6"/>
    </row>
    <row r="189" spans="1:13" ht="14.25" customHeight="1">
      <c r="A189" s="6"/>
      <c r="F189" s="6"/>
      <c r="G189" s="6"/>
      <c r="H189" s="6"/>
      <c r="M189" s="6"/>
    </row>
    <row r="190" spans="1:13" ht="14.25" customHeight="1">
      <c r="A190" s="6"/>
      <c r="F190" s="6"/>
      <c r="G190" s="6"/>
      <c r="H190" s="6"/>
      <c r="M190" s="6"/>
    </row>
    <row r="191" spans="1:13" ht="14.25" customHeight="1">
      <c r="A191" s="6"/>
      <c r="F191" s="6"/>
      <c r="G191" s="6"/>
      <c r="H191" s="6"/>
      <c r="M191" s="6"/>
    </row>
    <row r="192" spans="1:13" ht="14.25" customHeight="1">
      <c r="A192" s="6"/>
      <c r="F192" s="6"/>
      <c r="G192" s="6"/>
      <c r="H192" s="6"/>
      <c r="M192" s="6"/>
    </row>
    <row r="193" spans="1:13" ht="14.25" customHeight="1">
      <c r="A193" s="6"/>
      <c r="F193" s="6"/>
      <c r="G193" s="6"/>
      <c r="H193" s="6"/>
      <c r="M193" s="6"/>
    </row>
    <row r="194" spans="1:13" ht="14.25" customHeight="1">
      <c r="A194" s="6"/>
      <c r="F194" s="6"/>
      <c r="G194" s="6"/>
      <c r="H194" s="6"/>
      <c r="M194" s="6"/>
    </row>
    <row r="195" spans="1:13" ht="14.25" customHeight="1">
      <c r="A195" s="6"/>
      <c r="F195" s="6"/>
      <c r="G195" s="6"/>
      <c r="H195" s="6"/>
      <c r="M195" s="6"/>
    </row>
    <row r="196" spans="1:13" ht="14.25" customHeight="1">
      <c r="A196" s="6"/>
      <c r="F196" s="6"/>
      <c r="G196" s="6"/>
      <c r="H196" s="6"/>
      <c r="M196" s="6"/>
    </row>
    <row r="197" spans="1:13" ht="14.25" customHeight="1">
      <c r="A197" s="6"/>
      <c r="F197" s="6"/>
      <c r="G197" s="6"/>
      <c r="H197" s="6"/>
      <c r="M197" s="6"/>
    </row>
    <row r="198" spans="1:13" ht="14.25" customHeight="1">
      <c r="A198" s="6"/>
      <c r="F198" s="6"/>
      <c r="G198" s="6"/>
      <c r="H198" s="6"/>
      <c r="M198" s="6"/>
    </row>
    <row r="199" spans="1:13" ht="14.25" customHeight="1">
      <c r="A199" s="6"/>
      <c r="F199" s="6"/>
      <c r="G199" s="6"/>
      <c r="H199" s="6"/>
      <c r="M199" s="6"/>
    </row>
    <row r="200" spans="1:13" ht="14.25" customHeight="1">
      <c r="A200" s="6"/>
      <c r="F200" s="6"/>
      <c r="G200" s="6"/>
      <c r="H200" s="6"/>
      <c r="M200" s="6"/>
    </row>
    <row r="201" spans="1:13" ht="14.25" customHeight="1">
      <c r="A201" s="6"/>
      <c r="F201" s="6"/>
      <c r="G201" s="6"/>
      <c r="H201" s="6"/>
      <c r="M201" s="6"/>
    </row>
    <row r="202" spans="1:13" ht="14.25" customHeight="1">
      <c r="A202" s="6"/>
      <c r="F202" s="6"/>
      <c r="G202" s="6"/>
      <c r="H202" s="6"/>
      <c r="M202" s="6"/>
    </row>
    <row r="203" spans="1:13" ht="14.25" customHeight="1">
      <c r="A203" s="6"/>
      <c r="F203" s="6"/>
      <c r="G203" s="6"/>
      <c r="H203" s="6"/>
      <c r="M203" s="6"/>
    </row>
    <row r="204" spans="1:13" ht="14.25" customHeight="1">
      <c r="A204" s="6"/>
      <c r="F204" s="6"/>
      <c r="G204" s="6"/>
      <c r="H204" s="6"/>
      <c r="M204" s="6"/>
    </row>
    <row r="205" spans="1:13" ht="14.25" customHeight="1">
      <c r="A205" s="6"/>
      <c r="F205" s="6"/>
      <c r="G205" s="6"/>
      <c r="H205" s="6"/>
      <c r="M205" s="6"/>
    </row>
    <row r="206" spans="1:13" ht="14.25" customHeight="1">
      <c r="A206" s="6"/>
      <c r="F206" s="6"/>
      <c r="G206" s="6"/>
      <c r="H206" s="6"/>
      <c r="M206" s="6"/>
    </row>
    <row r="207" spans="1:13" ht="14.25" customHeight="1">
      <c r="A207" s="6"/>
      <c r="F207" s="6"/>
      <c r="G207" s="6"/>
      <c r="H207" s="6"/>
      <c r="M207" s="6"/>
    </row>
    <row r="208" spans="1:13" ht="14.25" customHeight="1">
      <c r="A208" s="6"/>
      <c r="F208" s="6"/>
      <c r="G208" s="6"/>
      <c r="H208" s="6"/>
      <c r="M208" s="6"/>
    </row>
    <row r="209" spans="1:13" ht="14.25" customHeight="1">
      <c r="A209" s="6"/>
      <c r="F209" s="6"/>
      <c r="G209" s="6"/>
      <c r="H209" s="6"/>
      <c r="M209" s="6"/>
    </row>
    <row r="210" spans="1:13" ht="14.25" customHeight="1">
      <c r="A210" s="6"/>
      <c r="F210" s="6"/>
      <c r="G210" s="6"/>
      <c r="H210" s="6"/>
      <c r="M210" s="6"/>
    </row>
    <row r="211" spans="1:13" ht="14.25" customHeight="1">
      <c r="A211" s="6"/>
      <c r="F211" s="6"/>
      <c r="G211" s="6"/>
      <c r="H211" s="6"/>
      <c r="M211" s="6"/>
    </row>
    <row r="212" spans="1:13" ht="14.25" customHeight="1">
      <c r="A212" s="6"/>
      <c r="F212" s="6"/>
      <c r="G212" s="6"/>
      <c r="H212" s="6"/>
      <c r="M212" s="6"/>
    </row>
    <row r="213" spans="1:13" ht="14.25" customHeight="1">
      <c r="A213" s="6"/>
      <c r="F213" s="6"/>
      <c r="G213" s="6"/>
      <c r="H213" s="6"/>
      <c r="M213" s="6"/>
    </row>
    <row r="214" spans="1:13" ht="14.25" customHeight="1">
      <c r="A214" s="6"/>
      <c r="F214" s="6"/>
      <c r="G214" s="6"/>
      <c r="H214" s="6"/>
      <c r="M214" s="6"/>
    </row>
    <row r="215" spans="1:13" ht="14.25" customHeight="1">
      <c r="A215" s="6"/>
      <c r="F215" s="6"/>
      <c r="G215" s="6"/>
      <c r="H215" s="6"/>
      <c r="M215" s="6"/>
    </row>
    <row r="216" spans="1:13" ht="14.25" customHeight="1">
      <c r="A216" s="6"/>
      <c r="F216" s="6"/>
      <c r="G216" s="6"/>
      <c r="H216" s="6"/>
      <c r="M216" s="6"/>
    </row>
    <row r="217" spans="1:13" ht="14.25" customHeight="1">
      <c r="A217" s="6"/>
      <c r="F217" s="6"/>
      <c r="G217" s="6"/>
      <c r="H217" s="6"/>
      <c r="M217" s="6"/>
    </row>
    <row r="218" spans="1:13" ht="14.25" customHeight="1">
      <c r="A218" s="6"/>
      <c r="F218" s="6"/>
      <c r="G218" s="6"/>
      <c r="H218" s="6"/>
      <c r="M218" s="6"/>
    </row>
    <row r="219" spans="1:13" ht="14.25" customHeight="1">
      <c r="A219" s="6"/>
      <c r="F219" s="6"/>
      <c r="G219" s="6"/>
      <c r="H219" s="6"/>
      <c r="M219" s="6"/>
    </row>
    <row r="220" spans="1:13" ht="14.25" customHeight="1">
      <c r="A220" s="6"/>
      <c r="F220" s="6"/>
      <c r="G220" s="6"/>
      <c r="H220" s="6"/>
      <c r="M220" s="6"/>
    </row>
    <row r="221" spans="1:13" ht="14.25" customHeight="1">
      <c r="A221" s="6"/>
      <c r="F221" s="6"/>
      <c r="G221" s="6"/>
      <c r="H221" s="6"/>
      <c r="M221" s="6"/>
    </row>
    <row r="222" spans="1:13" ht="14.25" customHeight="1">
      <c r="A222" s="6"/>
      <c r="F222" s="6"/>
      <c r="G222" s="6"/>
      <c r="H222" s="6"/>
      <c r="M222" s="6"/>
    </row>
    <row r="223" spans="1:13" ht="14.25" customHeight="1">
      <c r="A223" s="6"/>
      <c r="F223" s="6"/>
      <c r="G223" s="6"/>
      <c r="H223" s="6"/>
      <c r="M223" s="6"/>
    </row>
    <row r="224" spans="1:13" ht="14.25" customHeight="1">
      <c r="A224" s="6"/>
      <c r="F224" s="6"/>
      <c r="G224" s="6"/>
      <c r="H224" s="6"/>
      <c r="M224" s="6"/>
    </row>
    <row r="225" spans="1:13" ht="14.25" customHeight="1">
      <c r="A225" s="6"/>
      <c r="F225" s="6"/>
      <c r="G225" s="6"/>
      <c r="H225" s="6"/>
      <c r="M225" s="6"/>
    </row>
    <row r="226" spans="1:13" ht="14.25" customHeight="1">
      <c r="A226" s="6"/>
      <c r="F226" s="6"/>
      <c r="G226" s="6"/>
      <c r="H226" s="6"/>
      <c r="M226" s="6"/>
    </row>
    <row r="227" spans="1:13" ht="14.25" customHeight="1">
      <c r="A227" s="6"/>
      <c r="F227" s="6"/>
      <c r="G227" s="6"/>
      <c r="H227" s="6"/>
      <c r="M227" s="6"/>
    </row>
    <row r="228" spans="1:13" ht="14.25" customHeight="1">
      <c r="A228" s="6"/>
      <c r="F228" s="6"/>
      <c r="G228" s="6"/>
      <c r="H228" s="6"/>
      <c r="M228" s="6"/>
    </row>
    <row r="229" spans="1:13" ht="14.25" customHeight="1">
      <c r="A229" s="6"/>
      <c r="F229" s="6"/>
      <c r="G229" s="6"/>
      <c r="H229" s="6"/>
      <c r="M229" s="6"/>
    </row>
    <row r="230" spans="1:13" ht="14.25" customHeight="1">
      <c r="A230" s="6"/>
      <c r="F230" s="6"/>
      <c r="G230" s="6"/>
      <c r="H230" s="6"/>
      <c r="M230" s="6"/>
    </row>
    <row r="231" spans="1:13" ht="14.25" customHeight="1">
      <c r="A231" s="6"/>
      <c r="F231" s="6"/>
      <c r="G231" s="6"/>
      <c r="H231" s="6"/>
      <c r="M231" s="6"/>
    </row>
    <row r="232" spans="1:13" ht="15.75" customHeight="1"/>
    <row r="233" spans="1:13" ht="15.75" customHeight="1"/>
    <row r="234" spans="1:13" ht="15.75" customHeight="1"/>
    <row r="235" spans="1:13" ht="15.75" customHeight="1"/>
    <row r="236" spans="1:13" ht="15.75" customHeight="1"/>
    <row r="237" spans="1:13" ht="15.75" customHeight="1"/>
    <row r="238" spans="1:13" ht="15.75" customHeight="1"/>
    <row r="239" spans="1:13" ht="15.75" customHeight="1"/>
    <row r="240" spans="1:13"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J2:L2"/>
    <mergeCell ref="J3:L3"/>
    <mergeCell ref="A2:A3"/>
    <mergeCell ref="B2:B3"/>
    <mergeCell ref="C2:C3"/>
    <mergeCell ref="F2:F3"/>
    <mergeCell ref="G2:G3"/>
    <mergeCell ref="D24:E24"/>
    <mergeCell ref="F24:F27"/>
    <mergeCell ref="I24:J27"/>
    <mergeCell ref="B30:E30"/>
    <mergeCell ref="B31:E34"/>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prompt="Invalid - Invalid" xr:uid="{00000000-0002-0000-0700-000000000000}">
          <x14:formula1>
            <xm:f>'Lookup Tables'!$C$9:$C$10</xm:f>
          </x14:formula1>
          <xm:sqref>D3:E3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000"/>
  <sheetViews>
    <sheetView workbookViewId="0"/>
  </sheetViews>
  <sheetFormatPr defaultColWidth="14.41796875" defaultRowHeight="15" customHeight="1"/>
  <cols>
    <col min="1" max="1" width="9.15625" customWidth="1"/>
    <col min="2" max="2" width="8.68359375" customWidth="1"/>
    <col min="3" max="3" width="14.68359375" customWidth="1"/>
    <col min="4" max="26" width="8.68359375" customWidth="1"/>
  </cols>
  <sheetData>
    <row r="1" spans="1:23" ht="14.25" customHeight="1">
      <c r="A1" s="185" t="s">
        <v>65</v>
      </c>
      <c r="B1" s="186"/>
      <c r="C1" s="186"/>
      <c r="D1" s="186"/>
      <c r="E1" s="186"/>
      <c r="F1" s="186"/>
      <c r="G1" s="186"/>
      <c r="H1" s="186"/>
      <c r="I1" s="186"/>
      <c r="J1" s="186"/>
      <c r="K1" s="186"/>
      <c r="L1" s="186"/>
      <c r="M1" s="186"/>
      <c r="N1" s="186"/>
      <c r="O1" s="186"/>
      <c r="P1" s="186"/>
      <c r="Q1" s="186"/>
      <c r="R1" s="186"/>
      <c r="S1" s="186"/>
      <c r="T1" s="186"/>
      <c r="U1" s="186"/>
      <c r="V1" s="186"/>
      <c r="W1" s="169"/>
    </row>
    <row r="2" spans="1:23" ht="14.25" customHeight="1">
      <c r="A2" s="187"/>
      <c r="B2" s="179"/>
      <c r="C2" s="179"/>
      <c r="D2" s="179"/>
      <c r="E2" s="179"/>
      <c r="F2" s="179"/>
      <c r="G2" s="179"/>
      <c r="H2" s="179"/>
      <c r="I2" s="179"/>
      <c r="J2" s="179"/>
      <c r="K2" s="179"/>
      <c r="L2" s="179"/>
      <c r="M2" s="179"/>
      <c r="N2" s="179"/>
      <c r="O2" s="179"/>
      <c r="P2" s="179"/>
      <c r="Q2" s="179"/>
      <c r="R2" s="179"/>
      <c r="S2" s="179"/>
      <c r="T2" s="179"/>
      <c r="U2" s="179"/>
      <c r="V2" s="179"/>
      <c r="W2" s="180"/>
    </row>
    <row r="3" spans="1:23" ht="14.25" customHeight="1">
      <c r="A3" s="37" t="s">
        <v>66</v>
      </c>
      <c r="B3" s="188" t="s">
        <v>67</v>
      </c>
      <c r="C3" s="130"/>
      <c r="D3" s="188" t="s">
        <v>68</v>
      </c>
      <c r="E3" s="129"/>
      <c r="F3" s="129"/>
      <c r="G3" s="129"/>
      <c r="H3" s="129"/>
      <c r="I3" s="129"/>
      <c r="J3" s="129"/>
      <c r="K3" s="129"/>
      <c r="L3" s="129"/>
      <c r="M3" s="130"/>
      <c r="N3" s="188" t="s">
        <v>69</v>
      </c>
      <c r="O3" s="129"/>
      <c r="P3" s="129"/>
      <c r="Q3" s="129"/>
      <c r="R3" s="129"/>
      <c r="S3" s="129"/>
      <c r="T3" s="129"/>
      <c r="U3" s="129"/>
      <c r="V3" s="129"/>
      <c r="W3" s="130"/>
    </row>
    <row r="4" spans="1:23" ht="43.5" customHeight="1">
      <c r="A4" s="38" t="e">
        <f>#REF!</f>
        <v>#REF!</v>
      </c>
      <c r="B4" s="189" t="e">
        <f>IF(#REF!=0,"",#REF! &amp; " - " &amp;#REF!)</f>
        <v>#REF!</v>
      </c>
      <c r="C4" s="190"/>
      <c r="D4" s="191"/>
      <c r="E4" s="192"/>
      <c r="F4" s="192"/>
      <c r="G4" s="192"/>
      <c r="H4" s="192"/>
      <c r="I4" s="192"/>
      <c r="J4" s="192"/>
      <c r="K4" s="192"/>
      <c r="L4" s="192"/>
      <c r="M4" s="190"/>
      <c r="N4" s="191"/>
      <c r="O4" s="192"/>
      <c r="P4" s="192"/>
      <c r="Q4" s="192"/>
      <c r="R4" s="192"/>
      <c r="S4" s="192"/>
      <c r="T4" s="192"/>
      <c r="U4" s="192"/>
      <c r="V4" s="192"/>
      <c r="W4" s="190"/>
    </row>
    <row r="5" spans="1:23" ht="43.5" customHeight="1">
      <c r="A5" s="39" t="e">
        <f>#REF!</f>
        <v>#REF!</v>
      </c>
      <c r="B5" s="196" t="e">
        <f>IF(#REF!=0,"",#REF! &amp; " - " &amp;#REF!)</f>
        <v>#REF!</v>
      </c>
      <c r="C5" s="197"/>
      <c r="D5" s="198"/>
      <c r="E5" s="120"/>
      <c r="F5" s="120"/>
      <c r="G5" s="120"/>
      <c r="H5" s="120"/>
      <c r="I5" s="120"/>
      <c r="J5" s="120"/>
      <c r="K5" s="120"/>
      <c r="L5" s="120"/>
      <c r="M5" s="197"/>
      <c r="N5" s="198"/>
      <c r="O5" s="120"/>
      <c r="P5" s="120"/>
      <c r="Q5" s="120"/>
      <c r="R5" s="120"/>
      <c r="S5" s="120"/>
      <c r="T5" s="120"/>
      <c r="U5" s="120"/>
      <c r="V5" s="120"/>
      <c r="W5" s="197"/>
    </row>
    <row r="6" spans="1:23" ht="43.5" customHeight="1">
      <c r="A6" s="39" t="e">
        <f>#REF!</f>
        <v>#REF!</v>
      </c>
      <c r="B6" s="196" t="e">
        <f>IF(#REF!=0,"",#REF! &amp; " - " &amp;#REF!)</f>
        <v>#REF!</v>
      </c>
      <c r="C6" s="197"/>
      <c r="D6" s="198"/>
      <c r="E6" s="120"/>
      <c r="F6" s="120"/>
      <c r="G6" s="120"/>
      <c r="H6" s="120"/>
      <c r="I6" s="120"/>
      <c r="J6" s="120"/>
      <c r="K6" s="120"/>
      <c r="L6" s="120"/>
      <c r="M6" s="197"/>
      <c r="N6" s="198"/>
      <c r="O6" s="120"/>
      <c r="P6" s="120"/>
      <c r="Q6" s="120"/>
      <c r="R6" s="120"/>
      <c r="S6" s="120"/>
      <c r="T6" s="120"/>
      <c r="U6" s="120"/>
      <c r="V6" s="120"/>
      <c r="W6" s="197"/>
    </row>
    <row r="7" spans="1:23" ht="43.5" customHeight="1">
      <c r="A7" s="40" t="e">
        <f>#REF!</f>
        <v>#REF!</v>
      </c>
      <c r="B7" s="199" t="e">
        <f>IF(#REF!=0,"",#REF! &amp; " - " &amp;#REF!)</f>
        <v>#REF!</v>
      </c>
      <c r="C7" s="200"/>
      <c r="D7" s="193"/>
      <c r="E7" s="194"/>
      <c r="F7" s="194"/>
      <c r="G7" s="194"/>
      <c r="H7" s="194"/>
      <c r="I7" s="194"/>
      <c r="J7" s="194"/>
      <c r="K7" s="194"/>
      <c r="L7" s="194"/>
      <c r="M7" s="195"/>
      <c r="N7" s="193"/>
      <c r="O7" s="194"/>
      <c r="P7" s="194"/>
      <c r="Q7" s="194"/>
      <c r="R7" s="194"/>
      <c r="S7" s="194"/>
      <c r="T7" s="194"/>
      <c r="U7" s="194"/>
      <c r="V7" s="194"/>
      <c r="W7" s="195"/>
    </row>
    <row r="8" spans="1:23" ht="43.5" customHeight="1">
      <c r="A8" s="38" t="e">
        <f>#REF!</f>
        <v>#REF!</v>
      </c>
      <c r="B8" s="189" t="e">
        <f>IF(#REF!=0,"",#REF! &amp; " - " &amp;#REF!)</f>
        <v>#REF!</v>
      </c>
      <c r="C8" s="190"/>
      <c r="D8" s="191"/>
      <c r="E8" s="192"/>
      <c r="F8" s="192"/>
      <c r="G8" s="192"/>
      <c r="H8" s="192"/>
      <c r="I8" s="192"/>
      <c r="J8" s="192"/>
      <c r="K8" s="192"/>
      <c r="L8" s="192"/>
      <c r="M8" s="190"/>
      <c r="N8" s="191"/>
      <c r="O8" s="192"/>
      <c r="P8" s="192"/>
      <c r="Q8" s="192"/>
      <c r="R8" s="192"/>
      <c r="S8" s="192"/>
      <c r="T8" s="192"/>
      <c r="U8" s="192"/>
      <c r="V8" s="192"/>
      <c r="W8" s="190"/>
    </row>
    <row r="9" spans="1:23" ht="43.5" customHeight="1">
      <c r="A9" s="39" t="e">
        <f>#REF!</f>
        <v>#REF!</v>
      </c>
      <c r="B9" s="196" t="e">
        <f>IF(#REF!=0,"",#REF! &amp; " - " &amp;#REF!)</f>
        <v>#REF!</v>
      </c>
      <c r="C9" s="197"/>
      <c r="D9" s="201"/>
      <c r="E9" s="120"/>
      <c r="F9" s="120"/>
      <c r="G9" s="120"/>
      <c r="H9" s="120"/>
      <c r="I9" s="120"/>
      <c r="J9" s="120"/>
      <c r="K9" s="120"/>
      <c r="L9" s="120"/>
      <c r="M9" s="197"/>
      <c r="N9" s="201"/>
      <c r="O9" s="120"/>
      <c r="P9" s="120"/>
      <c r="Q9" s="120"/>
      <c r="R9" s="120"/>
      <c r="S9" s="120"/>
      <c r="T9" s="120"/>
      <c r="U9" s="120"/>
      <c r="V9" s="120"/>
      <c r="W9" s="197"/>
    </row>
    <row r="10" spans="1:23" ht="43.5" customHeight="1">
      <c r="A10" s="39" t="e">
        <f>#REF!</f>
        <v>#REF!</v>
      </c>
      <c r="B10" s="196" t="e">
        <f>IF(#REF!=0,"",#REF! &amp; " - " &amp;#REF!)</f>
        <v>#REF!</v>
      </c>
      <c r="C10" s="197"/>
      <c r="D10" s="201"/>
      <c r="E10" s="120"/>
      <c r="F10" s="120"/>
      <c r="G10" s="120"/>
      <c r="H10" s="120"/>
      <c r="I10" s="120"/>
      <c r="J10" s="120"/>
      <c r="K10" s="120"/>
      <c r="L10" s="120"/>
      <c r="M10" s="197"/>
      <c r="N10" s="201"/>
      <c r="O10" s="120"/>
      <c r="P10" s="120"/>
      <c r="Q10" s="120"/>
      <c r="R10" s="120"/>
      <c r="S10" s="120"/>
      <c r="T10" s="120"/>
      <c r="U10" s="120"/>
      <c r="V10" s="120"/>
      <c r="W10" s="197"/>
    </row>
    <row r="11" spans="1:23" ht="43.5" customHeight="1">
      <c r="A11" s="40" t="e">
        <f>#REF!</f>
        <v>#REF!</v>
      </c>
      <c r="B11" s="199" t="e">
        <f>IF(#REF!=0,"",#REF! &amp; " - " &amp;#REF!)</f>
        <v>#REF!</v>
      </c>
      <c r="C11" s="200"/>
      <c r="D11" s="193"/>
      <c r="E11" s="194"/>
      <c r="F11" s="194"/>
      <c r="G11" s="194"/>
      <c r="H11" s="194"/>
      <c r="I11" s="194"/>
      <c r="J11" s="194"/>
      <c r="K11" s="194"/>
      <c r="L11" s="194"/>
      <c r="M11" s="195"/>
      <c r="N11" s="193"/>
      <c r="O11" s="194"/>
      <c r="P11" s="194"/>
      <c r="Q11" s="194"/>
      <c r="R11" s="194"/>
      <c r="S11" s="194"/>
      <c r="T11" s="194"/>
      <c r="U11" s="194"/>
      <c r="V11" s="194"/>
      <c r="W11" s="195"/>
    </row>
    <row r="12" spans="1:23" ht="43.5" customHeight="1">
      <c r="A12" s="38" t="e">
        <f>#REF!</f>
        <v>#REF!</v>
      </c>
      <c r="B12" s="189" t="e">
        <f>IF(#REF!=0,"",#REF! &amp; " - " &amp;#REF!)</f>
        <v>#REF!</v>
      </c>
      <c r="C12" s="190"/>
      <c r="D12" s="191"/>
      <c r="E12" s="192"/>
      <c r="F12" s="192"/>
      <c r="G12" s="192"/>
      <c r="H12" s="192"/>
      <c r="I12" s="192"/>
      <c r="J12" s="192"/>
      <c r="K12" s="192"/>
      <c r="L12" s="192"/>
      <c r="M12" s="190"/>
      <c r="N12" s="191"/>
      <c r="O12" s="192"/>
      <c r="P12" s="192"/>
      <c r="Q12" s="192"/>
      <c r="R12" s="192"/>
      <c r="S12" s="192"/>
      <c r="T12" s="192"/>
      <c r="U12" s="192"/>
      <c r="V12" s="192"/>
      <c r="W12" s="190"/>
    </row>
    <row r="13" spans="1:23" ht="43.5" customHeight="1">
      <c r="A13" s="39" t="e">
        <f>#REF!</f>
        <v>#REF!</v>
      </c>
      <c r="B13" s="196" t="e">
        <f>IF(#REF!=0,"",#REF! &amp; " - " &amp;#REF!)</f>
        <v>#REF!</v>
      </c>
      <c r="C13" s="197"/>
      <c r="D13" s="198"/>
      <c r="E13" s="120"/>
      <c r="F13" s="120"/>
      <c r="G13" s="120"/>
      <c r="H13" s="120"/>
      <c r="I13" s="120"/>
      <c r="J13" s="120"/>
      <c r="K13" s="120"/>
      <c r="L13" s="120"/>
      <c r="M13" s="197"/>
      <c r="N13" s="198"/>
      <c r="O13" s="120"/>
      <c r="P13" s="120"/>
      <c r="Q13" s="120"/>
      <c r="R13" s="120"/>
      <c r="S13" s="120"/>
      <c r="T13" s="120"/>
      <c r="U13" s="120"/>
      <c r="V13" s="120"/>
      <c r="W13" s="197"/>
    </row>
    <row r="14" spans="1:23" ht="43.5" customHeight="1">
      <c r="A14" s="39" t="e">
        <f>#REF!</f>
        <v>#REF!</v>
      </c>
      <c r="B14" s="196" t="e">
        <f>IF(#REF!=0,"",#REF! &amp; " - " &amp;#REF!)</f>
        <v>#REF!</v>
      </c>
      <c r="C14" s="197"/>
      <c r="D14" s="198"/>
      <c r="E14" s="120"/>
      <c r="F14" s="120"/>
      <c r="G14" s="120"/>
      <c r="H14" s="120"/>
      <c r="I14" s="120"/>
      <c r="J14" s="120"/>
      <c r="K14" s="120"/>
      <c r="L14" s="120"/>
      <c r="M14" s="197"/>
      <c r="N14" s="198"/>
      <c r="O14" s="120"/>
      <c r="P14" s="120"/>
      <c r="Q14" s="120"/>
      <c r="R14" s="120"/>
      <c r="S14" s="120"/>
      <c r="T14" s="120"/>
      <c r="U14" s="120"/>
      <c r="V14" s="120"/>
      <c r="W14" s="197"/>
    </row>
    <row r="15" spans="1:23" ht="41.25" customHeight="1">
      <c r="A15" s="41" t="e">
        <f>#REF!</f>
        <v>#REF!</v>
      </c>
      <c r="B15" s="202" t="e">
        <f>IF(#REF!=0,"",#REF! &amp; " - " &amp;#REF!)</f>
        <v>#REF!</v>
      </c>
      <c r="C15" s="195"/>
      <c r="D15" s="193"/>
      <c r="E15" s="194"/>
      <c r="F15" s="194"/>
      <c r="G15" s="194"/>
      <c r="H15" s="194"/>
      <c r="I15" s="194"/>
      <c r="J15" s="194"/>
      <c r="K15" s="194"/>
      <c r="L15" s="194"/>
      <c r="M15" s="195"/>
      <c r="N15" s="193"/>
      <c r="O15" s="194"/>
      <c r="P15" s="194"/>
      <c r="Q15" s="194"/>
      <c r="R15" s="194"/>
      <c r="S15" s="194"/>
      <c r="T15" s="194"/>
      <c r="U15" s="194"/>
      <c r="V15" s="194"/>
      <c r="W15" s="195"/>
    </row>
    <row r="16" spans="1: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0">
    <mergeCell ref="B15:C15"/>
    <mergeCell ref="D15:M15"/>
    <mergeCell ref="N15:W15"/>
    <mergeCell ref="B11:C11"/>
    <mergeCell ref="D11:M11"/>
    <mergeCell ref="N11:W11"/>
    <mergeCell ref="B12:C12"/>
    <mergeCell ref="D12:M12"/>
    <mergeCell ref="N12:W12"/>
    <mergeCell ref="B13:C13"/>
    <mergeCell ref="D13:M13"/>
    <mergeCell ref="N13:W13"/>
    <mergeCell ref="B14:C14"/>
    <mergeCell ref="D14:M14"/>
    <mergeCell ref="N14:W14"/>
    <mergeCell ref="D10:M10"/>
    <mergeCell ref="N10:W10"/>
    <mergeCell ref="B8:C8"/>
    <mergeCell ref="D8:M8"/>
    <mergeCell ref="N8:W8"/>
    <mergeCell ref="B9:C9"/>
    <mergeCell ref="D9:M9"/>
    <mergeCell ref="N9:W9"/>
    <mergeCell ref="B10:C10"/>
    <mergeCell ref="D7:M7"/>
    <mergeCell ref="N7:W7"/>
    <mergeCell ref="B5:C5"/>
    <mergeCell ref="D5:M5"/>
    <mergeCell ref="N5:W5"/>
    <mergeCell ref="B6:C6"/>
    <mergeCell ref="D6:M6"/>
    <mergeCell ref="N6:W6"/>
    <mergeCell ref="B7:C7"/>
    <mergeCell ref="A1:W2"/>
    <mergeCell ref="B3:C3"/>
    <mergeCell ref="D3:M3"/>
    <mergeCell ref="N3:W3"/>
    <mergeCell ref="B4:C4"/>
    <mergeCell ref="D4:M4"/>
    <mergeCell ref="N4:W4"/>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4.41796875" defaultRowHeight="15" customHeight="1"/>
  <cols>
    <col min="1" max="2" width="9.15625" customWidth="1"/>
    <col min="3" max="4" width="24" customWidth="1"/>
    <col min="5" max="5" width="29.26171875" customWidth="1"/>
    <col min="6" max="7" width="25.68359375" customWidth="1"/>
    <col min="8" max="26" width="9.15625" customWidth="1"/>
  </cols>
  <sheetData>
    <row r="1" spans="1:26" ht="14.25" customHeight="1"/>
    <row r="2" spans="1:26" ht="14.25" customHeight="1"/>
    <row r="3" spans="1:26" ht="14.25" customHeight="1">
      <c r="A3" s="42"/>
      <c r="B3" s="203" t="s">
        <v>70</v>
      </c>
      <c r="C3" s="127"/>
      <c r="D3" s="127"/>
      <c r="E3" s="127"/>
      <c r="F3" s="127"/>
      <c r="G3" s="127"/>
      <c r="H3" s="43"/>
      <c r="I3" s="43"/>
      <c r="J3" s="43"/>
      <c r="K3" s="43"/>
      <c r="L3" s="43"/>
      <c r="M3" s="43"/>
      <c r="N3" s="42"/>
      <c r="O3" s="42"/>
      <c r="P3" s="42"/>
      <c r="Q3" s="42"/>
      <c r="R3" s="42"/>
      <c r="S3" s="42"/>
      <c r="T3" s="42"/>
      <c r="U3" s="42"/>
      <c r="V3" s="42"/>
      <c r="W3" s="42"/>
      <c r="X3" s="42"/>
      <c r="Y3" s="42"/>
      <c r="Z3" s="42"/>
    </row>
    <row r="4" spans="1:26" ht="14.25" customHeight="1">
      <c r="B4" s="204" t="s">
        <v>71</v>
      </c>
      <c r="C4" s="120"/>
      <c r="D4" s="120"/>
      <c r="E4" s="120"/>
      <c r="F4" s="120"/>
      <c r="G4" s="121"/>
      <c r="H4" s="44"/>
      <c r="I4" s="44"/>
      <c r="J4" s="44"/>
      <c r="K4" s="44"/>
      <c r="L4" s="44"/>
      <c r="M4" s="44"/>
      <c r="N4" s="45"/>
      <c r="O4" s="45"/>
      <c r="P4" s="45"/>
      <c r="Q4" s="45"/>
      <c r="R4" s="45"/>
      <c r="S4" s="45"/>
    </row>
    <row r="5" spans="1:26" ht="14.25" customHeight="1">
      <c r="A5" s="46"/>
      <c r="B5" s="47" t="s">
        <v>72</v>
      </c>
      <c r="C5" s="47" t="s">
        <v>73</v>
      </c>
      <c r="D5" s="48" t="s">
        <v>74</v>
      </c>
      <c r="E5" s="48" t="s">
        <v>75</v>
      </c>
      <c r="F5" s="48" t="s">
        <v>76</v>
      </c>
      <c r="G5" s="48" t="s">
        <v>77</v>
      </c>
      <c r="H5" s="46"/>
      <c r="I5" s="46"/>
      <c r="J5" s="46"/>
      <c r="K5" s="46"/>
      <c r="L5" s="46"/>
      <c r="M5" s="46"/>
      <c r="N5" s="46"/>
      <c r="O5" s="46"/>
      <c r="P5" s="46"/>
      <c r="Q5" s="46"/>
      <c r="R5" s="46"/>
      <c r="S5" s="46"/>
      <c r="T5" s="46"/>
      <c r="U5" s="46"/>
      <c r="V5" s="46"/>
      <c r="W5" s="46"/>
      <c r="X5" s="46"/>
      <c r="Y5" s="46"/>
      <c r="Z5" s="46"/>
    </row>
    <row r="6" spans="1:26" ht="14.25" customHeight="1">
      <c r="B6" s="5">
        <v>4.0999999999999996</v>
      </c>
      <c r="C6" s="49" t="s">
        <v>78</v>
      </c>
      <c r="D6" s="49" t="s">
        <v>79</v>
      </c>
      <c r="E6" s="50" t="s">
        <v>80</v>
      </c>
      <c r="F6" s="49" t="s">
        <v>81</v>
      </c>
      <c r="G6" s="49" t="s">
        <v>82</v>
      </c>
    </row>
    <row r="7" spans="1:26" ht="14.25" customHeight="1">
      <c r="B7" s="5">
        <v>4.2</v>
      </c>
      <c r="C7" s="49" t="s">
        <v>83</v>
      </c>
      <c r="D7" s="49" t="s">
        <v>84</v>
      </c>
      <c r="E7" s="50" t="s">
        <v>85</v>
      </c>
      <c r="F7" s="49" t="s">
        <v>86</v>
      </c>
      <c r="G7" s="49" t="s">
        <v>87</v>
      </c>
    </row>
    <row r="8" spans="1:26" ht="14.25" customHeight="1"/>
    <row r="9" spans="1:26" ht="14.25" customHeight="1"/>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G3"/>
    <mergeCell ref="B4:G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4.41796875" defaultRowHeight="15" customHeight="1"/>
  <cols>
    <col min="1" max="2" width="9.15625" customWidth="1"/>
    <col min="3" max="4" width="24" customWidth="1"/>
    <col min="5" max="5" width="28.41796875" customWidth="1"/>
    <col min="6" max="7" width="25.68359375" customWidth="1"/>
    <col min="8" max="26" width="9.15625" customWidth="1"/>
  </cols>
  <sheetData>
    <row r="1" spans="1:26" ht="14.25" customHeight="1"/>
    <row r="2" spans="1:26" ht="14.25" customHeight="1"/>
    <row r="3" spans="1:26" ht="14.25" customHeight="1">
      <c r="B3" s="203" t="s">
        <v>70</v>
      </c>
      <c r="C3" s="127"/>
      <c r="D3" s="127"/>
      <c r="E3" s="127"/>
      <c r="F3" s="127"/>
      <c r="G3" s="127"/>
      <c r="H3" s="43"/>
      <c r="I3" s="43"/>
      <c r="J3" s="43"/>
      <c r="K3" s="43"/>
      <c r="L3" s="43"/>
      <c r="M3" s="43"/>
    </row>
    <row r="4" spans="1:26" ht="15.75" customHeight="1">
      <c r="A4" s="6"/>
      <c r="B4" s="205" t="s">
        <v>88</v>
      </c>
      <c r="C4" s="120"/>
      <c r="D4" s="120"/>
      <c r="E4" s="120"/>
      <c r="F4" s="120"/>
      <c r="G4" s="121"/>
      <c r="H4" s="51"/>
      <c r="I4" s="51"/>
      <c r="J4" s="51"/>
      <c r="K4" s="51"/>
      <c r="L4" s="51"/>
      <c r="M4" s="51"/>
      <c r="N4" s="52"/>
      <c r="O4" s="52"/>
      <c r="P4" s="52"/>
      <c r="Q4" s="52"/>
      <c r="R4" s="52"/>
      <c r="S4" s="52"/>
      <c r="T4" s="6"/>
      <c r="U4" s="6"/>
      <c r="V4" s="6"/>
      <c r="W4" s="6"/>
      <c r="X4" s="6"/>
      <c r="Y4" s="6"/>
      <c r="Z4" s="6"/>
    </row>
    <row r="5" spans="1:26" ht="14.25" customHeight="1">
      <c r="A5" s="46"/>
      <c r="B5" s="47" t="s">
        <v>72</v>
      </c>
      <c r="C5" s="47" t="s">
        <v>73</v>
      </c>
      <c r="D5" s="48" t="s">
        <v>74</v>
      </c>
      <c r="E5" s="48" t="s">
        <v>75</v>
      </c>
      <c r="F5" s="48" t="s">
        <v>76</v>
      </c>
      <c r="G5" s="48" t="s">
        <v>77</v>
      </c>
      <c r="H5" s="46"/>
      <c r="I5" s="46"/>
      <c r="J5" s="46"/>
      <c r="K5" s="46"/>
      <c r="L5" s="46"/>
      <c r="M5" s="46"/>
      <c r="N5" s="46"/>
      <c r="O5" s="46"/>
      <c r="P5" s="46"/>
      <c r="Q5" s="46"/>
      <c r="R5" s="46"/>
      <c r="S5" s="46"/>
      <c r="T5" s="46"/>
      <c r="U5" s="46"/>
      <c r="V5" s="46"/>
      <c r="W5" s="46"/>
      <c r="X5" s="46"/>
      <c r="Y5" s="46"/>
      <c r="Z5" s="46"/>
    </row>
    <row r="6" spans="1:26" ht="14.25" customHeight="1">
      <c r="B6" s="5">
        <v>4.0999999999999996</v>
      </c>
      <c r="C6" s="53" t="s">
        <v>89</v>
      </c>
      <c r="D6" s="53" t="s">
        <v>90</v>
      </c>
      <c r="E6" s="49" t="s">
        <v>91</v>
      </c>
      <c r="F6" s="49" t="s">
        <v>92</v>
      </c>
      <c r="G6" s="49" t="s">
        <v>93</v>
      </c>
    </row>
    <row r="7" spans="1:26" ht="14.25" customHeight="1">
      <c r="B7" s="5">
        <v>4.2</v>
      </c>
      <c r="C7" s="53" t="s">
        <v>94</v>
      </c>
      <c r="D7" s="49" t="s">
        <v>95</v>
      </c>
      <c r="E7" s="49" t="s">
        <v>96</v>
      </c>
      <c r="F7" s="49" t="s">
        <v>97</v>
      </c>
      <c r="G7" s="49" t="s">
        <v>98</v>
      </c>
    </row>
    <row r="8" spans="1:26" ht="14.25" customHeight="1">
      <c r="B8" s="5">
        <v>4.3</v>
      </c>
      <c r="C8" s="53" t="s">
        <v>99</v>
      </c>
      <c r="D8" s="49" t="s">
        <v>100</v>
      </c>
      <c r="E8" s="49" t="s">
        <v>101</v>
      </c>
      <c r="F8" s="49" t="s">
        <v>102</v>
      </c>
      <c r="G8" s="49" t="s">
        <v>103</v>
      </c>
    </row>
    <row r="9" spans="1:26" ht="14.25" customHeight="1">
      <c r="B9" s="5">
        <v>4.4000000000000004</v>
      </c>
      <c r="C9" s="53" t="s">
        <v>104</v>
      </c>
      <c r="D9" s="49" t="s">
        <v>105</v>
      </c>
      <c r="E9" s="49" t="s">
        <v>106</v>
      </c>
      <c r="F9" s="49" t="s">
        <v>107</v>
      </c>
      <c r="G9" s="49" t="s">
        <v>108</v>
      </c>
    </row>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G3"/>
    <mergeCell ref="B4:G4"/>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sheetViews>
  <sheetFormatPr defaultColWidth="14.41796875" defaultRowHeight="15" customHeight="1"/>
  <cols>
    <col min="1" max="2" width="8.83984375" customWidth="1"/>
    <col min="3" max="3" width="42.15625" customWidth="1"/>
    <col min="4" max="4" width="24" customWidth="1"/>
    <col min="5" max="5" width="29.15625" customWidth="1"/>
    <col min="6" max="6" width="28.578125" customWidth="1"/>
    <col min="7" max="7" width="25.83984375" customWidth="1"/>
    <col min="8" max="26" width="8.83984375" customWidth="1"/>
  </cols>
  <sheetData>
    <row r="1" spans="1:26" ht="14.25" customHeight="1"/>
    <row r="2" spans="1:26" ht="14.25" customHeight="1"/>
    <row r="3" spans="1:26" ht="14.25" customHeight="1">
      <c r="B3" s="203" t="s">
        <v>70</v>
      </c>
      <c r="C3" s="127"/>
      <c r="D3" s="127"/>
      <c r="E3" s="127"/>
      <c r="F3" s="127"/>
      <c r="G3" s="127"/>
      <c r="H3" s="43"/>
      <c r="I3" s="43"/>
      <c r="J3" s="43"/>
      <c r="K3" s="43"/>
      <c r="L3" s="43"/>
      <c r="M3" s="43"/>
    </row>
    <row r="4" spans="1:26" ht="14.25" customHeight="1">
      <c r="B4" s="205" t="s">
        <v>109</v>
      </c>
      <c r="C4" s="120"/>
      <c r="D4" s="120"/>
      <c r="E4" s="120"/>
      <c r="F4" s="120"/>
      <c r="G4" s="121"/>
      <c r="H4" s="44"/>
      <c r="I4" s="44"/>
      <c r="J4" s="44"/>
      <c r="K4" s="44"/>
      <c r="L4" s="44"/>
      <c r="M4" s="44"/>
      <c r="N4" s="45"/>
      <c r="O4" s="45"/>
      <c r="P4" s="45"/>
      <c r="Q4" s="45"/>
      <c r="R4" s="45"/>
      <c r="S4" s="45"/>
    </row>
    <row r="5" spans="1:26" ht="14.25" customHeight="1">
      <c r="A5" s="46"/>
      <c r="B5" s="47" t="s">
        <v>72</v>
      </c>
      <c r="C5" s="47" t="s">
        <v>73</v>
      </c>
      <c r="D5" s="48" t="s">
        <v>74</v>
      </c>
      <c r="E5" s="48" t="s">
        <v>75</v>
      </c>
      <c r="F5" s="48" t="s">
        <v>76</v>
      </c>
      <c r="G5" s="48" t="s">
        <v>77</v>
      </c>
      <c r="H5" s="46"/>
      <c r="I5" s="46"/>
      <c r="J5" s="46"/>
      <c r="K5" s="46"/>
      <c r="L5" s="46"/>
      <c r="M5" s="46"/>
      <c r="N5" s="46"/>
      <c r="O5" s="46"/>
      <c r="P5" s="46"/>
      <c r="Q5" s="46"/>
      <c r="R5" s="46"/>
      <c r="S5" s="46"/>
      <c r="T5" s="46"/>
      <c r="U5" s="46"/>
      <c r="V5" s="46"/>
      <c r="W5" s="46"/>
      <c r="X5" s="46"/>
      <c r="Y5" s="46"/>
      <c r="Z5" s="46"/>
    </row>
    <row r="6" spans="1:26" ht="14.25" customHeight="1">
      <c r="B6" s="5">
        <v>6.1</v>
      </c>
      <c r="C6" s="53" t="s">
        <v>110</v>
      </c>
      <c r="D6" s="53" t="s">
        <v>111</v>
      </c>
      <c r="E6" s="53" t="s">
        <v>112</v>
      </c>
      <c r="F6" s="53" t="s">
        <v>113</v>
      </c>
      <c r="G6" s="53" t="s">
        <v>114</v>
      </c>
    </row>
    <row r="7" spans="1:26" ht="14.25" customHeight="1">
      <c r="B7" s="5">
        <v>6.2</v>
      </c>
      <c r="C7" s="53" t="s">
        <v>115</v>
      </c>
      <c r="D7" s="53" t="s">
        <v>116</v>
      </c>
      <c r="E7" s="53" t="s">
        <v>117</v>
      </c>
      <c r="F7" s="53" t="s">
        <v>118</v>
      </c>
      <c r="G7" s="53" t="s">
        <v>119</v>
      </c>
    </row>
    <row r="8" spans="1:26" ht="14.25" customHeight="1">
      <c r="B8" s="5">
        <v>6.3</v>
      </c>
      <c r="C8" s="53" t="s">
        <v>120</v>
      </c>
      <c r="D8" s="53" t="s">
        <v>121</v>
      </c>
      <c r="E8" s="53" t="s">
        <v>122</v>
      </c>
      <c r="F8" s="53" t="s">
        <v>123</v>
      </c>
      <c r="G8" s="53" t="s">
        <v>124</v>
      </c>
    </row>
    <row r="9" spans="1:26" ht="14.25" customHeight="1">
      <c r="B9" s="5">
        <v>6.4</v>
      </c>
      <c r="C9" s="53" t="s">
        <v>125</v>
      </c>
      <c r="D9" s="53" t="s">
        <v>126</v>
      </c>
      <c r="E9" s="53" t="s">
        <v>127</v>
      </c>
      <c r="F9" s="53" t="s">
        <v>128</v>
      </c>
      <c r="G9" s="53" t="s">
        <v>129</v>
      </c>
    </row>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G3"/>
    <mergeCell ref="B4:G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1796875" defaultRowHeight="15" customHeight="1"/>
  <cols>
    <col min="1" max="2" width="9.15625" customWidth="1"/>
    <col min="3" max="4" width="24" customWidth="1"/>
    <col min="5" max="5" width="29.41796875" customWidth="1"/>
    <col min="6" max="7" width="25.68359375" customWidth="1"/>
    <col min="8" max="26" width="9.15625" customWidth="1"/>
  </cols>
  <sheetData>
    <row r="1" spans="1:26" ht="14.25" customHeight="1"/>
    <row r="2" spans="1:26" ht="14.25" customHeight="1"/>
    <row r="3" spans="1:26" ht="14.25" customHeight="1">
      <c r="B3" s="206" t="s">
        <v>70</v>
      </c>
      <c r="C3" s="207"/>
      <c r="D3" s="207"/>
      <c r="E3" s="207"/>
      <c r="F3" s="207"/>
      <c r="G3" s="208"/>
      <c r="H3" s="43"/>
      <c r="I3" s="43"/>
      <c r="J3" s="43"/>
      <c r="K3" s="43"/>
      <c r="L3" s="43"/>
      <c r="M3" s="43"/>
    </row>
    <row r="4" spans="1:26" ht="14.25" customHeight="1">
      <c r="B4" s="209" t="s">
        <v>130</v>
      </c>
      <c r="C4" s="120"/>
      <c r="D4" s="120"/>
      <c r="E4" s="120"/>
      <c r="F4" s="120"/>
      <c r="G4" s="121"/>
      <c r="H4" s="44"/>
      <c r="I4" s="44"/>
      <c r="J4" s="44"/>
      <c r="K4" s="44"/>
      <c r="L4" s="44"/>
      <c r="M4" s="44"/>
      <c r="N4" s="45"/>
      <c r="O4" s="45"/>
      <c r="P4" s="45"/>
      <c r="Q4" s="45"/>
      <c r="R4" s="45"/>
      <c r="S4" s="45"/>
    </row>
    <row r="5" spans="1:26" ht="14.25" customHeight="1">
      <c r="A5" s="46"/>
      <c r="B5" s="54" t="s">
        <v>72</v>
      </c>
      <c r="C5" s="54" t="s">
        <v>73</v>
      </c>
      <c r="D5" s="55" t="s">
        <v>74</v>
      </c>
      <c r="E5" s="55" t="s">
        <v>75</v>
      </c>
      <c r="F5" s="55" t="s">
        <v>76</v>
      </c>
      <c r="G5" s="55" t="s">
        <v>77</v>
      </c>
      <c r="H5" s="46"/>
      <c r="I5" s="46"/>
      <c r="J5" s="46"/>
      <c r="K5" s="46"/>
      <c r="L5" s="46"/>
      <c r="M5" s="46"/>
      <c r="N5" s="46"/>
      <c r="O5" s="46"/>
      <c r="P5" s="46"/>
      <c r="Q5" s="46"/>
      <c r="R5" s="46"/>
      <c r="S5" s="46"/>
      <c r="T5" s="46"/>
      <c r="U5" s="46"/>
      <c r="V5" s="46"/>
      <c r="W5" s="46"/>
      <c r="X5" s="46"/>
      <c r="Y5" s="46"/>
      <c r="Z5" s="46"/>
    </row>
    <row r="6" spans="1:26" ht="14.25" customHeight="1">
      <c r="B6" s="56">
        <v>7.1</v>
      </c>
      <c r="C6" s="57" t="s">
        <v>131</v>
      </c>
      <c r="D6" s="57" t="s">
        <v>132</v>
      </c>
      <c r="E6" s="57" t="s">
        <v>133</v>
      </c>
      <c r="F6" s="57" t="s">
        <v>134</v>
      </c>
      <c r="G6" s="57" t="s">
        <v>135</v>
      </c>
    </row>
    <row r="7" spans="1:26" ht="14.25" customHeight="1">
      <c r="B7" s="56">
        <v>7.2</v>
      </c>
      <c r="C7" s="57" t="s">
        <v>136</v>
      </c>
      <c r="D7" s="57" t="s">
        <v>137</v>
      </c>
      <c r="E7" s="57" t="s">
        <v>138</v>
      </c>
      <c r="F7" s="57" t="s">
        <v>139</v>
      </c>
      <c r="G7" s="57" t="s">
        <v>140</v>
      </c>
    </row>
    <row r="8" spans="1:26" ht="14.25" customHeight="1">
      <c r="B8" s="56">
        <v>7.3</v>
      </c>
      <c r="C8" s="57" t="s">
        <v>141</v>
      </c>
      <c r="D8" s="57" t="s">
        <v>142</v>
      </c>
      <c r="E8" s="57" t="s">
        <v>143</v>
      </c>
      <c r="F8" s="57" t="s">
        <v>144</v>
      </c>
      <c r="G8" s="57" t="s">
        <v>145</v>
      </c>
    </row>
    <row r="9" spans="1:26" ht="14.25" customHeight="1">
      <c r="B9" s="56">
        <v>7.4</v>
      </c>
      <c r="C9" s="57" t="s">
        <v>146</v>
      </c>
      <c r="D9" s="57" t="s">
        <v>147</v>
      </c>
      <c r="E9" s="57" t="s">
        <v>148</v>
      </c>
      <c r="F9" s="57" t="s">
        <v>149</v>
      </c>
      <c r="G9" s="57" t="s">
        <v>150</v>
      </c>
    </row>
    <row r="10" spans="1:26" ht="14.25" customHeight="1"/>
    <row r="11" spans="1:26" ht="14.25" customHeight="1"/>
    <row r="12" spans="1:26" ht="14.25" customHeight="1"/>
    <row r="13" spans="1:26" ht="14.25" customHeight="1"/>
    <row r="14" spans="1:26" ht="14.25" customHeight="1"/>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3:G3"/>
    <mergeCell ref="B4:G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G1000"/>
  <sheetViews>
    <sheetView workbookViewId="0"/>
  </sheetViews>
  <sheetFormatPr defaultColWidth="14.41796875" defaultRowHeight="15" customHeight="1"/>
  <cols>
    <col min="1" max="2" width="9.15625" customWidth="1"/>
    <col min="3" max="3" width="31.578125" customWidth="1"/>
    <col min="4" max="7" width="26.41796875" customWidth="1"/>
    <col min="8" max="26" width="9.15625" customWidth="1"/>
  </cols>
  <sheetData>
    <row r="1" spans="2:7" ht="14.25" customHeight="1"/>
    <row r="2" spans="2:7" ht="14.25" customHeight="1"/>
    <row r="3" spans="2:7" ht="14.25" customHeight="1"/>
    <row r="4" spans="2:7" ht="14.25" customHeight="1">
      <c r="B4" s="211" t="s">
        <v>151</v>
      </c>
      <c r="C4" s="120"/>
      <c r="D4" s="120"/>
      <c r="E4" s="120"/>
      <c r="F4" s="120"/>
      <c r="G4" s="121"/>
    </row>
    <row r="5" spans="2:7" ht="14.25" customHeight="1">
      <c r="B5" s="211" t="s">
        <v>152</v>
      </c>
      <c r="C5" s="120"/>
      <c r="D5" s="120"/>
      <c r="E5" s="120"/>
      <c r="F5" s="120"/>
      <c r="G5" s="121"/>
    </row>
    <row r="6" spans="2:7" ht="14.25" customHeight="1">
      <c r="B6" s="212"/>
      <c r="C6" s="212" t="s">
        <v>153</v>
      </c>
      <c r="D6" s="213" t="s">
        <v>154</v>
      </c>
      <c r="E6" s="120"/>
      <c r="F6" s="120"/>
      <c r="G6" s="121"/>
    </row>
    <row r="7" spans="2:7" ht="14.25" customHeight="1">
      <c r="B7" s="150"/>
      <c r="C7" s="150"/>
      <c r="D7" s="58" t="s">
        <v>155</v>
      </c>
      <c r="E7" s="58" t="s">
        <v>156</v>
      </c>
      <c r="F7" s="58" t="s">
        <v>157</v>
      </c>
      <c r="G7" s="58" t="s">
        <v>158</v>
      </c>
    </row>
    <row r="8" spans="2:7" ht="14.25" customHeight="1">
      <c r="B8" s="151"/>
      <c r="C8" s="151"/>
      <c r="D8" s="58">
        <v>3</v>
      </c>
      <c r="E8" s="58">
        <v>2</v>
      </c>
      <c r="F8" s="58">
        <v>1</v>
      </c>
      <c r="G8" s="58">
        <v>0</v>
      </c>
    </row>
    <row r="9" spans="2:7" ht="14.25" customHeight="1">
      <c r="B9" s="59">
        <v>8.1</v>
      </c>
      <c r="C9" s="59" t="s">
        <v>159</v>
      </c>
      <c r="D9" s="60" t="s">
        <v>160</v>
      </c>
      <c r="E9" s="60" t="s">
        <v>161</v>
      </c>
      <c r="F9" s="60" t="s">
        <v>162</v>
      </c>
      <c r="G9" s="60" t="s">
        <v>163</v>
      </c>
    </row>
    <row r="10" spans="2:7" ht="14.25" customHeight="1">
      <c r="B10" s="59">
        <v>8.1999999999999993</v>
      </c>
      <c r="C10" s="59" t="s">
        <v>164</v>
      </c>
      <c r="D10" s="60" t="s">
        <v>165</v>
      </c>
      <c r="E10" s="60" t="s">
        <v>166</v>
      </c>
      <c r="F10" s="60" t="s">
        <v>167</v>
      </c>
      <c r="G10" s="60" t="s">
        <v>168</v>
      </c>
    </row>
    <row r="11" spans="2:7" ht="14.25" customHeight="1">
      <c r="B11" s="214">
        <v>8.3000000000000007</v>
      </c>
      <c r="C11" s="214" t="s">
        <v>169</v>
      </c>
      <c r="D11" s="210" t="s">
        <v>170</v>
      </c>
      <c r="E11" s="210" t="s">
        <v>171</v>
      </c>
      <c r="F11" s="210" t="s">
        <v>172</v>
      </c>
      <c r="G11" s="210" t="s">
        <v>173</v>
      </c>
    </row>
    <row r="12" spans="2:7" ht="14.25" hidden="1" customHeight="1">
      <c r="B12" s="151"/>
      <c r="C12" s="151"/>
      <c r="D12" s="151"/>
      <c r="E12" s="151"/>
      <c r="F12" s="151"/>
      <c r="G12" s="151"/>
    </row>
    <row r="13" spans="2:7" ht="14.25" customHeight="1">
      <c r="B13" s="59">
        <v>8.4</v>
      </c>
      <c r="C13" s="59" t="s">
        <v>174</v>
      </c>
      <c r="D13" s="60" t="s">
        <v>175</v>
      </c>
      <c r="E13" s="60" t="s">
        <v>176</v>
      </c>
      <c r="F13" s="60" t="s">
        <v>177</v>
      </c>
      <c r="G13" s="60" t="s">
        <v>178</v>
      </c>
    </row>
    <row r="14" spans="2:7" ht="14.25" customHeight="1"/>
    <row r="15" spans="2:7" ht="14.25" customHeight="1"/>
    <row r="16" spans="2: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1">
    <mergeCell ref="D11:D12"/>
    <mergeCell ref="E11:E12"/>
    <mergeCell ref="F11:F12"/>
    <mergeCell ref="G11:G12"/>
    <mergeCell ref="B4:G4"/>
    <mergeCell ref="B5:G5"/>
    <mergeCell ref="B6:B8"/>
    <mergeCell ref="C6:C8"/>
    <mergeCell ref="D6:G6"/>
    <mergeCell ref="B11:B12"/>
    <mergeCell ref="C11:C1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1:M1000"/>
  <sheetViews>
    <sheetView workbookViewId="0"/>
  </sheetViews>
  <sheetFormatPr defaultColWidth="14.41796875" defaultRowHeight="15" customHeight="1"/>
  <cols>
    <col min="1" max="5" width="8.68359375" customWidth="1"/>
    <col min="6" max="6" width="30.41796875" customWidth="1"/>
    <col min="7" max="7" width="8.68359375" customWidth="1"/>
    <col min="8" max="8" width="9.41796875" customWidth="1"/>
    <col min="9" max="9" width="7.83984375" customWidth="1"/>
    <col min="10" max="11" width="8.68359375" customWidth="1"/>
    <col min="12" max="12" width="12.15625" customWidth="1"/>
    <col min="13" max="13" width="122.41796875" customWidth="1"/>
    <col min="14" max="26" width="8.68359375" customWidth="1"/>
  </cols>
  <sheetData>
    <row r="1" spans="3:13" ht="14.25" customHeight="1">
      <c r="L1" s="28" t="s">
        <v>179</v>
      </c>
      <c r="M1" s="1" t="s">
        <v>180</v>
      </c>
    </row>
    <row r="2" spans="3:13" ht="14.25" customHeight="1">
      <c r="L2" s="28" t="s">
        <v>4</v>
      </c>
      <c r="M2" s="1" t="s">
        <v>181</v>
      </c>
    </row>
    <row r="3" spans="3:13" ht="14.25" customHeight="1">
      <c r="L3" s="28" t="s">
        <v>182</v>
      </c>
      <c r="M3" s="1" t="s">
        <v>183</v>
      </c>
    </row>
    <row r="4" spans="3:13" ht="14.25" customHeight="1">
      <c r="L4" s="28" t="s">
        <v>5</v>
      </c>
      <c r="M4" s="1" t="s">
        <v>184</v>
      </c>
    </row>
    <row r="5" spans="3:13" ht="14.25" customHeight="1">
      <c r="L5" s="28" t="s">
        <v>185</v>
      </c>
      <c r="M5" s="1" t="s">
        <v>186</v>
      </c>
    </row>
    <row r="6" spans="3:13" ht="14.25" customHeight="1">
      <c r="L6" s="28" t="s">
        <v>187</v>
      </c>
      <c r="M6" s="1" t="s">
        <v>188</v>
      </c>
    </row>
    <row r="7" spans="3:13" ht="14.25" customHeight="1">
      <c r="L7" s="28" t="s">
        <v>189</v>
      </c>
      <c r="M7" s="1" t="s">
        <v>190</v>
      </c>
    </row>
    <row r="8" spans="3:13" ht="14.25" customHeight="1">
      <c r="D8" s="215" t="s">
        <v>191</v>
      </c>
      <c r="E8" s="120"/>
      <c r="F8" s="121"/>
      <c r="L8" s="28"/>
    </row>
    <row r="9" spans="3:13" ht="14.25" customHeight="1">
      <c r="C9" s="1">
        <v>0</v>
      </c>
      <c r="D9" s="61">
        <v>0</v>
      </c>
      <c r="E9" s="62" t="s">
        <v>57</v>
      </c>
      <c r="F9" s="63" t="s">
        <v>192</v>
      </c>
    </row>
    <row r="10" spans="3:13" ht="14.25" customHeight="1">
      <c r="C10" s="1">
        <v>1</v>
      </c>
      <c r="D10" s="61">
        <v>1</v>
      </c>
      <c r="E10" s="62" t="s">
        <v>58</v>
      </c>
      <c r="F10" s="63" t="s">
        <v>157</v>
      </c>
    </row>
    <row r="11" spans="3:13" ht="14.25" customHeight="1">
      <c r="C11" s="1">
        <v>2</v>
      </c>
      <c r="D11" s="61">
        <v>2</v>
      </c>
      <c r="E11" s="62" t="s">
        <v>59</v>
      </c>
      <c r="F11" s="63" t="s">
        <v>193</v>
      </c>
    </row>
    <row r="12" spans="3:13" ht="14.25" customHeight="1">
      <c r="C12" s="1">
        <v>3</v>
      </c>
      <c r="D12" s="61">
        <v>3</v>
      </c>
      <c r="E12" s="62" t="s">
        <v>60</v>
      </c>
      <c r="F12" s="63" t="s">
        <v>194</v>
      </c>
      <c r="L12" s="1" t="s">
        <v>195</v>
      </c>
    </row>
    <row r="13" spans="3:13" ht="14.25" customHeight="1">
      <c r="L13" s="1" t="s">
        <v>196</v>
      </c>
    </row>
    <row r="14" spans="3:13" ht="14.25" customHeight="1">
      <c r="L14" s="1" t="s">
        <v>197</v>
      </c>
    </row>
    <row r="15" spans="3:13" ht="14.25" customHeight="1">
      <c r="H15" s="1">
        <v>0</v>
      </c>
      <c r="I15" s="1">
        <v>0</v>
      </c>
      <c r="L15" s="1" t="s">
        <v>9</v>
      </c>
    </row>
    <row r="16" spans="3:13" ht="14.25" customHeight="1">
      <c r="H16" s="1">
        <v>1</v>
      </c>
      <c r="I16" s="1">
        <v>1</v>
      </c>
      <c r="L16" s="1" t="s">
        <v>198</v>
      </c>
    </row>
    <row r="17" spans="4:9" ht="14.25" customHeight="1">
      <c r="I17" s="1">
        <v>2</v>
      </c>
    </row>
    <row r="18" spans="4:9" ht="14.25" customHeight="1">
      <c r="D18" s="216" t="s">
        <v>199</v>
      </c>
      <c r="E18" s="120"/>
      <c r="F18" s="121"/>
      <c r="I18" s="1">
        <v>3</v>
      </c>
    </row>
    <row r="19" spans="4:9" ht="14.25" customHeight="1">
      <c r="D19" s="64">
        <v>59</v>
      </c>
      <c r="E19" s="65" t="s">
        <v>57</v>
      </c>
      <c r="F19" s="66" t="s">
        <v>200</v>
      </c>
    </row>
    <row r="20" spans="4:9" ht="14.25" customHeight="1">
      <c r="D20" s="64">
        <v>69</v>
      </c>
      <c r="E20" s="65" t="s">
        <v>58</v>
      </c>
      <c r="F20" s="66" t="s">
        <v>201</v>
      </c>
    </row>
    <row r="21" spans="4:9" ht="14.25" customHeight="1">
      <c r="D21" s="64">
        <v>84</v>
      </c>
      <c r="E21" s="65" t="s">
        <v>59</v>
      </c>
      <c r="F21" s="66" t="s">
        <v>202</v>
      </c>
    </row>
    <row r="22" spans="4:9" ht="14.25" customHeight="1">
      <c r="D22" s="64">
        <v>100</v>
      </c>
      <c r="E22" s="65" t="s">
        <v>60</v>
      </c>
      <c r="F22" s="66" t="s">
        <v>203</v>
      </c>
    </row>
    <row r="23" spans="4:9" ht="14.25" customHeight="1"/>
    <row r="24" spans="4:9" ht="14.25" customHeight="1"/>
    <row r="25" spans="4:9" ht="14.25" customHeight="1"/>
    <row r="26" spans="4:9" ht="14.25" customHeight="1"/>
    <row r="27" spans="4:9" ht="14.25" customHeight="1"/>
    <row r="28" spans="4:9" ht="14.25" customHeight="1"/>
    <row r="29" spans="4:9" ht="14.25" customHeight="1"/>
    <row r="30" spans="4:9" ht="14.25" customHeight="1"/>
    <row r="31" spans="4:9" ht="14.25" customHeight="1"/>
    <row r="32" spans="4: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D8:F8"/>
    <mergeCell ref="D18:F18"/>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Main</vt:lpstr>
      <vt:lpstr>Rubric</vt:lpstr>
      <vt:lpstr>SO4 Rubric</vt:lpstr>
      <vt:lpstr>SO1 Assessment Results</vt:lpstr>
      <vt:lpstr>SO4 Assessment Results</vt:lpstr>
      <vt:lpstr>Student work Description</vt:lpstr>
      <vt:lpstr>SO4</vt:lpstr>
      <vt:lpstr>SO5</vt:lpstr>
      <vt:lpstr>SO6</vt:lpstr>
      <vt:lpstr>SO7</vt:lpstr>
      <vt:lpstr>SO8</vt:lpstr>
      <vt:lpstr>Lookup Tables</vt:lpstr>
      <vt:lpstr>'SO1 Assessment Results'!Print_Area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Nermeen El Hakim</dc:creator>
  <cp:lastModifiedBy>Maged</cp:lastModifiedBy>
  <cp:lastPrinted>2026-09-10T09:47:06Z</cp:lastPrinted>
  <dcterms:created xsi:type="dcterms:W3CDTF">2012-02-27T07:54:13Z</dcterms:created>
  <dcterms:modified xsi:type="dcterms:W3CDTF">2026-09-10T09:47:16Z</dcterms:modified>
</cp:coreProperties>
</file>