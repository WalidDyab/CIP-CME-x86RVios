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My Drive\Committee Qulaity 26-27\SOs Assessment tools\"/>
    </mc:Choice>
  </mc:AlternateContent>
  <xr:revisionPtr revIDLastSave="0" documentId="13_ncr:1_{2E9FF835-C66A-4AAE-BEAC-E6E98FE1BE9B}" xr6:coauthVersionLast="47" xr6:coauthVersionMax="47" xr10:uidLastSave="{00000000-0000-0000-0000-000000000000}"/>
  <bookViews>
    <workbookView xWindow="-96" yWindow="-96" windowWidth="23232" windowHeight="13872" activeTab="1" xr2:uid="{00000000-000D-0000-FFFF-FFFF00000000}"/>
  </bookViews>
  <sheets>
    <sheet name="Main" sheetId="1" r:id="rId1"/>
    <sheet name=" Rubric" sheetId="5" r:id="rId2"/>
    <sheet name="SO4 Rubric" sheetId="6" state="hidden" r:id="rId3"/>
    <sheet name="SO4 -Assessment Results" sheetId="16" r:id="rId4"/>
    <sheet name="SO4 Assessment Results" sheetId="8" state="hidden" r:id="rId5"/>
    <sheet name="Student work Description" sheetId="9" state="hidden" r:id="rId6"/>
    <sheet name="SO4" sheetId="10" state="hidden" r:id="rId7"/>
    <sheet name="SO5" sheetId="11" state="hidden" r:id="rId8"/>
    <sheet name="SO6" sheetId="12" state="hidden" r:id="rId9"/>
    <sheet name="SO7" sheetId="13" state="hidden" r:id="rId10"/>
    <sheet name="SO8" sheetId="14" state="hidden" r:id="rId11"/>
    <sheet name="Lookup Tables" sheetId="15" state="hidden" r:id="rId12"/>
  </sheets>
  <externalReferences>
    <externalReference r:id="rId13"/>
  </externalReferences>
  <definedNames>
    <definedName name="OutcomesList">'[1]Lookups Tables'!$J$3:$J$12</definedName>
    <definedName name="Percentage">'[1]Lookups Tables'!$L$4:$L$23</definedName>
    <definedName name="_xlnm.Print_Area" localSheetId="3">'SO4 -Assessment Results'!$A$1:$I$19</definedName>
  </definedNames>
  <calcPr calcId="181029"/>
  <extLst>
    <ext uri="GoogleSheetsCustomDataVersion2">
      <go:sheetsCustomData xmlns:go="http://customooxmlschemas.google.com/" r:id="rId20" roundtripDataChecksum="drTQ2fKGKNZY76+RHHsCA4X1roIbLT65cjdfwmrplEc="/>
    </ext>
  </extLst>
</workbook>
</file>

<file path=xl/calcChain.xml><?xml version="1.0" encoding="utf-8"?>
<calcChain xmlns="http://schemas.openxmlformats.org/spreadsheetml/2006/main">
  <c r="F18" i="16" l="1"/>
  <c r="E18" i="16"/>
  <c r="G5" i="16"/>
  <c r="H5" i="16" s="1"/>
  <c r="G6" i="16"/>
  <c r="H6" i="16" s="1"/>
  <c r="G7" i="16"/>
  <c r="H7" i="16" s="1"/>
  <c r="G8" i="16"/>
  <c r="H8" i="16" s="1"/>
  <c r="G9" i="16"/>
  <c r="H9" i="16" s="1"/>
  <c r="G10" i="16"/>
  <c r="H10" i="16" s="1"/>
  <c r="G11" i="16"/>
  <c r="H11" i="16" s="1"/>
  <c r="G12" i="16"/>
  <c r="H12" i="16" s="1"/>
  <c r="G13" i="16"/>
  <c r="H13" i="16" s="1"/>
  <c r="G14" i="16"/>
  <c r="H14" i="16" s="1"/>
  <c r="G15" i="16"/>
  <c r="H15" i="16" s="1"/>
  <c r="G16" i="16"/>
  <c r="H16" i="16" s="1"/>
  <c r="G17" i="16"/>
  <c r="H17" i="16" s="1"/>
  <c r="G4" i="16"/>
  <c r="H4" i="16" s="1"/>
  <c r="B15" i="9"/>
  <c r="A15" i="9"/>
  <c r="B14" i="9"/>
  <c r="A14" i="9"/>
  <c r="B13" i="9"/>
  <c r="A13" i="9"/>
  <c r="B12" i="9"/>
  <c r="A12" i="9"/>
  <c r="B11" i="9"/>
  <c r="A11" i="9"/>
  <c r="B10" i="9"/>
  <c r="A10" i="9"/>
  <c r="B9" i="9"/>
  <c r="A9" i="9"/>
  <c r="B8" i="9"/>
  <c r="A8" i="9"/>
  <c r="B7" i="9"/>
  <c r="A7" i="9"/>
  <c r="B6" i="9"/>
  <c r="A6" i="9"/>
  <c r="B5" i="9"/>
  <c r="A5" i="9"/>
  <c r="B4" i="9"/>
  <c r="A4" i="9"/>
  <c r="K23" i="8"/>
  <c r="J23" i="8"/>
  <c r="I23" i="8"/>
  <c r="H23" i="8"/>
  <c r="L23" i="8" s="1"/>
  <c r="M23" i="8" s="1"/>
  <c r="E23" i="8" a="1"/>
  <c r="E23" i="8" s="1"/>
  <c r="D23" i="8" a="1"/>
  <c r="D23" i="8" s="1"/>
  <c r="F23" i="8" s="1"/>
  <c r="G23" i="8" s="1"/>
  <c r="C23" i="8"/>
  <c r="B23" i="8"/>
  <c r="K22" i="8"/>
  <c r="J22" i="8"/>
  <c r="I22" i="8"/>
  <c r="H22" i="8"/>
  <c r="E22" i="8" a="1"/>
  <c r="E22" i="8" s="1"/>
  <c r="D22" i="8" a="1"/>
  <c r="D22" i="8" s="1"/>
  <c r="F22" i="8" s="1"/>
  <c r="G22" i="8" s="1"/>
  <c r="C22" i="8"/>
  <c r="B22" i="8"/>
  <c r="K21" i="8"/>
  <c r="L21" i="8" s="1"/>
  <c r="M21" i="8" s="1"/>
  <c r="J21" i="8"/>
  <c r="I21" i="8"/>
  <c r="H21" i="8"/>
  <c r="E21" i="8" a="1"/>
  <c r="E21" i="8" s="1"/>
  <c r="D21" i="8" a="1"/>
  <c r="D21" i="8" s="1"/>
  <c r="F21" i="8" s="1"/>
  <c r="G21" i="8" s="1"/>
  <c r="C21" i="8"/>
  <c r="B21" i="8"/>
  <c r="K20" i="8"/>
  <c r="J20" i="8"/>
  <c r="I20" i="8"/>
  <c r="L20" i="8" s="1"/>
  <c r="M20" i="8" s="1"/>
  <c r="H20" i="8"/>
  <c r="E20" i="8" a="1"/>
  <c r="E20" i="8" s="1"/>
  <c r="D20" i="8" a="1"/>
  <c r="D20" i="8" s="1"/>
  <c r="F20" i="8" s="1"/>
  <c r="G20" i="8" s="1"/>
  <c r="C20" i="8"/>
  <c r="B20" i="8"/>
  <c r="K19" i="8"/>
  <c r="J19" i="8"/>
  <c r="I19" i="8"/>
  <c r="H19" i="8"/>
  <c r="L19" i="8" s="1"/>
  <c r="M19" i="8" s="1"/>
  <c r="E19" i="8" a="1"/>
  <c r="E19" i="8" s="1"/>
  <c r="D19" i="8" a="1"/>
  <c r="D19" i="8" s="1"/>
  <c r="F19" i="8" s="1"/>
  <c r="G19" i="8" s="1"/>
  <c r="C19" i="8"/>
  <c r="B19" i="8"/>
  <c r="K18" i="8"/>
  <c r="J18" i="8"/>
  <c r="I18" i="8"/>
  <c r="H18" i="8"/>
  <c r="L18" i="8" s="1"/>
  <c r="M18" i="8" s="1"/>
  <c r="E18" i="8" a="1"/>
  <c r="E18" i="8" s="1"/>
  <c r="D18" i="8" a="1"/>
  <c r="D18" i="8" s="1"/>
  <c r="F18" i="8" s="1"/>
  <c r="G18" i="8" s="1"/>
  <c r="C18" i="8"/>
  <c r="B18" i="8"/>
  <c r="K17" i="8"/>
  <c r="J17" i="8"/>
  <c r="I17" i="8"/>
  <c r="L17" i="8" s="1"/>
  <c r="M17" i="8" s="1"/>
  <c r="H17" i="8"/>
  <c r="E17" i="8" a="1"/>
  <c r="E17" i="8" s="1"/>
  <c r="D17" i="8" a="1"/>
  <c r="D17" i="8" s="1"/>
  <c r="F17" i="8" s="1"/>
  <c r="G17" i="8" s="1"/>
  <c r="C17" i="8"/>
  <c r="B17" i="8"/>
  <c r="K16" i="8"/>
  <c r="J16" i="8"/>
  <c r="I16" i="8"/>
  <c r="H16" i="8"/>
  <c r="E16" i="8" a="1"/>
  <c r="E16" i="8" s="1"/>
  <c r="D16" i="8" a="1"/>
  <c r="D16" i="8" s="1"/>
  <c r="F16" i="8" s="1"/>
  <c r="G16" i="8" s="1"/>
  <c r="C16" i="8"/>
  <c r="B16" i="8"/>
  <c r="K15" i="8"/>
  <c r="J15" i="8"/>
  <c r="I15" i="8"/>
  <c r="H15" i="8"/>
  <c r="L15" i="8" s="1"/>
  <c r="M15" i="8" s="1"/>
  <c r="E15" i="8" a="1"/>
  <c r="E15" i="8" s="1"/>
  <c r="D15" i="8" a="1"/>
  <c r="D15" i="8" s="1"/>
  <c r="F15" i="8" s="1"/>
  <c r="G15" i="8" s="1"/>
  <c r="C15" i="8"/>
  <c r="B15" i="8"/>
  <c r="K14" i="8"/>
  <c r="J14" i="8"/>
  <c r="I14" i="8"/>
  <c r="H14" i="8"/>
  <c r="L14" i="8" s="1"/>
  <c r="M14" i="8" s="1"/>
  <c r="E14" i="8" a="1"/>
  <c r="E14" i="8" s="1"/>
  <c r="D14" i="8" a="1"/>
  <c r="D14" i="8" s="1"/>
  <c r="F14" i="8" s="1"/>
  <c r="G14" i="8" s="1"/>
  <c r="C14" i="8"/>
  <c r="B14" i="8"/>
  <c r="K13" i="8"/>
  <c r="J13" i="8"/>
  <c r="I13" i="8"/>
  <c r="H13" i="8"/>
  <c r="L13" i="8" s="1"/>
  <c r="M13" i="8" s="1"/>
  <c r="E13" i="8" a="1"/>
  <c r="E13" i="8" s="1"/>
  <c r="D13" i="8" a="1"/>
  <c r="D13" i="8" s="1"/>
  <c r="F13" i="8" s="1"/>
  <c r="G13" i="8" s="1"/>
  <c r="C13" i="8"/>
  <c r="B13" i="8"/>
  <c r="K12" i="8"/>
  <c r="J12" i="8"/>
  <c r="I12" i="8"/>
  <c r="H12" i="8"/>
  <c r="E12" i="8" a="1"/>
  <c r="E12" i="8" s="1"/>
  <c r="D12" i="8" a="1"/>
  <c r="D12" i="8" s="1"/>
  <c r="F12" i="8" s="1"/>
  <c r="G12" i="8" s="1"/>
  <c r="C12" i="8"/>
  <c r="B12" i="8"/>
  <c r="K11" i="8"/>
  <c r="J11" i="8"/>
  <c r="I11" i="8"/>
  <c r="H11" i="8"/>
  <c r="L11" i="8" s="1"/>
  <c r="M11" i="8" s="1"/>
  <c r="E11" i="8" a="1"/>
  <c r="E11" i="8" s="1"/>
  <c r="D11" i="8" a="1"/>
  <c r="D11" i="8" s="1"/>
  <c r="F11" i="8" s="1"/>
  <c r="G11" i="8" s="1"/>
  <c r="C11" i="8"/>
  <c r="B11" i="8"/>
  <c r="E10" i="8" a="1"/>
  <c r="E10" i="8" s="1"/>
  <c r="D10" i="8" a="1"/>
  <c r="D10" i="8" s="1"/>
  <c r="F10" i="8" s="1"/>
  <c r="G10" i="8" s="1"/>
  <c r="C10" i="8"/>
  <c r="B10" i="8"/>
  <c r="E9" i="8" a="1"/>
  <c r="E9" i="8" s="1"/>
  <c r="D9" i="8" a="1"/>
  <c r="D9" i="8" s="1"/>
  <c r="F9" i="8" s="1"/>
  <c r="G9" i="8" s="1"/>
  <c r="C9" i="8"/>
  <c r="B9" i="8"/>
  <c r="E8" i="8" a="1"/>
  <c r="E8" i="8" s="1"/>
  <c r="D8" i="8" a="1"/>
  <c r="D8" i="8" s="1"/>
  <c r="F8" i="8" s="1"/>
  <c r="G8" i="8" s="1"/>
  <c r="C8" i="8"/>
  <c r="B8" i="8"/>
  <c r="E7" i="8" a="1"/>
  <c r="E7" i="8" s="1"/>
  <c r="D7" i="8" a="1"/>
  <c r="D7" i="8" s="1"/>
  <c r="F7" i="8" s="1"/>
  <c r="G7" i="8" s="1"/>
  <c r="C7" i="8"/>
  <c r="B7" i="8"/>
  <c r="E6" i="8" a="1"/>
  <c r="E6" i="8" s="1"/>
  <c r="D6" i="8" a="1"/>
  <c r="D6" i="8" s="1"/>
  <c r="F6" i="8" s="1"/>
  <c r="G6" i="8" s="1"/>
  <c r="C6" i="8"/>
  <c r="B6" i="8"/>
  <c r="E5" i="8" a="1"/>
  <c r="E5" i="8" s="1"/>
  <c r="D5" i="8" a="1"/>
  <c r="D5" i="8" s="1"/>
  <c r="F5" i="8" s="1"/>
  <c r="G5" i="8" s="1"/>
  <c r="C5" i="8"/>
  <c r="B5" i="8"/>
  <c r="E4" i="8" a="1"/>
  <c r="E4" i="8" s="1"/>
  <c r="D4" i="8" a="1"/>
  <c r="D4" i="8" s="1"/>
  <c r="C4" i="8"/>
  <c r="B4" i="8"/>
  <c r="AG2" i="6"/>
  <c r="AE2" i="6"/>
  <c r="AC2" i="6"/>
  <c r="AA2" i="6"/>
  <c r="Y2" i="6"/>
  <c r="W2" i="6"/>
  <c r="U2" i="6"/>
  <c r="S2" i="6"/>
  <c r="Q2" i="6"/>
  <c r="O2" i="6"/>
  <c r="M2" i="6"/>
  <c r="K2" i="6"/>
  <c r="I2" i="6"/>
  <c r="G2" i="6"/>
  <c r="B6" i="1"/>
  <c r="B5" i="1"/>
  <c r="H18" i="16" l="1"/>
  <c r="L22" i="8"/>
  <c r="M22" i="8" s="1"/>
  <c r="K26" i="8"/>
  <c r="L16" i="8"/>
  <c r="M16" i="8" s="1"/>
  <c r="L12" i="8"/>
  <c r="M12" i="8" s="1"/>
  <c r="F4" i="8"/>
  <c r="G4" i="8" s="1"/>
  <c r="D27" i="8"/>
  <c r="D26" i="8"/>
  <c r="E27" i="8"/>
  <c r="E26" i="8"/>
  <c r="H24" i="8" l="1"/>
  <c r="H27" i="8"/>
  <c r="H26" i="8"/>
  <c r="H25" i="8"/>
  <c r="I24"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5" authorId="0" shapeId="0" xr:uid="{00000000-0006-0000-0000-000002000000}">
      <text>
        <r>
          <rPr>
            <sz val="11"/>
            <color theme="1"/>
            <rFont val="Calibri"/>
            <family val="2"/>
            <scheme val="minor"/>
          </rPr>
          <t>======
ID#AAABw60pAaI
Maged    (2025-12-02 17:57:03)
-Select the Assessed SO in the course from the drop list. 
-Select the last empty cell from the drop list to avoid selecting an SO</t>
        </r>
      </text>
    </comment>
    <comment ref="A6" authorId="0" shapeId="0" xr:uid="{00000000-0006-0000-0000-000003000000}">
      <text>
        <r>
          <rPr>
            <sz val="11"/>
            <color theme="1"/>
            <rFont val="Calibri"/>
            <family val="2"/>
            <scheme val="minor"/>
          </rPr>
          <t>======
ID#AAABxA1sXBo
Maged    (2025-12-02 17:57:03)
-Select the Assessed SO in the course from the drop list. 
-Select the last empty cell from the drop list to avoid selecting an SO</t>
        </r>
      </text>
    </comment>
  </commentList>
  <extLst>
    <ext xmlns:r="http://schemas.openxmlformats.org/officeDocument/2006/relationships" uri="GoogleSheetsCustomDataVersion2">
      <go:sheetsCustomData xmlns:go="http://customooxmlschemas.google.com/" r:id="rId1" roundtripDataSignature="AMtx7mg/YCPiOLNoE9yHGbvWY9hdkH74UA=="/>
    </ext>
  </extLst>
</comments>
</file>

<file path=xl/sharedStrings.xml><?xml version="1.0" encoding="utf-8"?>
<sst xmlns="http://schemas.openxmlformats.org/spreadsheetml/2006/main" count="314" uniqueCount="249">
  <si>
    <t>Course Name:</t>
  </si>
  <si>
    <t>Course Code:</t>
  </si>
  <si>
    <t xml:space="preserve">SO                                          </t>
  </si>
  <si>
    <t>Mapped PIs</t>
  </si>
  <si>
    <t>SO2</t>
  </si>
  <si>
    <t>SO4</t>
  </si>
  <si>
    <t>PI41 Recognize ethical and professional responsibilities in engineering situations
PI42 Make informed judgments considering the impact of engineering solutions in global, societal, economic, and environmental contexts</t>
  </si>
  <si>
    <t>3.1 Recognize the engineering profession and the importance of ethical and legal factors in professional duties</t>
  </si>
  <si>
    <t xml:space="preserve">Project </t>
  </si>
  <si>
    <t>Name</t>
  </si>
  <si>
    <t>Assessment item</t>
  </si>
  <si>
    <t>Above </t>
  </si>
  <si>
    <t>Meet </t>
  </si>
  <si>
    <t>Developing </t>
  </si>
  <si>
    <t>Below </t>
  </si>
  <si>
    <t>Checklist for Assessment</t>
  </si>
  <si>
    <t>Comment</t>
  </si>
  <si>
    <t>Expectation (3)</t>
  </si>
  <si>
    <t>Expectation (2)</t>
  </si>
  <si>
    <t>Expectation (1)</t>
  </si>
  <si>
    <t>Expectation (0)</t>
  </si>
  <si>
    <t>score (0-3)</t>
  </si>
  <si>
    <t>SO4 Rubric</t>
  </si>
  <si>
    <t>PI41. Recognize ethical and professional responsibilities in engineering situations</t>
  </si>
  <si>
    <t>Identifies the ethical responsibilities and references at least one applicable professional code or standard (e.g., IEEE, NSPE, ISO).</t>
  </si>
  <si>
    <t>Describes relevant ethical responsibilities and refers generally to professional obligations or standards (without a specific citation).</t>
  </si>
  <si>
    <t>Acknowledges that an ethical issue exists but provides vague or incomplete responsibilities and no clear connection to professional standards.</t>
  </si>
  <si>
    <t>Fails to identify the ethical issue or misinterprets it.</t>
  </si>
  <si>
    <t>• Does the student clearly identify the ethical issue(s) in the scenario?</t>
  </si>
  <si>
    <t>Clearly identifies safety responsibilities: emergency stops, fail-safe procedures.
Addresses misuse and cybersecurity: limiting physical access, considering unauthorized access.
Explicitly refers to professional codes/standards: IEEE and NSPE.
Mentions transparency and honesty: explaining decisions, assessments, and system limitations.
Connects ethics back to the technical solution: how the drive-by-wire method maintains safety.</t>
  </si>
  <si>
    <t>Explicitly addresses safety responsibilities: emergency stops, fail-safe procedures.
Considers misuse and cybersecurity: restricted physical access, concern about unauthorized access to control systems.
Refers directly to professional codes and standards (IEEE, NSPE) and links them to:
transparency in conclusions and assessments,
being open about limitations,
integrating safety in the drive-by-wire method.</t>
  </si>
  <si>
    <t xml:space="preserve">Explicitly cites IEEE and NSPE codes and standards and links them to behavior: academic integrity, professionalism.
Emphasizes truth and transparency in findings and evaluations.
Acknowledges need to be honest about limits and how safety is incorporated.
Describes fail-safe procedures, emergency stop, and cybersecurity issues (unauthorized access) with restricted physical access to reduce misuse.
</t>
  </si>
  <si>
    <t>Clearly frames DBW as safety-critical, noting failures, unintended behavior, and liability as major ethical concerns.
Explicitly cites IEEE and NSPE standards and connects them to integrity in testing and reporting.
Puts safety above performance (emergency stop circuits, safe-state defaults, robust signal handling).
Acknowledges hacking / misuse risks and mitigates via limited physical access and documentation.
Adopts an explicit ethical stance focused on public protection and professional accountability → exemplary answer.</t>
  </si>
  <si>
    <t>•Do they recognize their professional duties (e.g., safety, honesty, confidentiality, conflict of interest)?</t>
  </si>
  <si>
    <t>•Do they reference or appropriately relate to a professional code/standard (IEEE, NSPE, ISO, etc.)?</t>
  </si>
  <si>
    <t>PI42 Make informed judgments considering the impact of engineering solutions in global, societal, economic, and environmental contexts</t>
  </si>
  <si>
    <r>
      <rPr>
        <b/>
        <sz val="11"/>
        <color rgb="FF000000"/>
        <rFont val="Cambria"/>
        <family val="1"/>
      </rPr>
      <t>Demonstrates strong judgment and</t>
    </r>
    <r>
      <rPr>
        <sz val="11"/>
        <color rgb="FF000000"/>
        <rFont val="Cambria"/>
        <family val="1"/>
      </rPr>
      <t xml:space="preserve"> addresses </t>
    </r>
    <r>
      <rPr>
        <b/>
        <sz val="11"/>
        <color rgb="FF000000"/>
        <rFont val="Cambria"/>
        <family val="1"/>
      </rPr>
      <t>all four</t>
    </r>
    <r>
      <rPr>
        <sz val="11"/>
        <color rgb="FF000000"/>
        <rFont val="Cambria"/>
        <family val="1"/>
      </rPr>
      <t xml:space="preserve"> factors (global, societal, economic, environmental) clearly and explicitly when considering the impact of engineering solutions.</t>
    </r>
  </si>
  <si>
    <r>
      <rPr>
        <sz val="11"/>
        <color rgb="FF000000"/>
        <rFont val="Cambria"/>
        <family val="1"/>
      </rPr>
      <t xml:space="preserve">Capable of making informed judgments in considering the impact of engineering solutions, but </t>
    </r>
    <r>
      <rPr>
        <b/>
        <sz val="11"/>
        <color rgb="FF000000"/>
        <rFont val="Cambria"/>
        <family val="1"/>
      </rPr>
      <t>misses at least one applicable factor</t>
    </r>
    <r>
      <rPr>
        <sz val="11"/>
        <color rgb="FF000000"/>
        <rFont val="Cambria"/>
        <family val="1"/>
      </rPr>
      <t xml:space="preserve"> among global, societal, economic, and environmental contexts.</t>
    </r>
  </si>
  <si>
    <r>
      <rPr>
        <sz val="11"/>
        <color rgb="FF000000"/>
        <rFont val="Cambria"/>
        <family val="1"/>
      </rPr>
      <t xml:space="preserve">Demonstrates a </t>
    </r>
    <r>
      <rPr>
        <b/>
        <sz val="11"/>
        <color rgb="FF000000"/>
        <rFont val="Cambria"/>
        <family val="1"/>
      </rPr>
      <t>basic</t>
    </r>
    <r>
      <rPr>
        <sz val="11"/>
        <color rgb="FF000000"/>
        <rFont val="Cambria"/>
        <family val="1"/>
      </rPr>
      <t xml:space="preserve"> ability to make informed judgments in considering the impact of engineering solutions, but </t>
    </r>
    <r>
      <rPr>
        <b/>
        <sz val="11"/>
        <color rgb="FF000000"/>
        <rFont val="Cambria"/>
        <family val="1"/>
      </rPr>
      <t>misses two or more factors</t>
    </r>
    <r>
      <rPr>
        <sz val="11"/>
        <color rgb="FF000000"/>
        <rFont val="Cambria"/>
        <family val="1"/>
      </rPr>
      <t xml:space="preserve"> in the global, societal, economic, and environmental contexts.</t>
    </r>
  </si>
  <si>
    <r>
      <rPr>
        <b/>
        <sz val="11"/>
        <color rgb="FF000000"/>
        <rFont val="Cambria"/>
        <family val="1"/>
      </rPr>
      <t>Lacks the ability</t>
    </r>
    <r>
      <rPr>
        <sz val="11"/>
        <color rgb="FF000000"/>
        <rFont val="Cambria"/>
        <family val="1"/>
      </rPr>
      <t xml:space="preserve"> to make informed judgments in considering the impact of engineering solutions, </t>
    </r>
    <r>
      <rPr>
        <b/>
        <sz val="11"/>
        <color rgb="FF000000"/>
        <rFont val="Cambria"/>
        <family val="1"/>
      </rPr>
      <t>missing all four factors</t>
    </r>
    <r>
      <rPr>
        <sz val="11"/>
        <color rgb="FF000000"/>
        <rFont val="Cambria"/>
        <family val="1"/>
      </rPr>
      <t xml:space="preserve"> (global, societal, economic, and environmental contexts).</t>
    </r>
  </si>
  <si>
    <t>•Does the student state a clear ethical decision or recommended action?</t>
  </si>
  <si>
    <t>Positive points:
Recognizes need for thorough testing to prevent harm (safety / societal impact).
Acknowledges software failure risks and the duty to be honest about limits → good ethical awareness.
Mentions societal and environmental benefits (safer, more efficient, environmentally friendly EV system).
Missing / weaker parts:
Little to no explicit discussion of economic impact or global/cultural contexts.
The impacts are stated in a general way, without concrete examples or trade-offs across the four dimensions.</t>
  </si>
  <si>
    <t>Positive aspects:
Strong ethical framing: obligation to make the system as safe as possible before deployment, including thorough testing in controlled situations.
Identifies risk of software defects replacing mechanical links and the potential for harm.
Emphasizes duty to be truthful and open about capabilities and constraints.
Addresses societal and environmental impact: safer, more energy-efficient, climate-friendly system.
What’s missing for the very top level:
No explicit mention of economic considerations (cost, affordability, scalability, etc.).
Global / cultural context is not clearly discussed (different regulations, user populations, regions, etc.).</t>
  </si>
  <si>
    <t>Strong ethical framing: “primary goal is not to harm,” recognition that replacing mechanical links with software introduces risk of software bugs.
Emphasizes extensive testing in controlled environments before real use → good safety judgment.
Commits to honesty and transparency in reporting capabilities and limitations, with a concrete example (documenting unsupported failure modes and recommending not to operate).
Notes positive societal impact (improved safety), environmental impact (climate-friendly, energy-efficient).
However:
Does not explicitly discuss economic aspects (cost, affordability, scalability) in this answer.
Global/cultural context is not clearly articulated (regulations in different regions, different users, etc.).
So he clearly makes informed ethical judgments and covers societal and environmental aspects well, but does not fully span all four contexts in this specific response</t>
  </si>
  <si>
    <t>Shows safety judgment: choosing to keep mechanical steering/braking as fallback, explaining the trade-off between “advanced” full electronic control and risk in a student prototype.
Explicitly balances cost, safety, and mission effectiveness in that decision.
Discusses societal benefits: better safety, more efficient energy use.
Mentions environmental impact: less impact due to energy-efficient control.
Addresses economic impact: lower lifetime service costs by reducing mechanical components.
References standards, rules, regulations, and the risk of unsafe deployments without them → clear ethical and professional judgment.
Concludes with global framing: cleaner, more safety-conscious, accessible transportation aligned with global engineering needs.
He explicitly touches all four contexts (global, societal, economic, environmental) plus ethics and trade-offs</t>
  </si>
  <si>
    <t>• Is the final judgment consistent with professional integrity and protection of the public?</t>
  </si>
  <si>
    <t>•  Does the student address each GEES factor (global, economic, environmental, societal), or clearly justify why any factor is not applicable?</t>
  </si>
  <si>
    <t>Evluation Type</t>
  </si>
  <si>
    <t>IE</t>
  </si>
  <si>
    <t>No</t>
  </si>
  <si>
    <t>ID</t>
  </si>
  <si>
    <t xml:space="preserve">Average </t>
  </si>
  <si>
    <t>Achievement</t>
  </si>
  <si>
    <t>Individual evaluation</t>
  </si>
  <si>
    <t>PI Results</t>
  </si>
  <si>
    <t>SO Result</t>
  </si>
  <si>
    <t>BE</t>
  </si>
  <si>
    <t>DE</t>
  </si>
  <si>
    <t>ME</t>
  </si>
  <si>
    <t>AE</t>
  </si>
  <si>
    <t>Comment on the  PIs results if any is below 2 or if the SO is below 70%</t>
  </si>
  <si>
    <t>All PIs and the SO results are above the threshold</t>
  </si>
  <si>
    <t>PI41</t>
  </si>
  <si>
    <t>PI42</t>
  </si>
  <si>
    <t xml:space="preserve">Student Work Description </t>
  </si>
  <si>
    <t>SO - PI</t>
  </si>
  <si>
    <t xml:space="preserve">Assessment Item </t>
  </si>
  <si>
    <t xml:space="preserve">Questions Used </t>
  </si>
  <si>
    <t xml:space="preserve">Justification of assessment item selection </t>
  </si>
  <si>
    <t>Key Performance Indicators and Rubrics for Student Outcome:</t>
  </si>
  <si>
    <t>4. Recognize professional responsibilities and make informed judgments in computing practice based on legal and ethical principles.</t>
  </si>
  <si>
    <t>KPI Nbr.</t>
  </si>
  <si>
    <t>KPI Definition</t>
  </si>
  <si>
    <t>Level 0:  
Below Expectation (BE)</t>
  </si>
  <si>
    <t>Level 1: 
Developing Expectation (DE)</t>
  </si>
  <si>
    <t>Level 2: 
Meet Expectation (ME)</t>
  </si>
  <si>
    <t>Level 3: 
Above Expectation (AE)</t>
  </si>
  <si>
    <t>Demonstrate ability to recognize impact and determine best practices.</t>
  </si>
  <si>
    <t>Little recognition of the impact of computing practices on individuals, organizations and society.</t>
  </si>
  <si>
    <t>Some recognition of the effects of computing practices on individuals, organizations and society, but little demonstrated ability to determine best practices.</t>
  </si>
  <si>
    <t>Recognizes some effects of computing practices onindividuals, organizations
and society, and demonstrates acceptable ability to determine best practices</t>
  </si>
  <si>
    <t>Recognizes the effects of computing practices on individuals, organization, and society and demonstrates good ability to determine good practices</t>
  </si>
  <si>
    <t>Demonstrates an ability to recognize ethical dilemmas and apply professional ethical practices to make appropriate decisions</t>
  </si>
  <si>
    <t>Needs assistance to identify ethical dilemmas and to apply the code of
ethics from professional societies and/or ethical theories</t>
  </si>
  <si>
    <t>Demonstrates some ability to identify ethical dilemmas and is aware of, but cannot necessarily apply, a professional code of ethics and/or ethical theory</t>
  </si>
  <si>
    <t>Demonstrates acceptable ability to identify ethical  dilemmas and recognizes
basic elements of a
professional code of ethics and/or ethical theory</t>
  </si>
  <si>
    <t>Can apply elements from a professional code of ethics
and/or ethical theory to
recognize ethical dilemmas
and analyze them.</t>
  </si>
  <si>
    <t>5. Function effectively as a member or leader of a team engaged in activities appropriate to the program’s discipline.</t>
  </si>
  <si>
    <t>Actively contributes to the classroom learning environment with interest, passion , and curiosity</t>
  </si>
  <si>
    <t>Appears uninterested and does not demonstrate or share curiosity and passion. Is defensive about feedback and suggestions.</t>
  </si>
  <si>
    <t xml:space="preserve">Show some interest. Rarely to ask questions and seeks information related to instruction and classroom practice. </t>
  </si>
  <si>
    <t>Demonstrates interest, passion, and curiosity. Asks questions and seeks information related to instruction and classroom practice. Willingly incorporates suggestions and responds appropriately to feedback.</t>
  </si>
  <si>
    <t>Openly contributes to the classroom learning environment as a result of their interest, passion, and curiosity.</t>
  </si>
  <si>
    <t>Effeciently collects information and propose ideas to the team relevant to the group purpose</t>
  </si>
  <si>
    <t>Does not collect any relevant information; no useful suggestions to address team's needs.</t>
  </si>
  <si>
    <t>Participates in collecting general information related to the project; Do not share useful ideas to meet the team's needs.</t>
  </si>
  <si>
    <t>Collects basic, useful information related to the project; occasionally offers useful ideas to meet the team's needs.</t>
  </si>
  <si>
    <t>Collects and presents to the team a great deal of relevant information; offers welldeveloped and clearly expressed ideas directly related to the group's purpose</t>
  </si>
  <si>
    <t xml:space="preserve">Participate actively all team groups and effectively conduct all assigned tasks </t>
  </si>
  <si>
    <t>Does not perform assigned tasks; often misses meetings and, when present, does not have anything constructive to say; relies on others to do the work.</t>
  </si>
  <si>
    <t>Performs some assigned tasks; miss some meetings,contributes rarely to the team work.</t>
  </si>
  <si>
    <t>Performs all assigned tasks; attends meetings regularly and usually participates effectively; generally reliable.</t>
  </si>
  <si>
    <t>Performs all tasks very effectively; attends all meetings and participates enthusiastically; very reliable.</t>
  </si>
  <si>
    <t>Able as leader to to accept other team members'  ideas and contribute to their development and give them full credit</t>
  </si>
  <si>
    <t>Often argues with team mates; doesn't let anyone else talk; occasional personal attacks and "put-downs"; wants to have things done his way and does not listen to alternate approaches.</t>
  </si>
  <si>
    <t>Sometimes listens to others' points of view but do not make effort to understands other ideas.</t>
  </si>
  <si>
    <t>Generally listens to others' points of view; always uses appropriate and respectful language; tries to make a definite effort to understand others' ideas.</t>
  </si>
  <si>
    <t>Always listens to others and their ideas; helps them develop their ideas while giving them full credit; always helps the team reach a fair decision.</t>
  </si>
  <si>
    <t>6. Support the delivery, use, and management of information systems within an information systems environment.</t>
  </si>
  <si>
    <t>Recall and understand the fundamental of  business  concepts (i.e. marketing, accounting, human resource, etc.), its environment, and  requirements</t>
  </si>
  <si>
    <t>Unable to understand business processes and requirements</t>
  </si>
  <si>
    <t>Recall some business process concepts without being able to apply them</t>
  </si>
  <si>
    <t xml:space="preserve">Recall and understands some business concepts and properly apply them </t>
  </si>
  <si>
    <t>Understands and able to properly analyse a business process in a given context and apply them</t>
  </si>
  <si>
    <t>Correctly apply the the understanding of business processes and environment (i.e. marketing, finance, etc.), for  developing relevant information system solutions to solve business problems</t>
  </si>
  <si>
    <t xml:space="preserve">Unable to apply and develop any system based on the fundamental related concept in business. </t>
  </si>
  <si>
    <t xml:space="preserve">Able to partially apply and develop any system based on the fundamental related concept in business. </t>
  </si>
  <si>
    <t xml:space="preserve">Able to show satisfactory application of business concept and develop any system based on the fundamental related concept in business. </t>
  </si>
  <si>
    <t xml:space="preserve">able to successfully apply business concept and develop any system based on the fundamental related concept in business. </t>
  </si>
  <si>
    <t xml:space="preserve">Evaluate and relates the differences in business functions (i.e. marketing, finance, accounting, etc.) and related entities (people and processes) within the business environment, for getting user requirement and customization of IS solutions (i.e. ERP) </t>
  </si>
  <si>
    <t xml:space="preserve">Unable to identify and differentiate users and their roles in various different functions in the business to create requirements, and perform any customization to IS solution.  </t>
  </si>
  <si>
    <t>Can identify and differentiate some parts of  the user requirements but cannot customize the IS solution properly</t>
  </si>
  <si>
    <t>Can identify and differentiate most of the business user requirements and functions, and customize the IS solution satisfactorily</t>
  </si>
  <si>
    <t xml:space="preserve">Can successfully identify business user requirements,  customize and deliver successfully the IS solution  </t>
  </si>
  <si>
    <t>Identify and evaluate IS technologies and business solutions (DBMS, ERP, etc) by applying  knowledge of the business environment and its functional areas (management, marketing, etc.)</t>
  </si>
  <si>
    <t>Unable to identify and evaluate any IS solution related to any business concepts and environment</t>
  </si>
  <si>
    <t>Able to partially identify and evaluate IS solution related to some concepts in the business environment</t>
  </si>
  <si>
    <t>Able to identify and evaluate satisfactorily IS solution related to some concepts in the business environment</t>
  </si>
  <si>
    <t>Able to identify and evaluate successfully IS solution by effectively relating to all concepts in the business environment</t>
  </si>
  <si>
    <t>7. Develop and evaluate E-commerce systems on different platforms using a variety of technologies.</t>
  </si>
  <si>
    <t>Properly design and develop E-commerce solutions</t>
  </si>
  <si>
    <t xml:space="preserve">Cannot recognize E-commerce solution development process </t>
  </si>
  <si>
    <t xml:space="preserve">Partially recall the phases of the development of E-commerce solutions </t>
  </si>
  <si>
    <t>Fully describe the process for the development of E-commerce solution without being  able to apply it properly</t>
  </si>
  <si>
    <t xml:space="preserve">Successfully design and develop E-commerce Solution </t>
  </si>
  <si>
    <t>Accurately compare and evaluate E-Commerce systems</t>
  </si>
  <si>
    <t>Do not recall the criteria for evaluating and comparing E-commerce solutions</t>
  </si>
  <si>
    <t>Recognize some of the criteria for the evaluation of E-commerce solutions</t>
  </si>
  <si>
    <t xml:space="preserve">Recall all the criteria for the evaluation and the comparison of E-commerce systems </t>
  </si>
  <si>
    <t>Successfully compare and evaluate E-commerce systems</t>
  </si>
  <si>
    <t>Successfully implement E-commerce solutions on different platforms</t>
  </si>
  <si>
    <t xml:space="preserve">Recognize the need for using E-commerce development platforms </t>
  </si>
  <si>
    <t>Cite different E-commerce development platforms</t>
  </si>
  <si>
    <t xml:space="preserve">Partially use at least  one E-commerce development plateform </t>
  </si>
  <si>
    <t>Conveniently use a different platforms for developing E-commerce solutions</t>
  </si>
  <si>
    <t>Successfully use different technologies to develop E-commerce solutions</t>
  </si>
  <si>
    <t>Unable to enumerate some e-commerce development techologies</t>
  </si>
  <si>
    <t xml:space="preserve">Cite and partially define the usefullness of some E-commerce development technologies </t>
  </si>
  <si>
    <t>Partially use some E-commerce development technologies to develop relevent solutions</t>
  </si>
  <si>
    <t>Fully understand and use different E-commerce development technologies to deliver E-commerce solutions</t>
  </si>
  <si>
    <t>Rubrics for Student Outcome 8</t>
  </si>
  <si>
    <t>CYS-SO Apply security principles and practices to the environment , hardware, social and human aspects of a system</t>
  </si>
  <si>
    <t>Criterion</t>
  </si>
  <si>
    <t>Assessment of Criterion</t>
  </si>
  <si>
    <t>Above Expectation</t>
  </si>
  <si>
    <t>Meeting expectation</t>
  </si>
  <si>
    <t>Developing Expectation</t>
  </si>
  <si>
    <t>Below Expectation</t>
  </si>
  <si>
    <t>Describe security as a continuous process of tradeoffs, balancing between protection mechanisms and availability</t>
  </si>
  <si>
    <t>Students are able to Illustrate security as a continuous process of tradeoffs, balancing between protection mechanisms and availability.</t>
  </si>
  <si>
    <t>Students are able to describe security as a continuous process of tradeoffs, balancing between protection mechanisms and availability. </t>
  </si>
  <si>
    <t>Students are able to recognize the importance of security as a continuous process of tradeoffs.</t>
  </si>
  <si>
    <t>Students are not able to recognize the importance of security as a continuous process of tradeoffs.</t>
  </si>
  <si>
    <t> Analyze the tradeoffs of balancing key security properties, including Confidentiality, Integrity, and Availability (CIA).</t>
  </si>
  <si>
    <r>
      <rPr>
        <sz val="11"/>
        <color theme="1"/>
        <rFont val="Calibri"/>
        <family val="2"/>
      </rPr>
      <t>Students are able to e</t>
    </r>
    <r>
      <rPr>
        <sz val="11"/>
        <color rgb="FF000000"/>
        <rFont val="Calibri"/>
        <family val="2"/>
      </rPr>
      <t>valuate the tradeoffs of balancing key security properties, including Confidentiality, Integrity, and Availability (CIA).</t>
    </r>
  </si>
  <si>
    <r>
      <rPr>
        <sz val="11"/>
        <color theme="1"/>
        <rFont val="Calibri"/>
        <family val="2"/>
      </rPr>
      <t>Students are able to a</t>
    </r>
    <r>
      <rPr>
        <sz val="11"/>
        <color rgb="FF000000"/>
        <rFont val="Calibri"/>
        <family val="2"/>
      </rPr>
      <t>nalyze the tradeoffs of balancing key security properties, including Confidentiality, Integrity, and Availability (CIA)</t>
    </r>
  </si>
  <si>
    <t>Students are able to investigate the tradeoffs of balancing key security properties, including Confidentiality, Integrity, and Availability (CIA)</t>
  </si>
  <si>
    <t>Students are not able to investigate the tradeoffs of balancing key security properties, including Confidentiality, Integrity, and Availability (CIA)</t>
  </si>
  <si>
    <t>Illustrate through examples the concepts of security and privacy risk, threats, vulnerabilities, attack vectors, and exploits, noting there is no such thing as perfect security. </t>
  </si>
  <si>
    <t>Students are able to compare the concepts of risk, threats, vulnerabilities, attack vectors, and exploits to a given scenario.</t>
  </si>
  <si>
    <t>Students are able to illustrate through examples the concepts of risk, threats, vulnerabilities, attack vectors, and exploits, noting there is no such thing as perfect security. </t>
  </si>
  <si>
    <t>Students are able to differentiate the concepts of risk, threats, vulnerabilities, attack vectors, and exploits. </t>
  </si>
  <si>
    <t>Students are notable to differentiate the concepts of risk, threats, vulnerabilities, attack vectors, and exploits. </t>
  </si>
  <si>
    <t>Apply security principles and practices for secure software development in a dynamic environment</t>
  </si>
  <si>
    <r>
      <rPr>
        <sz val="11"/>
        <color theme="1"/>
        <rFont val="Calibri"/>
        <family val="2"/>
      </rPr>
      <t>Students are able to e</t>
    </r>
    <r>
      <rPr>
        <sz val="11"/>
        <color rgb="FF000000"/>
        <rFont val="Calibri"/>
        <family val="2"/>
      </rPr>
      <t>xamine security principles and practices for secure software development in a dynamic environment. </t>
    </r>
  </si>
  <si>
    <r>
      <rPr>
        <sz val="11"/>
        <color theme="1"/>
        <rFont val="Calibri"/>
        <family val="2"/>
      </rPr>
      <t xml:space="preserve">Students are able to apply security principles and practices </t>
    </r>
    <r>
      <rPr>
        <sz val="11"/>
        <color rgb="FF000000"/>
        <rFont val="Calibri"/>
        <family val="2"/>
      </rPr>
      <t xml:space="preserve">for secure software development </t>
    </r>
    <r>
      <rPr>
        <sz val="11"/>
        <color theme="1"/>
        <rFont val="Calibri"/>
        <family val="2"/>
      </rPr>
      <t>in a dynamic environment. </t>
    </r>
  </si>
  <si>
    <r>
      <rPr>
        <sz val="11"/>
        <color theme="1"/>
        <rFont val="Calibri"/>
        <family val="2"/>
      </rPr>
      <t xml:space="preserve">Students are able to summarize security principles and practices </t>
    </r>
    <r>
      <rPr>
        <sz val="11"/>
        <color rgb="FF000000"/>
        <rFont val="Calibri"/>
        <family val="2"/>
      </rPr>
      <t>for secure software development</t>
    </r>
    <r>
      <rPr>
        <sz val="11"/>
        <color theme="1"/>
        <rFont val="Calibri"/>
        <family val="2"/>
      </rPr>
      <t>. </t>
    </r>
  </si>
  <si>
    <r>
      <rPr>
        <sz val="11"/>
        <color theme="1"/>
        <rFont val="Calibri"/>
        <family val="2"/>
      </rPr>
      <t xml:space="preserve">Students are not able to summarize security principles and practices </t>
    </r>
    <r>
      <rPr>
        <sz val="11"/>
        <color rgb="FF000000"/>
        <rFont val="Calibri"/>
        <family val="2"/>
      </rPr>
      <t>for secure software development</t>
    </r>
    <r>
      <rPr>
        <sz val="11"/>
        <color theme="1"/>
        <rFont val="Calibri"/>
        <family val="2"/>
      </rPr>
      <t>. </t>
    </r>
  </si>
  <si>
    <t>SO1</t>
  </si>
  <si>
    <t>Ability to identify, formulate, and solve complex engineering problems by applying principles of engineering, science, and mathematics.</t>
  </si>
  <si>
    <t>An ability to apply engineering design to produce solutions that meet specified needs with consideration of public health, safety, and welfare, as well as global, cultural, social, environmental, and economic factors.</t>
  </si>
  <si>
    <t>SO3</t>
  </si>
  <si>
    <t>An ability to communicate effectively with a range of audiences.</t>
  </si>
  <si>
    <t>An ability to recognize ethical and professional responsibilities in engineering situations and make informed judgments, which must consider the impact of engineering solutions in global, economic, environmental, and societal contexts.</t>
  </si>
  <si>
    <t>SO5</t>
  </si>
  <si>
    <t>An ability to function effectively on a team whose members together provide leadership, create a collaborative and inclusive environment, establish goals, plan tasks, and meet objectives.</t>
  </si>
  <si>
    <t>SO6</t>
  </si>
  <si>
    <t>An ability to develop and conduct appropriate experimentation, analyze and interpret data, and use engineering judgment to draw conclusions</t>
  </si>
  <si>
    <t>SO7</t>
  </si>
  <si>
    <t>An ability to acquire and apply new knowledge as needed, using appropriate learning strategies.</t>
  </si>
  <si>
    <t>Student's Satisfaction</t>
  </si>
  <si>
    <t>Below Expextations</t>
  </si>
  <si>
    <t>Meets Expectations</t>
  </si>
  <si>
    <t>Accomplished Expectations</t>
  </si>
  <si>
    <t>Quiz</t>
  </si>
  <si>
    <t xml:space="preserve">Major </t>
  </si>
  <si>
    <t>Final</t>
  </si>
  <si>
    <t>Assignment</t>
  </si>
  <si>
    <t>Section's Satisfaction</t>
  </si>
  <si>
    <t>Less than 60% of students are  achieving the Satisfactory level (ME) or above</t>
  </si>
  <si>
    <t>60% to 69% of students are  achieving the Satisfactory level (ME) or above</t>
  </si>
  <si>
    <t>70% to 79% of students are  achieving the Satisfactory level (ME) or above</t>
  </si>
  <si>
    <t>90% or more  of students are  achieving the Satisfactory level (ME) or above</t>
  </si>
  <si>
    <t>Mapped CLO</t>
  </si>
  <si>
    <t>Please provide the information below to support the preparation of the Student Outcome assessment report.</t>
  </si>
  <si>
    <t>Student Name</t>
  </si>
  <si>
    <t>SN</t>
  </si>
  <si>
    <t>*Add score 0-3 for each item</t>
  </si>
  <si>
    <t>Meet Expectation (2)</t>
  </si>
  <si>
    <t>Below Expectation (0)</t>
  </si>
  <si>
    <t>Developing Expectation (1)</t>
  </si>
  <si>
    <t>Above Expectation (3)</t>
  </si>
  <si>
    <t>PIs Avg</t>
  </si>
  <si>
    <t>Attainment</t>
  </si>
  <si>
    <t>Comments: add comment on the team and individual student performance</t>
  </si>
  <si>
    <t>Add the CLO mapaped to this SO</t>
  </si>
  <si>
    <t>Semester:</t>
  </si>
  <si>
    <t xml:space="preserve">Instructor: </t>
  </si>
  <si>
    <t xml:space="preserve">PI41. Recognize ethical and professional responsibilities in engineering situations
PI42 Make informed judgments considering the impact of engineering solutions in global, societal, economic, and environmental contexts
</t>
  </si>
  <si>
    <t xml:space="preserve"> Assessment Rubric</t>
  </si>
  <si>
    <t>PI41 – Recognize ethical and professional responsibilities in engineering situations</t>
  </si>
  <si>
    <t>PI42 – Make informed judgments considering the impact of engineering solutions in global, societal, economic, and environmental contexts</t>
  </si>
  <si>
    <t>Makes a clear, well-justified informed judgment by analyzing relevant impacts in applicable global, societal, economic, and/or environmental contexts.</t>
  </si>
  <si>
    <t>Makes an appropriate informed judgment by considering and explaining the main relevant impacts in applicable contexts.</t>
  </si>
  <si>
    <t>Makes a limited judgment; some relevant impacts are identified, but analysis or justification is incomplete.</t>
  </si>
  <si>
    <t>Does not make a meaningful informed judgment; relevant impacts are missing, incorrect, or not connected to the judgment.</t>
  </si>
  <si>
    <t>Clearly identifies and explains relevant ethical and professional responsibilities and their implications in the engineering situation.</t>
  </si>
  <si>
    <t>Identifies and explains relevant ethical and professional responsibilities in the engineering situation.</t>
  </si>
  <si>
    <t>Identifies an ethical or professional responsibility, but the explanation or connection to the engineering situation is limited.</t>
  </si>
  <si>
    <t>Fails to identify relevant ethical or professional responsibilities or misinterprets them.</t>
  </si>
  <si>
    <r>
      <rPr>
        <b/>
        <sz val="11"/>
        <rFont val="Calibri"/>
        <family val="2"/>
      </rPr>
      <t>Team assessment (Report):</t>
    </r>
    <r>
      <rPr>
        <sz val="11"/>
        <rFont val="Calibri"/>
        <family val="2"/>
      </rPr>
      <t xml:space="preserve">
• Are relevant ethical and professional responsibilities identified?
• Are they connected to the engineering situation or decision?
</t>
    </r>
    <r>
      <rPr>
        <b/>
        <sz val="11"/>
        <rFont val="Calibri"/>
        <family val="2"/>
      </rPr>
      <t>Individual Assessment:</t>
    </r>
    <r>
      <rPr>
        <sz val="11"/>
        <rFont val="Calibri"/>
        <family val="2"/>
      </rPr>
      <t xml:space="preserve">
• Identify one ethical or professional responsibility and explain how it relates to an engineering decision.</t>
    </r>
  </si>
  <si>
    <r>
      <rPr>
        <b/>
        <sz val="11"/>
        <rFont val="Calibri"/>
        <family val="2"/>
      </rPr>
      <t>Team assessment (Report):</t>
    </r>
    <r>
      <rPr>
        <sz val="11"/>
        <rFont val="Calibri"/>
        <family val="2"/>
      </rPr>
      <t xml:space="preserve">
• Are the applicable global, societal, economic, and/or environmental impacts identified and considered?
• Does the analysis support a clear engineering judgment or decision?
</t>
    </r>
    <r>
      <rPr>
        <b/>
        <sz val="11"/>
        <rFont val="Calibri"/>
        <family val="2"/>
      </rPr>
      <t>Individual assessment:</t>
    </r>
    <r>
      <rPr>
        <sz val="11"/>
        <rFont val="Calibri"/>
        <family val="2"/>
      </rPr>
      <t xml:space="preserve">
• Identify one relevant impact and explain how it influenced an engineering judgment or decision.</t>
    </r>
  </si>
  <si>
    <t>Checklist for Assessment (Project)</t>
  </si>
  <si>
    <t>• Does the student identify the relevant ethical and/or professional responsibility in the engineering situation? 
• Does the student explain how it relates to an engineering decision, action, or consequence?</t>
  </si>
  <si>
    <t>• Does the student identify and consider one or more relevant global, societal, economic, and/or environmental impacts? 
• Does the student use these impacts to justify an engineering judgment or decision?</t>
  </si>
  <si>
    <t>Checklist for Assessment (Exam)</t>
  </si>
  <si>
    <t>SO4 Assessment Results</t>
  </si>
  <si>
    <t>PI41
Recognize</t>
  </si>
  <si>
    <t>PI42
Judgment</t>
  </si>
  <si>
    <r>
      <rPr>
        <sz val="11"/>
        <color rgb="FFFF0000"/>
        <rFont val="Calibri"/>
        <family val="2"/>
      </rPr>
      <t xml:space="preserve">[List all relevant contexts (considerations) that will be considered in the assessment. Choose from the list below ]. 
</t>
    </r>
    <r>
      <rPr>
        <sz val="11"/>
        <color theme="1"/>
        <rFont val="Calibri"/>
        <family val="2"/>
      </rPr>
      <t xml:space="preserve">
-global, 
-societal, 
-economic, 
-environmental </t>
    </r>
  </si>
  <si>
    <t>Relevant SO4 Considerations</t>
  </si>
  <si>
    <t xml:space="preserve">Explain how the assessment addresses each PI </t>
  </si>
  <si>
    <r>
      <rPr>
        <sz val="11"/>
        <color rgb="FFED0000"/>
        <rFont val="Calibri"/>
        <family val="2"/>
      </rPr>
      <t>[Add brief description for how the assessment addressed each PI. See the example below. Below is an example for radar system project]</t>
    </r>
    <r>
      <rPr>
        <sz val="11"/>
        <rFont val="Calibri"/>
        <family val="2"/>
      </rPr>
      <t xml:space="preserve">
</t>
    </r>
    <r>
      <rPr>
        <b/>
        <sz val="11"/>
        <rFont val="Calibri"/>
        <family val="2"/>
      </rPr>
      <t>PI 41:</t>
    </r>
    <r>
      <rPr>
        <sz val="11"/>
        <rFont val="Calibri"/>
        <family val="2"/>
      </rPr>
      <t xml:space="preserve">
The assessment requires students to identify and address relevant ethical and professional responsibilities associated with the radar system design. Students must consider how engineering decisions related to system operation, safety, reliability, privacy, or potential misuse may affect users or other stakeholders, and explain how these responsibilities influence an engineering decision or recommendation.
</t>
    </r>
    <r>
      <rPr>
        <b/>
        <sz val="11"/>
        <rFont val="Calibri"/>
        <family val="2"/>
      </rPr>
      <t>PI 42:</t>
    </r>
    <r>
      <rPr>
        <sz val="11"/>
        <rFont val="Calibri"/>
        <family val="2"/>
      </rPr>
      <t xml:space="preserve">
The assessment requires students to consider the relevant global, societal, economic, and/or environmental impacts of the radar system and use these considerations to make an informed engineering judgment or decision. Students must identify applicable impacts, analyze their significance to the proposed solution, and explain how they influence a design decision, recommendation, or conclusion.
</t>
    </r>
    <r>
      <rPr>
        <b/>
        <sz val="11"/>
        <rFont val="Calibri"/>
        <family val="2"/>
      </rPr>
      <t/>
    </r>
  </si>
  <si>
    <t>Assessment Method and Evidence Source</t>
  </si>
  <si>
    <r>
      <rPr>
        <sz val="11"/>
        <color rgb="FFFF0000"/>
        <rFont val="Calibri"/>
        <family val="2"/>
      </rPr>
      <t>List all SO4 assessment instruments and indicate whether each provides team-based or individual evidence. Each instrument should be supported by corresponding evidence when collected, except structured oral assessment.</t>
    </r>
    <r>
      <rPr>
        <sz val="11"/>
        <color theme="1"/>
        <rFont val="Calibri"/>
        <family val="2"/>
      </rPr>
      <t xml:space="preserve">
</t>
    </r>
    <r>
      <rPr>
        <b/>
        <sz val="11"/>
        <color theme="1"/>
        <rFont val="Calibri"/>
        <family val="2"/>
      </rPr>
      <t>Team based:</t>
    </r>
    <r>
      <rPr>
        <sz val="11"/>
        <color theme="1"/>
        <rFont val="Calibri"/>
        <family val="2"/>
      </rPr>
      <t xml:space="preserve">
-final design report, 
-presentation
-prototype demonstration 
</t>
    </r>
    <r>
      <rPr>
        <b/>
        <sz val="11"/>
        <color theme="1"/>
        <rFont val="Calibri"/>
        <family val="2"/>
      </rPr>
      <t>individaul assssment:</t>
    </r>
    <r>
      <rPr>
        <sz val="11"/>
        <color theme="1"/>
        <rFont val="Calibri"/>
        <family val="2"/>
      </rPr>
      <t xml:space="preserve">
-individual oral defense, 
-oral presentation discussion, 
-assignment,
- exam (mention the exam and question number, e.g. Final exam, Q4. ]</t>
    </r>
  </si>
  <si>
    <t>PI Result %</t>
  </si>
  <si>
    <t>Project Title
 For courses without a project, enter N/A</t>
  </si>
  <si>
    <r>
      <rPr>
        <b/>
        <sz val="10"/>
        <rFont val="Cambria"/>
        <family val="1"/>
      </rPr>
      <t>Notes:</t>
    </r>
    <r>
      <rPr>
        <b/>
        <i/>
        <sz val="10"/>
        <rFont val="Cambria"/>
        <family val="1"/>
      </rPr>
      <t xml:space="preserve">
</t>
    </r>
    <r>
      <rPr>
        <sz val="10"/>
        <rFont val="Cambria"/>
        <family val="1"/>
      </rPr>
      <t>-PI results are calculated as the percentage of students who achieved a score of 2 or 3. 
-The SO result is calculated as the percentage of students whose average PI score is 2.0 or higher.
-When both project and individual assessments are used, the final PI score is determined based on the combined evidence (average) from both assessments.</t>
    </r>
  </si>
  <si>
    <r>
      <rPr>
        <b/>
        <sz val="10"/>
        <rFont val="Cambria"/>
        <family val="1"/>
      </rPr>
      <t xml:space="preserve">Assessment Note: </t>
    </r>
    <r>
      <rPr>
        <sz val="10"/>
        <rFont val="Cambria"/>
        <family val="1"/>
      </rPr>
      <t xml:space="preserve">
• Team-based assessment is based on team evidence (e.g., final report).
• Individual attainment may be verified through structured oral questions or individual exam questions.
• Use the checklist column(s) applicable to the selected assessment method; non-applicable checklist items may be left unused.
• For project-based assessment with oral individual verification, use the project checklist. For project-based assessment with individual exam verification, use both the project and exam checklists. For exam-only assessment, use the exam checklist.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</si>
</sst>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4" x14ac:knownFonts="1">
    <font>
      <sz val="11"/>
      <color theme="1"/>
      <name val="Calibri"/>
      <scheme val="minor"/>
    </font>
    <font>
      <b/>
      <sz val="12"/>
      <color theme="1"/>
      <name val="Times New Roman"/>
      <family val="1"/>
    </font>
    <font>
      <sz val="11"/>
      <name val="Calibri"/>
      <family val="2"/>
    </font>
    <font>
      <sz val="12"/>
      <color theme="1"/>
      <name val="Times New Roman"/>
      <family val="1"/>
    </font>
    <font>
      <sz val="11"/>
      <color theme="1"/>
      <name val="Calibri"/>
      <family val="2"/>
    </font>
    <font>
      <b/>
      <sz val="12"/>
      <color theme="1"/>
      <name val="Calibri"/>
      <family val="2"/>
    </font>
    <font>
      <b/>
      <sz val="11"/>
      <color theme="1"/>
      <name val="Calibri"/>
      <family val="2"/>
    </font>
    <font>
      <sz val="10"/>
      <color rgb="FF000000"/>
      <name val="Calibri"/>
      <family val="2"/>
    </font>
    <font>
      <sz val="10"/>
      <color theme="1"/>
      <name val="Calibri"/>
      <family val="2"/>
    </font>
    <font>
      <sz val="11"/>
      <color theme="1"/>
      <name val="Cambria"/>
      <family val="1"/>
    </font>
    <font>
      <sz val="12"/>
      <color theme="1"/>
      <name val="Calibri"/>
      <family val="2"/>
    </font>
    <font>
      <sz val="11"/>
      <color rgb="FF000000"/>
      <name val="Cambria"/>
      <family val="1"/>
    </font>
    <font>
      <b/>
      <sz val="11"/>
      <color rgb="FF000000"/>
      <name val="Cambria"/>
      <family val="1"/>
    </font>
    <font>
      <sz val="12"/>
      <color theme="1"/>
      <name val="Arial"/>
      <family val="2"/>
    </font>
    <font>
      <b/>
      <sz val="12"/>
      <color theme="1"/>
      <name val="Arial"/>
      <family val="2"/>
    </font>
    <font>
      <sz val="11"/>
      <color rgb="FFFF0000"/>
      <name val="Calibri"/>
      <family val="2"/>
    </font>
    <font>
      <b/>
      <sz val="22"/>
      <color theme="1"/>
      <name val="Calibri"/>
      <family val="2"/>
    </font>
    <font>
      <b/>
      <sz val="14"/>
      <color theme="1"/>
      <name val="Calibri"/>
      <family val="2"/>
    </font>
    <font>
      <b/>
      <i/>
      <sz val="11"/>
      <color theme="1"/>
      <name val="Calibri"/>
      <family val="2"/>
    </font>
    <font>
      <b/>
      <sz val="10"/>
      <color theme="1"/>
      <name val="Arial"/>
      <family val="2"/>
    </font>
    <font>
      <sz val="10"/>
      <color theme="1"/>
      <name val="Arial"/>
      <family val="2"/>
    </font>
    <font>
      <sz val="11"/>
      <color rgb="FF000000"/>
      <name val="Calibri"/>
      <family val="2"/>
    </font>
    <font>
      <sz val="11"/>
      <color theme="1"/>
      <name val="Calibri"/>
      <family val="2"/>
    </font>
    <font>
      <b/>
      <sz val="11"/>
      <color theme="1"/>
      <name val="Calibri"/>
      <family val="2"/>
    </font>
    <font>
      <sz val="11"/>
      <color rgb="FFED0000"/>
      <name val="Calibri"/>
      <family val="2"/>
    </font>
    <font>
      <sz val="9"/>
      <color theme="1"/>
      <name val="Arial"/>
      <family val="2"/>
    </font>
    <font>
      <sz val="10"/>
      <color rgb="FF000000"/>
      <name val="Arial"/>
      <family val="2"/>
    </font>
    <font>
      <i/>
      <sz val="8"/>
      <color theme="1"/>
      <name val="Arial"/>
      <family val="2"/>
    </font>
    <font>
      <b/>
      <sz val="9"/>
      <color theme="1"/>
      <name val="Arial"/>
      <family val="2"/>
    </font>
    <font>
      <b/>
      <sz val="11"/>
      <color theme="1"/>
      <name val="Calibri"/>
      <family val="2"/>
      <scheme val="minor"/>
    </font>
    <font>
      <b/>
      <sz val="11"/>
      <name val="Calibri"/>
      <family val="2"/>
    </font>
    <font>
      <b/>
      <sz val="11"/>
      <color rgb="FF000000"/>
      <name val="Cambria"/>
      <family val="1"/>
    </font>
    <font>
      <b/>
      <i/>
      <sz val="10"/>
      <name val="Cambria"/>
      <family val="1"/>
    </font>
    <font>
      <sz val="10"/>
      <color rgb="FFFF0000"/>
      <name val="Calibri"/>
      <family val="2"/>
    </font>
    <font>
      <sz val="8"/>
      <color theme="1"/>
      <name val="Arial"/>
      <family val="2"/>
    </font>
    <font>
      <b/>
      <sz val="14"/>
      <color theme="1"/>
      <name val="Arial"/>
      <family val="2"/>
    </font>
    <font>
      <b/>
      <sz val="12"/>
      <color rgb="FF7030A0"/>
      <name val="Arial"/>
      <family val="2"/>
    </font>
    <font>
      <b/>
      <sz val="12"/>
      <name val="Arial"/>
      <family val="2"/>
    </font>
    <font>
      <sz val="12"/>
      <color rgb="FF0000FF"/>
      <name val="Arial"/>
      <family val="2"/>
    </font>
    <font>
      <b/>
      <sz val="12"/>
      <color rgb="FF000000"/>
      <name val="Arial"/>
      <family val="2"/>
    </font>
    <font>
      <sz val="12"/>
      <color rgb="FF000000"/>
      <name val="Arial"/>
      <family val="2"/>
    </font>
    <font>
      <b/>
      <sz val="10"/>
      <color rgb="FF7030A0"/>
      <name val="Arial"/>
      <family val="2"/>
    </font>
    <font>
      <b/>
      <sz val="10"/>
      <name val="Cambria"/>
      <family val="1"/>
    </font>
    <font>
      <sz val="10"/>
      <name val="Cambria"/>
      <family val="1"/>
    </font>
  </fonts>
  <fills count="23">
    <fill>
      <patternFill patternType="none"/>
    </fill>
    <fill>
      <patternFill patternType="gray125"/>
    </fill>
    <fill>
      <patternFill patternType="solid">
        <fgColor rgb="FFF2F2F2"/>
        <bgColor rgb="FFF2F2F2"/>
      </patternFill>
    </fill>
    <fill>
      <patternFill patternType="solid">
        <fgColor rgb="FFFDE9D9"/>
        <bgColor rgb="FFFDE9D9"/>
      </patternFill>
    </fill>
    <fill>
      <patternFill patternType="solid">
        <fgColor rgb="FFE5DFEC"/>
        <bgColor rgb="FFE5DFEC"/>
      </patternFill>
    </fill>
    <fill>
      <patternFill patternType="solid">
        <fgColor theme="0"/>
        <bgColor theme="0"/>
      </patternFill>
    </fill>
    <fill>
      <patternFill patternType="solid">
        <fgColor rgb="FFDDD9C3"/>
        <bgColor rgb="FFDDD9C3"/>
      </patternFill>
    </fill>
    <fill>
      <patternFill patternType="solid">
        <fgColor rgb="FFD8D8D8"/>
        <bgColor rgb="FFD8D8D8"/>
      </patternFill>
    </fill>
    <fill>
      <patternFill patternType="solid">
        <fgColor rgb="FF92D050"/>
        <bgColor rgb="FF92D050"/>
      </patternFill>
    </fill>
    <fill>
      <patternFill patternType="solid">
        <fgColor rgb="FFFFFFFF"/>
        <bgColor rgb="FFFFFFFF"/>
      </patternFill>
    </fill>
    <fill>
      <patternFill patternType="solid">
        <fgColor rgb="FF95B3D7"/>
        <bgColor rgb="FF95B3D7"/>
      </patternFill>
    </fill>
    <fill>
      <patternFill patternType="solid">
        <fgColor rgb="FFBFBFBF"/>
        <bgColor rgb="FFBFBFBF"/>
      </patternFill>
    </fill>
    <fill>
      <patternFill patternType="solid">
        <fgColor rgb="FFFFC000"/>
        <bgColor rgb="FFFFC000"/>
      </patternFill>
    </fill>
    <fill>
      <patternFill patternType="solid">
        <fgColor theme="9" tint="0.79998168889431442"/>
        <bgColor rgb="FF1F4E78"/>
      </patternFill>
    </fill>
    <fill>
      <patternFill patternType="solid">
        <fgColor theme="0"/>
        <bgColor indexed="64"/>
      </patternFill>
    </fill>
    <fill>
      <patternFill patternType="solid">
        <fgColor theme="0" tint="-4.9989318521683403E-2"/>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0"/>
        <bgColor rgb="FFFDE9D9"/>
      </patternFill>
    </fill>
    <fill>
      <patternFill patternType="solid">
        <fgColor rgb="FFFFF2CC"/>
      </patternFill>
    </fill>
    <fill>
      <patternFill patternType="solid">
        <fgColor rgb="FFFFC000"/>
        <bgColor indexed="64"/>
      </patternFill>
    </fill>
    <fill>
      <patternFill patternType="solid">
        <fgColor theme="9" tint="0.79998168889431442"/>
        <bgColor indexed="64"/>
      </patternFill>
    </fill>
  </fills>
  <borders count="63">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right/>
      <top/>
      <bottom/>
      <diagonal/>
    </border>
    <border>
      <left/>
      <right/>
      <top/>
      <bottom/>
      <diagonal/>
    </border>
    <border>
      <left style="thin">
        <color rgb="FF000000"/>
      </left>
      <right/>
      <top/>
      <bottom/>
      <diagonal/>
    </border>
    <border>
      <left style="thin">
        <color rgb="FF000000"/>
      </left>
      <right style="thin">
        <color rgb="FF000000"/>
      </right>
      <top/>
      <bottom/>
      <diagonal/>
    </border>
    <border>
      <left/>
      <right/>
      <top/>
      <bottom/>
      <diagonal/>
    </border>
    <border>
      <left/>
      <right/>
      <top/>
      <bottom/>
      <diagonal/>
    </border>
    <border>
      <left/>
      <right/>
      <top/>
      <bottom/>
      <diagonal/>
    </border>
    <border>
      <left style="thin">
        <color rgb="FF000000"/>
      </left>
      <right/>
      <top/>
      <bottom/>
      <diagonal/>
    </border>
    <border>
      <left/>
      <right/>
      <top/>
      <bottom/>
      <diagonal/>
    </border>
    <border>
      <left/>
      <right/>
      <top style="thin">
        <color rgb="FF000000"/>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
      <left/>
      <right/>
      <top/>
      <bottom/>
      <diagonal/>
    </border>
    <border>
      <left/>
      <right/>
      <top/>
      <bottom/>
      <diagonal/>
    </border>
    <border>
      <left/>
      <right/>
      <top/>
      <bottom style="thin">
        <color rgb="FF000000"/>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rgb="FFB7B7B7"/>
      </bottom>
      <diagonal/>
    </border>
    <border>
      <left/>
      <right style="thin">
        <color rgb="FFB7B7B7"/>
      </right>
      <top/>
      <bottom style="thin">
        <color rgb="FFB7B7B7"/>
      </bottom>
      <diagonal/>
    </border>
    <border>
      <left style="thin">
        <color rgb="FFB7B7B7"/>
      </left>
      <right style="thin">
        <color rgb="FFB7B7B7"/>
      </right>
      <top style="thin">
        <color rgb="FFB7B7B7"/>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top/>
      <bottom style="thin">
        <color indexed="64"/>
      </bottom>
      <diagonal/>
    </border>
  </borders>
  <cellStyleXfs count="1">
    <xf numFmtId="0" fontId="0" fillId="0" borderId="0"/>
  </cellStyleXfs>
  <cellXfs count="218">
    <xf numFmtId="0" fontId="0" fillId="0" borderId="0" xfId="0"/>
    <xf numFmtId="0" fontId="4" fillId="0" borderId="0" xfId="0" applyFont="1"/>
    <xf numFmtId="0" fontId="6" fillId="3" borderId="7" xfId="0" applyFont="1" applyFill="1" applyBorder="1" applyAlignment="1">
      <alignment horizontal="center" vertical="center"/>
    </xf>
    <xf numFmtId="0" fontId="4" fillId="0" borderId="8" xfId="0" applyFont="1" applyBorder="1" applyAlignment="1">
      <alignment horizontal="center" vertical="center"/>
    </xf>
    <xf numFmtId="0" fontId="8" fillId="0" borderId="8" xfId="0" applyFont="1" applyBorder="1" applyAlignment="1">
      <alignment vertical="center" wrapText="1"/>
    </xf>
    <xf numFmtId="0" fontId="10" fillId="0" borderId="8" xfId="0" applyFont="1" applyBorder="1" applyAlignment="1">
      <alignment horizontal="center"/>
    </xf>
    <xf numFmtId="0" fontId="4" fillId="0" borderId="0" xfId="0" applyFont="1" applyAlignment="1">
      <alignment horizontal="center"/>
    </xf>
    <xf numFmtId="0" fontId="11" fillId="3" borderId="10" xfId="0" applyFont="1" applyFill="1" applyBorder="1" applyAlignment="1">
      <alignment horizontal="center" vertical="center" wrapText="1"/>
    </xf>
    <xf numFmtId="0" fontId="11" fillId="4" borderId="8" xfId="0" applyFont="1" applyFill="1" applyBorder="1" applyAlignment="1">
      <alignment horizontal="center" vertical="center" wrapText="1"/>
    </xf>
    <xf numFmtId="0" fontId="11" fillId="6" borderId="8" xfId="0" applyFont="1" applyFill="1" applyBorder="1" applyAlignment="1">
      <alignment horizontal="center" vertical="center" wrapText="1"/>
    </xf>
    <xf numFmtId="0" fontId="11" fillId="4" borderId="11" xfId="0" applyFont="1" applyFill="1" applyBorder="1" applyAlignment="1">
      <alignment horizontal="center" vertical="center" wrapText="1"/>
    </xf>
    <xf numFmtId="0" fontId="11" fillId="6" borderId="11" xfId="0" applyFont="1" applyFill="1" applyBorder="1" applyAlignment="1">
      <alignment horizontal="center" vertical="center" wrapText="1"/>
    </xf>
    <xf numFmtId="0" fontId="11" fillId="0" borderId="8" xfId="0" applyFont="1" applyBorder="1" applyAlignment="1">
      <alignment vertical="center" wrapText="1"/>
    </xf>
    <xf numFmtId="0" fontId="4" fillId="3" borderId="26" xfId="0" applyFont="1" applyFill="1" applyBorder="1" applyAlignment="1">
      <alignment horizontal="right"/>
    </xf>
    <xf numFmtId="0" fontId="4" fillId="3" borderId="26" xfId="0" applyFont="1" applyFill="1" applyBorder="1" applyAlignment="1">
      <alignment horizontal="center" vertical="center"/>
    </xf>
    <xf numFmtId="0" fontId="6" fillId="4" borderId="8" xfId="0" applyFont="1" applyFill="1" applyBorder="1" applyAlignment="1">
      <alignment horizontal="center" vertical="center"/>
    </xf>
    <xf numFmtId="0" fontId="4" fillId="3" borderId="8" xfId="0" applyFont="1" applyFill="1" applyBorder="1" applyAlignment="1">
      <alignment horizontal="left" vertical="center"/>
    </xf>
    <xf numFmtId="0" fontId="15" fillId="4" borderId="8" xfId="0" applyFont="1" applyFill="1" applyBorder="1" applyAlignment="1">
      <alignment horizontal="center"/>
    </xf>
    <xf numFmtId="0" fontId="4" fillId="0" borderId="8" xfId="0" applyFont="1" applyBorder="1" applyAlignment="1">
      <alignment horizontal="center" vertical="center" wrapText="1"/>
    </xf>
    <xf numFmtId="0" fontId="4" fillId="0" borderId="8" xfId="0" applyFont="1" applyBorder="1" applyAlignment="1">
      <alignment horizontal="left"/>
    </xf>
    <xf numFmtId="0" fontId="4" fillId="0" borderId="8" xfId="0" applyFont="1" applyBorder="1" applyAlignment="1">
      <alignment horizontal="center"/>
    </xf>
    <xf numFmtId="2" fontId="4" fillId="0" borderId="8" xfId="0" applyNumberFormat="1" applyFont="1" applyBorder="1" applyAlignment="1">
      <alignment horizontal="center"/>
    </xf>
    <xf numFmtId="0" fontId="4" fillId="5" borderId="26" xfId="0" applyFont="1" applyFill="1" applyBorder="1"/>
    <xf numFmtId="0" fontId="4" fillId="0" borderId="1" xfId="0" applyFont="1" applyBorder="1" applyAlignment="1">
      <alignment horizontal="center"/>
    </xf>
    <xf numFmtId="2" fontId="4" fillId="0" borderId="0" xfId="0" applyNumberFormat="1" applyFont="1" applyAlignment="1">
      <alignment horizontal="center"/>
    </xf>
    <xf numFmtId="10" fontId="4" fillId="0" borderId="0" xfId="0" applyNumberFormat="1" applyFont="1" applyAlignment="1">
      <alignment horizontal="center"/>
    </xf>
    <xf numFmtId="0" fontId="4" fillId="0" borderId="12" xfId="0" applyFont="1" applyBorder="1" applyAlignment="1">
      <alignment horizontal="center"/>
    </xf>
    <xf numFmtId="0" fontId="4" fillId="0" borderId="0" xfId="0" applyFont="1" applyAlignment="1">
      <alignment horizontal="center" vertical="center" wrapText="1"/>
    </xf>
    <xf numFmtId="0" fontId="4" fillId="0" borderId="0" xfId="0" applyFont="1" applyAlignment="1">
      <alignment horizontal="left"/>
    </xf>
    <xf numFmtId="0" fontId="10" fillId="3" borderId="8" xfId="0" applyFont="1" applyFill="1" applyBorder="1" applyAlignment="1">
      <alignment horizontal="center" vertical="center"/>
    </xf>
    <xf numFmtId="0" fontId="10" fillId="3" borderId="15" xfId="0" applyFont="1" applyFill="1" applyBorder="1" applyAlignment="1">
      <alignment horizontal="center"/>
    </xf>
    <xf numFmtId="0" fontId="6" fillId="0" borderId="8" xfId="0" applyFont="1" applyBorder="1" applyAlignment="1">
      <alignment horizontal="center"/>
    </xf>
    <xf numFmtId="0" fontId="10" fillId="3" borderId="8" xfId="0" applyFont="1" applyFill="1" applyBorder="1" applyAlignment="1">
      <alignment horizontal="center"/>
    </xf>
    <xf numFmtId="0" fontId="5" fillId="5" borderId="26" xfId="0" applyFont="1" applyFill="1" applyBorder="1" applyAlignment="1">
      <alignment horizontal="right"/>
    </xf>
    <xf numFmtId="164" fontId="5" fillId="5" borderId="8" xfId="0" applyNumberFormat="1" applyFont="1" applyFill="1" applyBorder="1" applyAlignment="1">
      <alignment horizontal="center" vertical="center"/>
    </xf>
    <xf numFmtId="0" fontId="4" fillId="0" borderId="0" xfId="0" applyFont="1" applyAlignment="1">
      <alignment horizontal="right"/>
    </xf>
    <xf numFmtId="0" fontId="4" fillId="0" borderId="8" xfId="0" applyFont="1" applyBorder="1" applyAlignment="1">
      <alignment horizontal="center" wrapText="1"/>
    </xf>
    <xf numFmtId="0" fontId="6" fillId="11" borderId="7" xfId="0" applyFont="1" applyFill="1" applyBorder="1" applyAlignment="1">
      <alignment horizontal="center"/>
    </xf>
    <xf numFmtId="0" fontId="4" fillId="0" borderId="39" xfId="0" applyFont="1" applyBorder="1" applyAlignment="1">
      <alignment horizontal="center" vertical="center"/>
    </xf>
    <xf numFmtId="0" fontId="4" fillId="0" borderId="42" xfId="0" applyFont="1" applyBorder="1" applyAlignment="1">
      <alignment horizontal="center" vertical="center"/>
    </xf>
    <xf numFmtId="0" fontId="4" fillId="0" borderId="44" xfId="0" applyFont="1" applyBorder="1" applyAlignment="1">
      <alignment horizontal="center" vertical="center"/>
    </xf>
    <xf numFmtId="0" fontId="4" fillId="0" borderId="48" xfId="0" applyFont="1" applyBorder="1" applyAlignment="1">
      <alignment horizontal="center" vertical="center"/>
    </xf>
    <xf numFmtId="0" fontId="6" fillId="0" borderId="0" xfId="0" applyFont="1"/>
    <xf numFmtId="0" fontId="17" fillId="0" borderId="0" xfId="0" applyFont="1"/>
    <xf numFmtId="0" fontId="10" fillId="0" borderId="0" xfId="0" applyFont="1" applyAlignment="1">
      <alignment wrapText="1"/>
    </xf>
    <xf numFmtId="0" fontId="4" fillId="0" borderId="0" xfId="0" applyFont="1" applyAlignment="1">
      <alignment wrapText="1"/>
    </xf>
    <xf numFmtId="0" fontId="6" fillId="0" borderId="0" xfId="0" applyFont="1" applyAlignment="1">
      <alignment horizontal="center"/>
    </xf>
    <xf numFmtId="0" fontId="5" fillId="0" borderId="8" xfId="0" applyFont="1" applyBorder="1" applyAlignment="1">
      <alignment horizontal="center"/>
    </xf>
    <xf numFmtId="0" fontId="5" fillId="0" borderId="8" xfId="0" applyFont="1" applyBorder="1" applyAlignment="1">
      <alignment horizontal="center" wrapText="1"/>
    </xf>
    <xf numFmtId="0" fontId="4" fillId="0" borderId="8" xfId="0" applyFont="1" applyBorder="1" applyAlignment="1">
      <alignment vertical="top" wrapText="1"/>
    </xf>
    <xf numFmtId="0" fontId="4" fillId="0" borderId="8" xfId="0" applyFont="1" applyBorder="1" applyAlignment="1">
      <alignment wrapText="1"/>
    </xf>
    <xf numFmtId="0" fontId="10" fillId="0" borderId="0" xfId="0" applyFont="1" applyAlignment="1">
      <alignment horizontal="center" wrapText="1"/>
    </xf>
    <xf numFmtId="0" fontId="4" fillId="0" borderId="0" xfId="0" applyFont="1" applyAlignment="1">
      <alignment horizontal="center" wrapText="1"/>
    </xf>
    <xf numFmtId="0" fontId="10" fillId="0" borderId="8" xfId="0" applyFont="1" applyBorder="1" applyAlignment="1">
      <alignment vertical="top" wrapText="1"/>
    </xf>
    <xf numFmtId="0" fontId="5" fillId="7" borderId="8" xfId="0" applyFont="1" applyFill="1" applyBorder="1" applyAlignment="1">
      <alignment horizontal="center"/>
    </xf>
    <xf numFmtId="0" fontId="5" fillId="7" borderId="8" xfId="0" applyFont="1" applyFill="1" applyBorder="1" applyAlignment="1">
      <alignment horizontal="center" wrapText="1"/>
    </xf>
    <xf numFmtId="0" fontId="10" fillId="7" borderId="8" xfId="0" applyFont="1" applyFill="1" applyBorder="1" applyAlignment="1">
      <alignment horizontal="center"/>
    </xf>
    <xf numFmtId="0" fontId="10" fillId="7" borderId="8" xfId="0" applyFont="1" applyFill="1" applyBorder="1" applyAlignment="1">
      <alignment vertical="top" wrapText="1"/>
    </xf>
    <xf numFmtId="0" fontId="6" fillId="7" borderId="8" xfId="0" applyFont="1" applyFill="1" applyBorder="1" applyAlignment="1">
      <alignment horizontal="center" vertical="center" wrapText="1"/>
    </xf>
    <xf numFmtId="0" fontId="6" fillId="7" borderId="8" xfId="0" applyFont="1" applyFill="1" applyBorder="1" applyAlignment="1">
      <alignment vertical="center" wrapText="1"/>
    </xf>
    <xf numFmtId="0" fontId="4" fillId="7" borderId="8" xfId="0" applyFont="1" applyFill="1" applyBorder="1" applyAlignment="1">
      <alignment vertical="center" wrapText="1"/>
    </xf>
    <xf numFmtId="2" fontId="19" fillId="0" borderId="8" xfId="0" applyNumberFormat="1" applyFont="1" applyBorder="1" applyAlignment="1">
      <alignment horizontal="left"/>
    </xf>
    <xf numFmtId="0" fontId="19" fillId="0" borderId="8" xfId="0" applyFont="1" applyBorder="1" applyAlignment="1">
      <alignment horizontal="left"/>
    </xf>
    <xf numFmtId="0" fontId="20" fillId="0" borderId="8" xfId="0" applyFont="1" applyBorder="1"/>
    <xf numFmtId="2" fontId="19" fillId="0" borderId="8" xfId="0" applyNumberFormat="1" applyFont="1" applyBorder="1" applyAlignment="1">
      <alignment horizontal="center" vertical="center"/>
    </xf>
    <xf numFmtId="0" fontId="19" fillId="0" borderId="8" xfId="0" applyFont="1" applyBorder="1" applyAlignment="1">
      <alignment horizontal="center" vertical="center"/>
    </xf>
    <xf numFmtId="0" fontId="20" fillId="0" borderId="8" xfId="0" applyFont="1" applyBorder="1" applyAlignment="1">
      <alignment horizontal="center" vertical="center" wrapText="1"/>
    </xf>
    <xf numFmtId="0" fontId="25" fillId="0" borderId="0" xfId="0" applyFont="1"/>
    <xf numFmtId="0" fontId="26" fillId="0" borderId="0" xfId="0" applyFont="1" applyAlignment="1">
      <alignment horizontal="center" vertical="center" wrapText="1"/>
    </xf>
    <xf numFmtId="0" fontId="27" fillId="14" borderId="50" xfId="0" applyFont="1" applyFill="1" applyBorder="1" applyAlignment="1">
      <alignment horizontal="left" vertical="top" wrapText="1"/>
    </xf>
    <xf numFmtId="0" fontId="27" fillId="15" borderId="50" xfId="0" applyFont="1" applyFill="1" applyBorder="1" applyAlignment="1">
      <alignment horizontal="left" vertical="top" wrapText="1"/>
    </xf>
    <xf numFmtId="0" fontId="28" fillId="0" borderId="0" xfId="0" applyFont="1"/>
    <xf numFmtId="0" fontId="26" fillId="0" borderId="0" xfId="0" applyFont="1" applyAlignment="1">
      <alignment horizontal="center"/>
    </xf>
    <xf numFmtId="0" fontId="30" fillId="0" borderId="50" xfId="0" applyFont="1" applyBorder="1" applyAlignment="1">
      <alignment vertical="center" wrapText="1"/>
    </xf>
    <xf numFmtId="0" fontId="11" fillId="19" borderId="50" xfId="0" applyFont="1" applyFill="1" applyBorder="1" applyAlignment="1">
      <alignment horizontal="center" vertical="center" wrapText="1"/>
    </xf>
    <xf numFmtId="0" fontId="33" fillId="0" borderId="8" xfId="0" applyFont="1" applyBorder="1" applyAlignment="1">
      <alignment horizontal="center" vertical="center" wrapText="1"/>
    </xf>
    <xf numFmtId="0" fontId="34" fillId="14" borderId="50" xfId="0" applyFont="1" applyFill="1" applyBorder="1" applyAlignment="1">
      <alignment horizontal="left" vertical="top" wrapText="1"/>
    </xf>
    <xf numFmtId="0" fontId="34" fillId="15" borderId="50" xfId="0" applyFont="1" applyFill="1" applyBorder="1" applyAlignment="1">
      <alignment horizontal="left" vertical="top" wrapText="1"/>
    </xf>
    <xf numFmtId="0" fontId="11" fillId="19" borderId="52" xfId="0" applyFont="1" applyFill="1" applyBorder="1" applyAlignment="1">
      <alignment horizontal="center" vertical="center" wrapText="1"/>
    </xf>
    <xf numFmtId="0" fontId="2" fillId="0" borderId="50" xfId="0" applyFont="1" applyBorder="1" applyAlignment="1">
      <alignment wrapText="1"/>
    </xf>
    <xf numFmtId="0" fontId="2" fillId="0" borderId="50" xfId="0" applyFont="1" applyBorder="1" applyAlignment="1">
      <alignment vertical="center" wrapText="1"/>
    </xf>
    <xf numFmtId="0" fontId="36" fillId="21" borderId="53" xfId="0" applyFont="1" applyFill="1" applyBorder="1"/>
    <xf numFmtId="0" fontId="14" fillId="22" borderId="56" xfId="0" applyFont="1" applyFill="1" applyBorder="1" applyAlignment="1">
      <alignment horizontal="center" vertical="center"/>
    </xf>
    <xf numFmtId="0" fontId="37" fillId="13" borderId="55" xfId="0" applyFont="1" applyFill="1" applyBorder="1" applyAlignment="1">
      <alignment horizontal="center" vertical="center" wrapText="1"/>
    </xf>
    <xf numFmtId="0" fontId="13" fillId="0" borderId="50" xfId="0" applyFont="1" applyBorder="1" applyAlignment="1">
      <alignment horizontal="center" wrapText="1"/>
    </xf>
    <xf numFmtId="0" fontId="38" fillId="0" borderId="50" xfId="0" applyFont="1" applyBorder="1" applyAlignment="1">
      <alignment horizontal="center" vertical="center" wrapText="1"/>
    </xf>
    <xf numFmtId="164" fontId="39" fillId="18" borderId="50" xfId="0" applyNumberFormat="1" applyFont="1" applyFill="1" applyBorder="1" applyAlignment="1">
      <alignment horizontal="center" vertical="center" wrapText="1"/>
    </xf>
    <xf numFmtId="0" fontId="40" fillId="14" borderId="50" xfId="0" applyFont="1" applyFill="1" applyBorder="1" applyAlignment="1">
      <alignment horizontal="center" vertical="center" wrapText="1"/>
    </xf>
    <xf numFmtId="0" fontId="13" fillId="15" borderId="50" xfId="0" applyFont="1" applyFill="1" applyBorder="1" applyAlignment="1">
      <alignment horizontal="center" wrapText="1"/>
    </xf>
    <xf numFmtId="0" fontId="38" fillId="15" borderId="50" xfId="0" applyFont="1" applyFill="1" applyBorder="1" applyAlignment="1">
      <alignment horizontal="center" vertical="center" wrapText="1"/>
    </xf>
    <xf numFmtId="0" fontId="40" fillId="15" borderId="50" xfId="0" applyFont="1" applyFill="1" applyBorder="1" applyAlignment="1">
      <alignment horizontal="center" vertical="center" wrapText="1"/>
    </xf>
    <xf numFmtId="0" fontId="13" fillId="15" borderId="50" xfId="0" applyFont="1" applyFill="1" applyBorder="1"/>
    <xf numFmtId="0" fontId="13" fillId="15" borderId="50" xfId="0" applyFont="1" applyFill="1" applyBorder="1" applyAlignment="1">
      <alignment horizontal="center" vertical="center"/>
    </xf>
    <xf numFmtId="0" fontId="13" fillId="14" borderId="50" xfId="0" applyFont="1" applyFill="1" applyBorder="1"/>
    <xf numFmtId="0" fontId="13" fillId="14" borderId="50" xfId="0" applyFont="1" applyFill="1" applyBorder="1" applyAlignment="1">
      <alignment horizontal="center" vertical="center"/>
    </xf>
    <xf numFmtId="0" fontId="13" fillId="15" borderId="49" xfId="0" applyFont="1" applyFill="1" applyBorder="1" applyAlignment="1">
      <alignment horizontal="center"/>
    </xf>
    <xf numFmtId="0" fontId="13" fillId="15" borderId="49" xfId="0" applyFont="1" applyFill="1" applyBorder="1"/>
    <xf numFmtId="164" fontId="13" fillId="17" borderId="49" xfId="0" applyNumberFormat="1" applyFont="1" applyFill="1" applyBorder="1" applyAlignment="1">
      <alignment horizontal="center" vertical="center"/>
    </xf>
    <xf numFmtId="0" fontId="13" fillId="16" borderId="49" xfId="0" applyFont="1" applyFill="1" applyBorder="1" applyAlignment="1">
      <alignment horizontal="center" vertical="center"/>
    </xf>
    <xf numFmtId="0" fontId="13" fillId="15" borderId="49" xfId="0" applyFont="1" applyFill="1" applyBorder="1" applyAlignment="1">
      <alignment wrapText="1"/>
    </xf>
    <xf numFmtId="0" fontId="41" fillId="21" borderId="49" xfId="0" applyFont="1" applyFill="1" applyBorder="1"/>
    <xf numFmtId="0" fontId="41" fillId="21" borderId="54" xfId="0" applyFont="1" applyFill="1" applyBorder="1"/>
    <xf numFmtId="0" fontId="34" fillId="15" borderId="50" xfId="0" applyFont="1" applyFill="1" applyBorder="1" applyAlignment="1">
      <alignment wrapText="1"/>
    </xf>
    <xf numFmtId="0" fontId="34" fillId="14" borderId="50" xfId="0" applyFont="1" applyFill="1" applyBorder="1" applyAlignment="1">
      <alignment wrapText="1"/>
    </xf>
    <xf numFmtId="0" fontId="13" fillId="0" borderId="50" xfId="0" applyFont="1" applyBorder="1" applyAlignment="1">
      <alignment horizontal="center" vertical="center" wrapText="1"/>
    </xf>
    <xf numFmtId="0" fontId="13" fillId="15" borderId="50" xfId="0" applyFont="1" applyFill="1" applyBorder="1" applyAlignment="1">
      <alignment horizontal="center" vertical="center" wrapText="1"/>
    </xf>
    <xf numFmtId="0" fontId="13" fillId="15" borderId="50" xfId="0" applyFont="1" applyFill="1" applyBorder="1" applyAlignment="1">
      <alignment vertical="center"/>
    </xf>
    <xf numFmtId="0" fontId="13" fillId="14" borderId="50" xfId="0" applyFont="1" applyFill="1" applyBorder="1" applyAlignment="1">
      <alignment horizontal="right"/>
    </xf>
    <xf numFmtId="0" fontId="13" fillId="15" borderId="50" xfId="0" applyFont="1" applyFill="1" applyBorder="1" applyAlignment="1">
      <alignment horizontal="right"/>
    </xf>
    <xf numFmtId="0" fontId="20" fillId="16" borderId="49" xfId="0" applyFont="1" applyFill="1" applyBorder="1" applyAlignment="1">
      <alignment horizontal="center" vertical="center"/>
    </xf>
    <xf numFmtId="0" fontId="20" fillId="17" borderId="49" xfId="0" applyFont="1" applyFill="1" applyBorder="1" applyAlignment="1">
      <alignment horizontal="right"/>
    </xf>
    <xf numFmtId="0" fontId="35" fillId="0" borderId="51" xfId="0" applyFont="1" applyBorder="1" applyAlignment="1">
      <alignment horizontal="center"/>
    </xf>
    <xf numFmtId="0" fontId="32" fillId="20" borderId="49" xfId="0" applyFont="1" applyFill="1" applyBorder="1" applyAlignment="1">
      <alignment horizontal="left" vertical="center" wrapText="1"/>
    </xf>
    <xf numFmtId="0" fontId="3" fillId="2" borderId="1" xfId="0" applyFont="1" applyFill="1" applyBorder="1" applyAlignment="1">
      <alignment horizontal="left"/>
    </xf>
    <xf numFmtId="0" fontId="2" fillId="0" borderId="3" xfId="0" applyFont="1" applyBorder="1"/>
    <xf numFmtId="0" fontId="2" fillId="0" borderId="2" xfId="0" applyFont="1" applyBorder="1"/>
    <xf numFmtId="0" fontId="4" fillId="0" borderId="50" xfId="0" applyFont="1" applyBorder="1" applyAlignment="1">
      <alignment horizontal="left" vertical="center" wrapText="1"/>
    </xf>
    <xf numFmtId="0" fontId="2" fillId="0" borderId="50" xfId="0" applyFont="1" applyBorder="1"/>
    <xf numFmtId="0" fontId="6" fillId="3" borderId="59" xfId="0" applyFont="1" applyFill="1" applyBorder="1" applyAlignment="1">
      <alignment horizontal="center" vertical="center" wrapText="1"/>
    </xf>
    <xf numFmtId="0" fontId="6" fillId="3" borderId="60" xfId="0" applyFont="1" applyFill="1" applyBorder="1" applyAlignment="1">
      <alignment horizontal="center" vertical="center" wrapText="1"/>
    </xf>
    <xf numFmtId="0" fontId="6" fillId="3" borderId="61" xfId="0" applyFont="1" applyFill="1" applyBorder="1" applyAlignment="1">
      <alignment horizontal="center" vertical="center" wrapText="1"/>
    </xf>
    <xf numFmtId="0" fontId="4" fillId="0" borderId="50" xfId="0" applyFont="1" applyBorder="1" applyAlignment="1">
      <alignment horizontal="left" vertical="top" wrapText="1"/>
    </xf>
    <xf numFmtId="0" fontId="22" fillId="0" borderId="50" xfId="0" applyFont="1" applyBorder="1" applyAlignment="1">
      <alignment horizontal="left" vertical="top" wrapText="1"/>
    </xf>
    <xf numFmtId="0" fontId="6" fillId="3" borderId="12" xfId="0" applyFont="1" applyFill="1" applyBorder="1" applyAlignment="1">
      <alignment horizontal="center" vertical="center"/>
    </xf>
    <xf numFmtId="0" fontId="23" fillId="3" borderId="34" xfId="0" applyFont="1" applyFill="1" applyBorder="1" applyAlignment="1">
      <alignment horizontal="center" vertical="center"/>
    </xf>
    <xf numFmtId="0" fontId="6" fillId="3" borderId="12" xfId="0" applyFont="1" applyFill="1" applyBorder="1" applyAlignment="1">
      <alignment horizontal="center" vertical="center" wrapText="1"/>
    </xf>
    <xf numFmtId="0" fontId="2" fillId="0" borderId="13" xfId="0" applyFont="1" applyBorder="1" applyAlignment="1">
      <alignment wrapText="1"/>
    </xf>
    <xf numFmtId="0" fontId="1" fillId="2" borderId="1" xfId="0" applyFont="1" applyFill="1" applyBorder="1" applyAlignment="1">
      <alignment horizontal="left"/>
    </xf>
    <xf numFmtId="0" fontId="1" fillId="2" borderId="2" xfId="0" applyFont="1" applyFill="1" applyBorder="1" applyAlignment="1">
      <alignment horizontal="left"/>
    </xf>
    <xf numFmtId="0" fontId="7" fillId="0" borderId="1" xfId="0" applyFont="1" applyBorder="1" applyAlignment="1">
      <alignment horizontal="left" vertical="center" wrapText="1"/>
    </xf>
    <xf numFmtId="0" fontId="4" fillId="0" borderId="33" xfId="0" applyFont="1" applyBorder="1" applyAlignment="1">
      <alignment horizontal="center" vertical="center"/>
    </xf>
    <xf numFmtId="0" fontId="29" fillId="0" borderId="33" xfId="0" applyFont="1" applyBorder="1" applyAlignment="1">
      <alignment horizontal="left"/>
    </xf>
    <xf numFmtId="0" fontId="4" fillId="0" borderId="1" xfId="0" applyFont="1" applyBorder="1" applyAlignment="1">
      <alignment horizontal="left" vertical="center" wrapText="1"/>
    </xf>
    <xf numFmtId="0" fontId="4" fillId="0" borderId="0" xfId="0" applyFont="1"/>
    <xf numFmtId="0" fontId="0" fillId="0" borderId="0" xfId="0"/>
    <xf numFmtId="0" fontId="5" fillId="3" borderId="4" xfId="0" applyFont="1" applyFill="1" applyBorder="1" applyAlignment="1">
      <alignment horizontal="center" vertical="center" wrapText="1"/>
    </xf>
    <xf numFmtId="0" fontId="2" fillId="0" borderId="5" xfId="0" applyFont="1" applyBorder="1"/>
    <xf numFmtId="0" fontId="2" fillId="0" borderId="6" xfId="0" applyFont="1" applyBorder="1"/>
    <xf numFmtId="0" fontId="5" fillId="3" borderId="1" xfId="0" applyFont="1" applyFill="1" applyBorder="1" applyAlignment="1">
      <alignment horizontal="center" vertical="center" wrapText="1"/>
    </xf>
    <xf numFmtId="0" fontId="3" fillId="2" borderId="1" xfId="0" applyFont="1" applyFill="1" applyBorder="1"/>
    <xf numFmtId="0" fontId="12" fillId="5" borderId="62" xfId="0" applyFont="1" applyFill="1" applyBorder="1" applyAlignment="1">
      <alignment horizontal="center" vertical="center" wrapText="1"/>
    </xf>
    <xf numFmtId="0" fontId="12" fillId="5" borderId="56" xfId="0" applyFont="1" applyFill="1" applyBorder="1" applyAlignment="1">
      <alignment horizontal="center" vertical="center" wrapText="1"/>
    </xf>
    <xf numFmtId="0" fontId="12" fillId="3" borderId="50" xfId="0" applyFont="1" applyFill="1" applyBorder="1" applyAlignment="1">
      <alignment horizontal="center" vertical="center" wrapText="1"/>
    </xf>
    <xf numFmtId="0" fontId="30" fillId="0" borderId="50" xfId="0" applyFont="1" applyBorder="1" applyAlignment="1">
      <alignment horizontal="center"/>
    </xf>
    <xf numFmtId="0" fontId="31" fillId="3" borderId="50" xfId="0" applyFont="1" applyFill="1" applyBorder="1" applyAlignment="1">
      <alignment horizontal="center" vertical="center" wrapText="1"/>
    </xf>
    <xf numFmtId="0" fontId="30" fillId="0" borderId="50" xfId="0" applyFont="1" applyBorder="1"/>
    <xf numFmtId="0" fontId="31" fillId="3" borderId="51" xfId="0" applyFont="1" applyFill="1" applyBorder="1" applyAlignment="1">
      <alignment horizontal="center" vertical="center" wrapText="1"/>
    </xf>
    <xf numFmtId="0" fontId="31" fillId="3" borderId="52" xfId="0" applyFont="1" applyFill="1" applyBorder="1" applyAlignment="1">
      <alignment horizontal="center" vertical="center" wrapText="1"/>
    </xf>
    <xf numFmtId="0" fontId="4" fillId="0" borderId="18" xfId="0" applyFont="1" applyBorder="1" applyAlignment="1">
      <alignment horizontal="center" vertical="center" wrapText="1"/>
    </xf>
    <xf numFmtId="0" fontId="2" fillId="0" borderId="19" xfId="0" applyFont="1" applyBorder="1"/>
    <xf numFmtId="0" fontId="2" fillId="0" borderId="14" xfId="0" applyFont="1" applyBorder="1"/>
    <xf numFmtId="0" fontId="4" fillId="0" borderId="18" xfId="0" applyFont="1" applyBorder="1" applyAlignment="1">
      <alignment horizontal="center" vertical="center"/>
    </xf>
    <xf numFmtId="0" fontId="4" fillId="0" borderId="18" xfId="0" applyFont="1" applyBorder="1" applyAlignment="1">
      <alignment horizontal="left" vertical="center" wrapText="1"/>
    </xf>
    <xf numFmtId="0" fontId="4" fillId="0" borderId="13" xfId="0" applyFont="1" applyBorder="1" applyAlignment="1">
      <alignment horizontal="center" vertical="center" wrapText="1"/>
    </xf>
    <xf numFmtId="0" fontId="2" fillId="0" borderId="21" xfId="0" applyFont="1" applyBorder="1"/>
    <xf numFmtId="0" fontId="2" fillId="0" borderId="17" xfId="0" applyFont="1" applyBorder="1"/>
    <xf numFmtId="0" fontId="11" fillId="0" borderId="18" xfId="0" applyFont="1" applyBorder="1" applyAlignment="1">
      <alignment vertical="center" wrapText="1"/>
    </xf>
    <xf numFmtId="0" fontId="12" fillId="0" borderId="18" xfId="0" applyFont="1" applyBorder="1" applyAlignment="1">
      <alignment vertical="center" wrapText="1"/>
    </xf>
    <xf numFmtId="0" fontId="12" fillId="5" borderId="1" xfId="0" applyFont="1" applyFill="1" applyBorder="1" applyAlignment="1">
      <alignment horizontal="center" vertical="center" wrapText="1"/>
    </xf>
    <xf numFmtId="0" fontId="11" fillId="3" borderId="9" xfId="0" applyFont="1" applyFill="1" applyBorder="1" applyAlignment="1">
      <alignment horizontal="center" vertical="center" wrapText="1"/>
    </xf>
    <xf numFmtId="0" fontId="2" fillId="0" borderId="25" xfId="0" applyFont="1" applyBorder="1"/>
    <xf numFmtId="0" fontId="11" fillId="3" borderId="9" xfId="0" applyFont="1" applyFill="1" applyBorder="1" applyAlignment="1">
      <alignment vertical="center" wrapText="1"/>
    </xf>
    <xf numFmtId="0" fontId="9" fillId="0" borderId="18" xfId="0" applyFont="1" applyBorder="1" applyAlignment="1">
      <alignment vertical="center" wrapText="1"/>
    </xf>
    <xf numFmtId="0" fontId="11" fillId="0" borderId="18" xfId="0" applyFont="1" applyBorder="1" applyAlignment="1">
      <alignment horizontal="center" vertical="center" wrapText="1"/>
    </xf>
    <xf numFmtId="0" fontId="4" fillId="3" borderId="1" xfId="0" applyFont="1" applyFill="1" applyBorder="1" applyAlignment="1">
      <alignment horizontal="left" vertical="center"/>
    </xf>
    <xf numFmtId="0" fontId="13" fillId="7" borderId="18" xfId="0" applyFont="1" applyFill="1" applyBorder="1" applyAlignment="1">
      <alignment horizontal="center" vertical="center"/>
    </xf>
    <xf numFmtId="0" fontId="14" fillId="7" borderId="18" xfId="0" applyFont="1" applyFill="1" applyBorder="1" applyAlignment="1">
      <alignment horizontal="center" vertical="center"/>
    </xf>
    <xf numFmtId="0" fontId="6" fillId="4" borderId="18" xfId="0" applyFont="1" applyFill="1" applyBorder="1" applyAlignment="1">
      <alignment horizontal="center" vertical="center" wrapText="1"/>
    </xf>
    <xf numFmtId="0" fontId="6" fillId="8" borderId="1" xfId="0" applyFont="1" applyFill="1" applyBorder="1" applyAlignment="1">
      <alignment horizontal="center"/>
    </xf>
    <xf numFmtId="0" fontId="2" fillId="0" borderId="33" xfId="0" applyFont="1" applyBorder="1"/>
    <xf numFmtId="0" fontId="5" fillId="3" borderId="18" xfId="0" applyFont="1" applyFill="1" applyBorder="1" applyAlignment="1">
      <alignment horizontal="center" vertical="center"/>
    </xf>
    <xf numFmtId="0" fontId="4" fillId="8" borderId="24" xfId="0" applyFont="1" applyFill="1" applyBorder="1" applyAlignment="1">
      <alignment horizontal="center" vertical="center"/>
    </xf>
    <xf numFmtId="0" fontId="2" fillId="0" borderId="27" xfId="0" applyFont="1" applyBorder="1"/>
    <xf numFmtId="0" fontId="2" fillId="0" borderId="20" xfId="0" applyFont="1" applyBorder="1"/>
    <xf numFmtId="0" fontId="2" fillId="0" borderId="28" xfId="0" applyFont="1" applyBorder="1"/>
    <xf numFmtId="0" fontId="2" fillId="0" borderId="29" xfId="0" applyFont="1" applyBorder="1"/>
    <xf numFmtId="0" fontId="2" fillId="0" borderId="30" xfId="0" applyFont="1" applyBorder="1"/>
    <xf numFmtId="0" fontId="6" fillId="2" borderId="1" xfId="0" applyFont="1" applyFill="1" applyBorder="1"/>
    <xf numFmtId="0" fontId="4" fillId="9" borderId="12" xfId="0" applyFont="1" applyFill="1" applyBorder="1" applyAlignment="1">
      <alignment horizontal="left" vertical="center" wrapText="1"/>
    </xf>
    <xf numFmtId="0" fontId="2" fillId="0" borderId="31" xfId="0" applyFont="1" applyBorder="1"/>
    <xf numFmtId="0" fontId="2" fillId="0" borderId="34" xfId="0" applyFont="1" applyBorder="1"/>
    <xf numFmtId="0" fontId="2" fillId="0" borderId="16" xfId="0" applyFont="1" applyBorder="1"/>
    <xf numFmtId="0" fontId="2" fillId="0" borderId="32" xfId="0" applyFont="1" applyBorder="1"/>
    <xf numFmtId="0" fontId="2" fillId="0" borderId="35" xfId="0" applyFont="1" applyBorder="1"/>
    <xf numFmtId="0" fontId="6" fillId="0" borderId="48" xfId="0" applyFont="1" applyBorder="1" applyAlignment="1">
      <alignment horizontal="center" vertical="center"/>
    </xf>
    <xf numFmtId="0" fontId="2" fillId="0" borderId="47" xfId="0" applyFont="1" applyBorder="1"/>
    <xf numFmtId="0" fontId="4" fillId="0" borderId="46" xfId="0" applyFont="1" applyBorder="1" applyAlignment="1">
      <alignment horizontal="center" wrapText="1"/>
    </xf>
    <xf numFmtId="0" fontId="2" fillId="0" borderId="46" xfId="0" applyFont="1" applyBorder="1"/>
    <xf numFmtId="0" fontId="6" fillId="0" borderId="44" xfId="0" applyFont="1" applyBorder="1" applyAlignment="1">
      <alignment horizontal="center" vertical="center"/>
    </xf>
    <xf numFmtId="0" fontId="2" fillId="0" borderId="45" xfId="0" applyFont="1" applyBorder="1"/>
    <xf numFmtId="0" fontId="6" fillId="0" borderId="39" xfId="0" applyFont="1" applyBorder="1" applyAlignment="1">
      <alignment horizontal="center" vertical="center"/>
    </xf>
    <xf numFmtId="0" fontId="2" fillId="0" borderId="40" xfId="0" applyFont="1" applyBorder="1"/>
    <xf numFmtId="0" fontId="4" fillId="0" borderId="41" xfId="0" applyFont="1" applyBorder="1" applyAlignment="1">
      <alignment horizontal="center" wrapText="1"/>
    </xf>
    <xf numFmtId="0" fontId="2" fillId="0" borderId="41" xfId="0" applyFont="1" applyBorder="1"/>
    <xf numFmtId="0" fontId="6" fillId="0" borderId="42" xfId="0" applyFont="1" applyBorder="1" applyAlignment="1">
      <alignment horizontal="center" vertical="center"/>
    </xf>
    <xf numFmtId="0" fontId="2" fillId="0" borderId="43" xfId="0" applyFont="1" applyBorder="1"/>
    <xf numFmtId="0" fontId="4" fillId="0" borderId="3" xfId="0" applyFont="1" applyBorder="1" applyAlignment="1">
      <alignment horizontal="center" wrapText="1"/>
    </xf>
    <xf numFmtId="0" fontId="4" fillId="0" borderId="3" xfId="0" applyFont="1" applyBorder="1" applyAlignment="1">
      <alignment horizontal="center" vertical="center" wrapText="1"/>
    </xf>
    <xf numFmtId="0" fontId="16" fillId="10" borderId="36" xfId="0" applyFont="1" applyFill="1" applyBorder="1" applyAlignment="1">
      <alignment horizontal="center" vertical="center"/>
    </xf>
    <xf numFmtId="0" fontId="2" fillId="0" borderId="37" xfId="0" applyFont="1" applyBorder="1"/>
    <xf numFmtId="0" fontId="2" fillId="0" borderId="38" xfId="0" applyFont="1" applyBorder="1"/>
    <xf numFmtId="0" fontId="6" fillId="11" borderId="4" xfId="0" applyFont="1" applyFill="1" applyBorder="1" applyAlignment="1">
      <alignment horizontal="center"/>
    </xf>
    <xf numFmtId="0" fontId="17" fillId="0" borderId="0" xfId="0" applyFont="1" applyAlignment="1">
      <alignment horizontal="center"/>
    </xf>
    <xf numFmtId="0" fontId="5" fillId="0" borderId="1" xfId="0" applyFont="1" applyBorder="1" applyAlignment="1">
      <alignment horizontal="center" wrapText="1"/>
    </xf>
    <xf numFmtId="0" fontId="5" fillId="0" borderId="1" xfId="0" applyFont="1" applyBorder="1" applyAlignment="1">
      <alignment horizontal="center" vertical="center" wrapText="1"/>
    </xf>
    <xf numFmtId="0" fontId="17" fillId="7" borderId="49" xfId="0" applyFont="1" applyFill="1" applyBorder="1" applyAlignment="1">
      <alignment horizontal="center"/>
    </xf>
    <xf numFmtId="0" fontId="2" fillId="0" borderId="22" xfId="0" applyFont="1" applyBorder="1"/>
    <xf numFmtId="0" fontId="2" fillId="0" borderId="23" xfId="0" applyFont="1" applyBorder="1"/>
    <xf numFmtId="0" fontId="5" fillId="7" borderId="1" xfId="0" applyFont="1" applyFill="1" applyBorder="1" applyAlignment="1">
      <alignment horizontal="center" vertical="center" wrapText="1"/>
    </xf>
    <xf numFmtId="0" fontId="4" fillId="7" borderId="18" xfId="0" applyFont="1" applyFill="1" applyBorder="1" applyAlignment="1">
      <alignment vertical="center" wrapText="1"/>
    </xf>
    <xf numFmtId="0" fontId="6" fillId="7" borderId="1" xfId="0" applyFont="1" applyFill="1" applyBorder="1" applyAlignment="1">
      <alignment horizontal="center" vertical="center" wrapText="1"/>
    </xf>
    <xf numFmtId="0" fontId="18" fillId="7" borderId="18" xfId="0" applyFont="1" applyFill="1" applyBorder="1" applyAlignment="1">
      <alignment vertical="center" wrapText="1"/>
    </xf>
    <xf numFmtId="0" fontId="18" fillId="7" borderId="1" xfId="0" applyFont="1" applyFill="1" applyBorder="1" applyAlignment="1">
      <alignment horizontal="center" vertical="center" wrapText="1"/>
    </xf>
    <xf numFmtId="0" fontId="6" fillId="7" borderId="18" xfId="0" applyFont="1" applyFill="1" applyBorder="1" applyAlignment="1">
      <alignment vertical="center" wrapText="1"/>
    </xf>
    <xf numFmtId="0" fontId="19" fillId="12" borderId="1" xfId="0" applyFont="1" applyFill="1" applyBorder="1" applyAlignment="1">
      <alignment horizontal="center"/>
    </xf>
    <xf numFmtId="0" fontId="19" fillId="12" borderId="1" xfId="0" applyFont="1" applyFill="1" applyBorder="1" applyAlignment="1">
      <alignment horizontal="center" vertical="center"/>
    </xf>
    <xf numFmtId="0" fontId="43" fillId="20" borderId="57" xfId="0" applyFont="1" applyFill="1" applyBorder="1" applyAlignment="1">
      <alignment horizontal="left" vertical="center" wrapText="1"/>
    </xf>
    <xf numFmtId="0" fontId="43" fillId="20" borderId="58"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23"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21752_Rachi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51 Atten"/>
      <sheetName val="marks"/>
      <sheetName val="outcomes"/>
      <sheetName val="GradesOutcomes"/>
      <sheetName val="Lookups Tables"/>
      <sheetName val="Lookup Tables"/>
    </sheetNames>
    <sheetDataSet>
      <sheetData sheetId="0"/>
      <sheetData sheetId="1"/>
      <sheetData sheetId="2"/>
      <sheetData sheetId="3"/>
      <sheetData sheetId="4"/>
      <sheetData sheetId="5"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8"/>
  <sheetViews>
    <sheetView topLeftCell="A10" zoomScale="85" zoomScaleNormal="85" workbookViewId="0">
      <selection activeCell="F10" sqref="F10:J10"/>
    </sheetView>
  </sheetViews>
  <sheetFormatPr defaultColWidth="14.41796875" defaultRowHeight="15" customHeight="1" x14ac:dyDescent="0.55000000000000004"/>
  <cols>
    <col min="1" max="1" width="8.68359375" customWidth="1"/>
    <col min="2" max="2" width="11.41796875" customWidth="1"/>
    <col min="3" max="3" width="12.41796875" customWidth="1"/>
    <col min="4" max="4" width="8.68359375" customWidth="1"/>
    <col min="5" max="5" width="15.41796875" customWidth="1"/>
    <col min="6" max="6" width="33.41796875" customWidth="1"/>
    <col min="7" max="9" width="8.68359375" customWidth="1"/>
    <col min="10" max="10" width="30.26171875" customWidth="1"/>
    <col min="11" max="26" width="8.68359375" customWidth="1"/>
  </cols>
  <sheetData>
    <row r="1" spans="1:10" ht="14.25" customHeight="1" x14ac:dyDescent="0.55000000000000004">
      <c r="A1" s="127" t="s">
        <v>0</v>
      </c>
      <c r="B1" s="115"/>
      <c r="C1" s="139"/>
      <c r="D1" s="114"/>
      <c r="E1" s="115"/>
      <c r="F1" s="127" t="s">
        <v>216</v>
      </c>
      <c r="G1" s="128"/>
      <c r="H1" s="113"/>
      <c r="I1" s="114"/>
      <c r="J1" s="115"/>
    </row>
    <row r="2" spans="1:10" ht="14.25" customHeight="1" x14ac:dyDescent="0.55000000000000004">
      <c r="A2" s="127" t="s">
        <v>1</v>
      </c>
      <c r="B2" s="115"/>
      <c r="C2" s="113"/>
      <c r="D2" s="114"/>
      <c r="E2" s="115"/>
      <c r="F2" s="127" t="s">
        <v>217</v>
      </c>
      <c r="G2" s="128"/>
      <c r="H2" s="113"/>
      <c r="I2" s="114"/>
      <c r="J2" s="115"/>
    </row>
    <row r="3" spans="1:10" ht="14.25" customHeight="1" x14ac:dyDescent="0.55000000000000004">
      <c r="B3" s="133"/>
      <c r="C3" s="134"/>
      <c r="D3" s="134"/>
      <c r="E3" s="134"/>
    </row>
    <row r="4" spans="1:10" ht="28.5" customHeight="1" x14ac:dyDescent="0.55000000000000004">
      <c r="A4" s="135" t="s">
        <v>2</v>
      </c>
      <c r="B4" s="136"/>
      <c r="C4" s="136"/>
      <c r="D4" s="136"/>
      <c r="E4" s="137"/>
      <c r="F4" s="138" t="s">
        <v>3</v>
      </c>
      <c r="G4" s="114"/>
      <c r="H4" s="114"/>
      <c r="I4" s="115"/>
      <c r="J4" s="2" t="s">
        <v>203</v>
      </c>
    </row>
    <row r="5" spans="1:10" ht="106.5" customHeight="1" x14ac:dyDescent="0.55000000000000004">
      <c r="A5" s="3" t="s">
        <v>5</v>
      </c>
      <c r="B5" s="132" t="str">
        <f>VLOOKUP(A5,'Lookup Tables'!$L$1:$M$7,2,FALSE)</f>
        <v>An ability to recognize ethical and professional responsibilities in engineering situations and make informed judgments, which must consider the impact of engineering solutions in global, economic, environmental, and societal contexts.</v>
      </c>
      <c r="C5" s="114"/>
      <c r="D5" s="114"/>
      <c r="E5" s="115"/>
      <c r="F5" s="129" t="s">
        <v>218</v>
      </c>
      <c r="G5" s="114"/>
      <c r="H5" s="114"/>
      <c r="I5" s="115"/>
      <c r="J5" s="75" t="s">
        <v>215</v>
      </c>
    </row>
    <row r="6" spans="1:10" ht="106.5" hidden="1" customHeight="1" x14ac:dyDescent="0.55000000000000004">
      <c r="A6" s="3" t="s">
        <v>5</v>
      </c>
      <c r="B6" s="132" t="str">
        <f>VLOOKUP(A6,'Lookup Tables'!$L$1:$M$7,2,FALSE)</f>
        <v>An ability to recognize ethical and professional responsibilities in engineering situations and make informed judgments, which must consider the impact of engineering solutions in global, economic, environmental, and societal contexts.</v>
      </c>
      <c r="C6" s="114"/>
      <c r="D6" s="114"/>
      <c r="E6" s="115"/>
      <c r="F6" s="129" t="s">
        <v>6</v>
      </c>
      <c r="G6" s="114"/>
      <c r="H6" s="114"/>
      <c r="I6" s="115"/>
      <c r="J6" s="4" t="s">
        <v>7</v>
      </c>
    </row>
    <row r="7" spans="1:10" ht="14.1" customHeight="1" x14ac:dyDescent="0.55000000000000004">
      <c r="A7" s="130"/>
      <c r="B7" s="130"/>
      <c r="C7" s="130"/>
      <c r="D7" s="130"/>
      <c r="E7" s="130"/>
      <c r="F7" s="130"/>
      <c r="G7" s="130"/>
      <c r="H7" s="130"/>
      <c r="I7" s="130"/>
      <c r="J7" s="130"/>
    </row>
    <row r="8" spans="1:10" ht="23.25" customHeight="1" x14ac:dyDescent="0.55000000000000004">
      <c r="A8" s="131" t="s">
        <v>204</v>
      </c>
      <c r="B8" s="131"/>
      <c r="C8" s="131"/>
      <c r="D8" s="131"/>
      <c r="E8" s="131"/>
      <c r="F8" s="131"/>
      <c r="G8" s="131"/>
      <c r="H8" s="131"/>
      <c r="I8" s="131"/>
      <c r="J8" s="131"/>
    </row>
    <row r="9" spans="1:10" ht="81.599999999999994" customHeight="1" x14ac:dyDescent="0.55000000000000004">
      <c r="A9" s="125" t="s">
        <v>243</v>
      </c>
      <c r="B9" s="126"/>
      <c r="C9" s="123" t="s">
        <v>240</v>
      </c>
      <c r="D9" s="124"/>
      <c r="E9" s="124"/>
      <c r="F9" s="118" t="s">
        <v>241</v>
      </c>
      <c r="G9" s="119"/>
      <c r="H9" s="119"/>
      <c r="I9" s="119"/>
      <c r="J9" s="120"/>
    </row>
    <row r="10" spans="1:10" ht="409.5" customHeight="1" x14ac:dyDescent="0.55000000000000004">
      <c r="A10" s="116" t="s">
        <v>244</v>
      </c>
      <c r="B10" s="117"/>
      <c r="C10" s="121" t="s">
        <v>239</v>
      </c>
      <c r="D10" s="122"/>
      <c r="E10" s="122"/>
      <c r="F10" s="121" t="s">
        <v>242</v>
      </c>
      <c r="G10" s="122"/>
      <c r="H10" s="122"/>
      <c r="I10" s="122"/>
      <c r="J10" s="122"/>
    </row>
    <row r="11" spans="1:10" ht="14.25" customHeight="1" x14ac:dyDescent="0.55000000000000004"/>
    <row r="12" spans="1:10" ht="14.25" customHeight="1" x14ac:dyDescent="0.55000000000000004"/>
    <row r="13" spans="1:10" ht="14.25" customHeight="1" x14ac:dyDescent="0.55000000000000004"/>
    <row r="14" spans="1:10" ht="14.25" customHeight="1" x14ac:dyDescent="0.55000000000000004"/>
    <row r="15" spans="1:10" ht="14.25" customHeight="1" x14ac:dyDescent="0.55000000000000004"/>
    <row r="16" spans="1:10" ht="14.25" customHeight="1" x14ac:dyDescent="0.55000000000000004"/>
    <row r="17" ht="14.25" customHeight="1" x14ac:dyDescent="0.55000000000000004"/>
    <row r="18" ht="14.25" customHeight="1" x14ac:dyDescent="0.55000000000000004"/>
    <row r="19" ht="14.25" customHeight="1" x14ac:dyDescent="0.55000000000000004"/>
    <row r="20" ht="14.25" customHeight="1" x14ac:dyDescent="0.55000000000000004"/>
    <row r="21" ht="14.25" customHeight="1" x14ac:dyDescent="0.55000000000000004"/>
    <row r="22" ht="14.25" customHeight="1" x14ac:dyDescent="0.55000000000000004"/>
    <row r="23" ht="14.25" customHeight="1" x14ac:dyDescent="0.55000000000000004"/>
    <row r="24" ht="14.25" customHeight="1" x14ac:dyDescent="0.55000000000000004"/>
    <row r="25" ht="14.25" customHeight="1" x14ac:dyDescent="0.55000000000000004"/>
    <row r="26" ht="14.25" customHeight="1" x14ac:dyDescent="0.55000000000000004"/>
    <row r="27" ht="14.25" customHeight="1" x14ac:dyDescent="0.55000000000000004"/>
    <row r="28" ht="14.25" customHeight="1" x14ac:dyDescent="0.55000000000000004"/>
    <row r="29" ht="14.25" customHeight="1" x14ac:dyDescent="0.55000000000000004"/>
    <row r="30" ht="14.25" customHeight="1" x14ac:dyDescent="0.55000000000000004"/>
    <row r="31" ht="14.25" customHeight="1" x14ac:dyDescent="0.55000000000000004"/>
    <row r="32"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sheetData>
  <mergeCells count="23">
    <mergeCell ref="F1:G1"/>
    <mergeCell ref="H1:J1"/>
    <mergeCell ref="F6:I6"/>
    <mergeCell ref="A7:J7"/>
    <mergeCell ref="A8:J8"/>
    <mergeCell ref="F2:G2"/>
    <mergeCell ref="B6:E6"/>
    <mergeCell ref="H2:J2"/>
    <mergeCell ref="B3:E3"/>
    <mergeCell ref="A4:E4"/>
    <mergeCell ref="F4:I4"/>
    <mergeCell ref="B5:E5"/>
    <mergeCell ref="F5:I5"/>
    <mergeCell ref="A1:B1"/>
    <mergeCell ref="C1:E1"/>
    <mergeCell ref="A2:B2"/>
    <mergeCell ref="C2:E2"/>
    <mergeCell ref="A10:B10"/>
    <mergeCell ref="F9:J9"/>
    <mergeCell ref="F10:J10"/>
    <mergeCell ref="C9:E9"/>
    <mergeCell ref="C10:E10"/>
    <mergeCell ref="A9:B9"/>
  </mergeCells>
  <pageMargins left="0.7" right="0.7" top="0.75" bottom="0.75" header="0" footer="0"/>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ErrorMessage="1" xr:uid="{00000000-0002-0000-0000-000001000000}">
          <x14:formula1>
            <xm:f>'Lookup Tables'!$L$1:$L$7</xm:f>
          </x14:formula1>
          <xm:sqref>A5:A6</xm:sqref>
        </x14:dataValidation>
        <x14:dataValidation type="list" allowBlank="1" showErrorMessage="1" xr:uid="{00000000-0002-0000-0000-000002000000}">
          <x14:formula1>
            <xm:f>'Lookup Tables'!$L$1:$L$8</xm:f>
          </x14:formula1>
          <xm:sqref>A7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993"/>
  <sheetViews>
    <sheetView tabSelected="1" zoomScale="85" zoomScaleNormal="85" zoomScaleSheetLayoutView="94" workbookViewId="0">
      <selection activeCell="A6" sqref="A6:G6"/>
    </sheetView>
  </sheetViews>
  <sheetFormatPr defaultColWidth="14.41796875" defaultRowHeight="15" customHeight="1" x14ac:dyDescent="0.55000000000000004"/>
  <cols>
    <col min="1" max="1" width="20.15625" customWidth="1"/>
    <col min="2" max="2" width="26.83984375" customWidth="1"/>
    <col min="3" max="3" width="24" customWidth="1"/>
    <col min="4" max="4" width="28.41796875" customWidth="1"/>
    <col min="5" max="5" width="25.68359375" customWidth="1"/>
    <col min="6" max="6" width="43.578125" customWidth="1"/>
    <col min="7" max="7" width="37.3125" customWidth="1"/>
    <col min="8" max="23" width="9.15625" customWidth="1"/>
  </cols>
  <sheetData>
    <row r="1" spans="1:7" ht="27" customHeight="1" x14ac:dyDescent="0.55000000000000004">
      <c r="A1" s="140" t="s">
        <v>219</v>
      </c>
      <c r="B1" s="141"/>
      <c r="C1" s="141"/>
      <c r="D1" s="141"/>
      <c r="E1" s="141"/>
      <c r="F1" s="141"/>
      <c r="G1" s="141"/>
    </row>
    <row r="2" spans="1:7" ht="27" customHeight="1" x14ac:dyDescent="0.55000000000000004">
      <c r="A2" s="144" t="s">
        <v>10</v>
      </c>
      <c r="B2" s="146" t="s">
        <v>211</v>
      </c>
      <c r="C2" s="146" t="s">
        <v>208</v>
      </c>
      <c r="D2" s="146" t="s">
        <v>210</v>
      </c>
      <c r="E2" s="146" t="s">
        <v>209</v>
      </c>
      <c r="F2" s="142" t="s">
        <v>232</v>
      </c>
      <c r="G2" s="142" t="s">
        <v>235</v>
      </c>
    </row>
    <row r="3" spans="1:7" ht="14.25" customHeight="1" x14ac:dyDescent="0.55000000000000004">
      <c r="A3" s="145"/>
      <c r="B3" s="147"/>
      <c r="C3" s="147"/>
      <c r="D3" s="147"/>
      <c r="E3" s="147"/>
      <c r="F3" s="143"/>
      <c r="G3" s="143"/>
    </row>
    <row r="4" spans="1:7" ht="115.2" x14ac:dyDescent="0.55000000000000004">
      <c r="A4" s="73" t="s">
        <v>220</v>
      </c>
      <c r="B4" s="78" t="s">
        <v>226</v>
      </c>
      <c r="C4" s="78" t="s">
        <v>227</v>
      </c>
      <c r="D4" s="78" t="s">
        <v>228</v>
      </c>
      <c r="E4" s="78" t="s">
        <v>229</v>
      </c>
      <c r="F4" s="79" t="s">
        <v>230</v>
      </c>
      <c r="G4" s="80" t="s">
        <v>233</v>
      </c>
    </row>
    <row r="5" spans="1:7" ht="129.6" x14ac:dyDescent="0.55000000000000004">
      <c r="A5" s="73" t="s">
        <v>221</v>
      </c>
      <c r="B5" s="74" t="s">
        <v>222</v>
      </c>
      <c r="C5" s="74" t="s">
        <v>223</v>
      </c>
      <c r="D5" s="74" t="s">
        <v>224</v>
      </c>
      <c r="E5" s="74" t="s">
        <v>225</v>
      </c>
      <c r="F5" s="79" t="s">
        <v>231</v>
      </c>
      <c r="G5" s="80" t="s">
        <v>234</v>
      </c>
    </row>
    <row r="6" spans="1:7" ht="66" customHeight="1" x14ac:dyDescent="0.55000000000000004">
      <c r="A6" s="216" t="s">
        <v>248</v>
      </c>
      <c r="B6" s="217"/>
      <c r="C6" s="217"/>
      <c r="D6" s="217"/>
      <c r="E6" s="217"/>
      <c r="F6" s="217"/>
      <c r="G6" s="217"/>
    </row>
    <row r="7" spans="1:7" ht="14.25" customHeight="1" x14ac:dyDescent="0.55000000000000004"/>
    <row r="8" spans="1:7" ht="14.25" customHeight="1" x14ac:dyDescent="0.55000000000000004"/>
    <row r="9" spans="1:7" ht="14.25" customHeight="1" x14ac:dyDescent="0.55000000000000004"/>
    <row r="10" spans="1:7" ht="14.25" customHeight="1" x14ac:dyDescent="0.55000000000000004"/>
    <row r="11" spans="1:7" ht="14.25" customHeight="1" x14ac:dyDescent="0.55000000000000004"/>
    <row r="12" spans="1:7" ht="14.25" customHeight="1" x14ac:dyDescent="0.55000000000000004"/>
    <row r="13" spans="1:7" ht="14.25" customHeight="1" x14ac:dyDescent="0.55000000000000004"/>
    <row r="14" spans="1:7" ht="14.25" customHeight="1" x14ac:dyDescent="0.55000000000000004"/>
    <row r="15" spans="1:7" ht="14.25" customHeight="1" x14ac:dyDescent="0.55000000000000004"/>
    <row r="16" spans="1:7" ht="14.25" customHeight="1" x14ac:dyDescent="0.55000000000000004"/>
    <row r="17" ht="14.25" customHeight="1" x14ac:dyDescent="0.55000000000000004"/>
    <row r="18" ht="14.25" customHeight="1" x14ac:dyDescent="0.55000000000000004"/>
    <row r="19" ht="14.25" customHeight="1" x14ac:dyDescent="0.55000000000000004"/>
    <row r="20" ht="14.25" customHeight="1" x14ac:dyDescent="0.55000000000000004"/>
    <row r="21" ht="14.25" customHeight="1" x14ac:dyDescent="0.55000000000000004"/>
    <row r="22" ht="14.25" customHeight="1" x14ac:dyDescent="0.55000000000000004"/>
    <row r="23" ht="14.25" customHeight="1" x14ac:dyDescent="0.55000000000000004"/>
    <row r="24" ht="14.25" customHeight="1" x14ac:dyDescent="0.55000000000000004"/>
    <row r="25" ht="14.25" customHeight="1" x14ac:dyDescent="0.55000000000000004"/>
    <row r="26" ht="14.25" customHeight="1" x14ac:dyDescent="0.55000000000000004"/>
    <row r="27" ht="14.25" customHeight="1" x14ac:dyDescent="0.55000000000000004"/>
    <row r="28" ht="14.25" customHeight="1" x14ac:dyDescent="0.55000000000000004"/>
    <row r="29" ht="14.25" customHeight="1" x14ac:dyDescent="0.55000000000000004"/>
    <row r="30" ht="14.25" customHeight="1" x14ac:dyDescent="0.55000000000000004"/>
    <row r="31" ht="14.25" customHeight="1" x14ac:dyDescent="0.55000000000000004"/>
    <row r="32"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sheetData>
  <mergeCells count="9">
    <mergeCell ref="A1:G1"/>
    <mergeCell ref="G2:G3"/>
    <mergeCell ref="A6:G6"/>
    <mergeCell ref="A2:A3"/>
    <mergeCell ref="F2:F3"/>
    <mergeCell ref="B2:B3"/>
    <mergeCell ref="C2:C3"/>
    <mergeCell ref="D2:D3"/>
    <mergeCell ref="E2:E3"/>
  </mergeCells>
  <pageMargins left="0.7" right="0.7" top="0.75" bottom="0.75" header="0" footer="0"/>
  <pageSetup scale="5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H1000"/>
  <sheetViews>
    <sheetView workbookViewId="0"/>
  </sheetViews>
  <sheetFormatPr defaultColWidth="14.41796875" defaultRowHeight="15" customHeight="1" x14ac:dyDescent="0.55000000000000004"/>
  <cols>
    <col min="1" max="1" width="15.83984375" customWidth="1"/>
    <col min="2" max="3" width="24" customWidth="1"/>
    <col min="4" max="4" width="28.41796875" customWidth="1"/>
    <col min="5" max="5" width="25.68359375" customWidth="1"/>
    <col min="6" max="6" width="29.41796875" customWidth="1"/>
    <col min="7" max="7" width="30.41796875" customWidth="1"/>
    <col min="8" max="8" width="6.41796875" customWidth="1"/>
    <col min="9" max="9" width="31" customWidth="1"/>
    <col min="10" max="10" width="6.68359375" customWidth="1"/>
    <col min="11" max="11" width="28.26171875" customWidth="1"/>
    <col min="12" max="12" width="7.578125" customWidth="1"/>
    <col min="13" max="13" width="27.83984375" customWidth="1"/>
    <col min="14" max="14" width="6.41796875" customWidth="1"/>
    <col min="15" max="15" width="27.83984375" customWidth="1"/>
    <col min="16" max="16" width="7.41796875" customWidth="1"/>
    <col min="17" max="17" width="25.15625" customWidth="1"/>
    <col min="18" max="18" width="7" customWidth="1"/>
    <col min="19" max="19" width="23" customWidth="1"/>
    <col min="20" max="20" width="7" customWidth="1"/>
    <col min="21" max="21" width="23.15625" customWidth="1"/>
    <col min="22" max="22" width="7.15625" customWidth="1"/>
    <col min="23" max="23" width="24" customWidth="1"/>
    <col min="24" max="24" width="7.41796875" customWidth="1"/>
    <col min="25" max="25" width="25.83984375" customWidth="1"/>
    <col min="26" max="26" width="7.578125" customWidth="1"/>
    <col min="27" max="27" width="27.83984375" customWidth="1"/>
    <col min="28" max="28" width="7.41796875" customWidth="1"/>
    <col min="29" max="29" width="25.15625" customWidth="1"/>
    <col min="30" max="30" width="7" customWidth="1"/>
    <col min="31" max="31" width="23" customWidth="1"/>
    <col min="32" max="32" width="7" customWidth="1"/>
    <col min="33" max="33" width="23.15625" customWidth="1"/>
    <col min="34" max="34" width="7.15625" customWidth="1"/>
  </cols>
  <sheetData>
    <row r="1" spans="1:34" ht="28.5" customHeight="1" x14ac:dyDescent="0.55000000000000004">
      <c r="A1" s="158" t="s">
        <v>22</v>
      </c>
      <c r="B1" s="114"/>
      <c r="C1" s="114"/>
      <c r="D1" s="114"/>
      <c r="E1" s="114"/>
      <c r="F1" s="115"/>
      <c r="G1" s="1"/>
      <c r="H1" s="1"/>
    </row>
    <row r="2" spans="1:34" ht="27" customHeight="1" x14ac:dyDescent="0.55000000000000004">
      <c r="A2" s="159" t="s">
        <v>10</v>
      </c>
      <c r="B2" s="7" t="s">
        <v>11</v>
      </c>
      <c r="C2" s="7" t="s">
        <v>12</v>
      </c>
      <c r="D2" s="7" t="s">
        <v>13</v>
      </c>
      <c r="E2" s="7" t="s">
        <v>14</v>
      </c>
      <c r="F2" s="161" t="s">
        <v>15</v>
      </c>
      <c r="G2" s="8" t="e">
        <f>"ID# " &amp;#REF!</f>
        <v>#REF!</v>
      </c>
      <c r="H2" s="8"/>
      <c r="I2" s="9" t="e">
        <f>"ID# " &amp;#REF!</f>
        <v>#REF!</v>
      </c>
      <c r="J2" s="9"/>
      <c r="K2" s="8" t="e">
        <f>"ID# " &amp;#REF!</f>
        <v>#REF!</v>
      </c>
      <c r="L2" s="8"/>
      <c r="M2" s="9" t="e">
        <f>"ID# " &amp;#REF!</f>
        <v>#REF!</v>
      </c>
      <c r="N2" s="9"/>
      <c r="O2" s="8" t="e">
        <f>"ID# " &amp;#REF!</f>
        <v>#REF!</v>
      </c>
      <c r="P2" s="8"/>
      <c r="Q2" s="9" t="e">
        <f>"ID# " &amp;#REF!</f>
        <v>#REF!</v>
      </c>
      <c r="R2" s="9"/>
      <c r="S2" s="8" t="e">
        <f>"ID# " &amp;#REF!</f>
        <v>#REF!</v>
      </c>
      <c r="T2" s="8"/>
      <c r="U2" s="9" t="e">
        <f>"ID# " &amp;#REF!</f>
        <v>#REF!</v>
      </c>
      <c r="V2" s="9"/>
      <c r="W2" s="8" t="e">
        <f>"ID# " &amp;#REF!</f>
        <v>#REF!</v>
      </c>
      <c r="X2" s="8"/>
      <c r="Y2" s="9" t="e">
        <f>"ID# " &amp;#REF!</f>
        <v>#REF!</v>
      </c>
      <c r="Z2" s="9"/>
      <c r="AA2" s="8" t="e">
        <f>"ID# " &amp;#REF!</f>
        <v>#REF!</v>
      </c>
      <c r="AB2" s="8"/>
      <c r="AC2" s="9" t="e">
        <f>"ID# " &amp;#REF!</f>
        <v>#REF!</v>
      </c>
      <c r="AD2" s="9"/>
      <c r="AE2" s="8" t="e">
        <f>"ID# " &amp;#REF!</f>
        <v>#REF!</v>
      </c>
      <c r="AF2" s="8"/>
      <c r="AG2" s="9" t="e">
        <f>"ID# " &amp;#REF!</f>
        <v>#REF!</v>
      </c>
      <c r="AH2" s="9"/>
    </row>
    <row r="3" spans="1:34" ht="32.25" customHeight="1" x14ac:dyDescent="0.55000000000000004">
      <c r="A3" s="160"/>
      <c r="B3" s="7" t="s">
        <v>17</v>
      </c>
      <c r="C3" s="7" t="s">
        <v>18</v>
      </c>
      <c r="D3" s="7" t="s">
        <v>19</v>
      </c>
      <c r="E3" s="7" t="s">
        <v>20</v>
      </c>
      <c r="F3" s="160"/>
      <c r="G3" s="10" t="s">
        <v>16</v>
      </c>
      <c r="H3" s="10" t="s">
        <v>21</v>
      </c>
      <c r="I3" s="11" t="s">
        <v>16</v>
      </c>
      <c r="J3" s="11" t="s">
        <v>21</v>
      </c>
      <c r="K3" s="10" t="s">
        <v>16</v>
      </c>
      <c r="L3" s="10" t="s">
        <v>21</v>
      </c>
      <c r="M3" s="11" t="s">
        <v>16</v>
      </c>
      <c r="N3" s="11" t="s">
        <v>21</v>
      </c>
      <c r="O3" s="10" t="s">
        <v>16</v>
      </c>
      <c r="P3" s="10" t="s">
        <v>21</v>
      </c>
      <c r="Q3" s="11" t="s">
        <v>16</v>
      </c>
      <c r="R3" s="11" t="s">
        <v>21</v>
      </c>
      <c r="S3" s="10" t="s">
        <v>16</v>
      </c>
      <c r="T3" s="10" t="s">
        <v>21</v>
      </c>
      <c r="U3" s="11" t="s">
        <v>16</v>
      </c>
      <c r="V3" s="11" t="s">
        <v>21</v>
      </c>
      <c r="W3" s="10" t="s">
        <v>16</v>
      </c>
      <c r="X3" s="10" t="s">
        <v>21</v>
      </c>
      <c r="Y3" s="11" t="s">
        <v>16</v>
      </c>
      <c r="Z3" s="11" t="s">
        <v>21</v>
      </c>
      <c r="AA3" s="10" t="s">
        <v>16</v>
      </c>
      <c r="AB3" s="10" t="s">
        <v>21</v>
      </c>
      <c r="AC3" s="11" t="s">
        <v>16</v>
      </c>
      <c r="AD3" s="11" t="s">
        <v>21</v>
      </c>
      <c r="AE3" s="10" t="s">
        <v>16</v>
      </c>
      <c r="AF3" s="10" t="s">
        <v>21</v>
      </c>
      <c r="AG3" s="11" t="s">
        <v>16</v>
      </c>
      <c r="AH3" s="11" t="s">
        <v>21</v>
      </c>
    </row>
    <row r="4" spans="1:34" ht="84" customHeight="1" x14ac:dyDescent="0.55000000000000004">
      <c r="A4" s="156" t="s">
        <v>23</v>
      </c>
      <c r="B4" s="162" t="s">
        <v>24</v>
      </c>
      <c r="C4" s="162" t="s">
        <v>25</v>
      </c>
      <c r="D4" s="162" t="s">
        <v>26</v>
      </c>
      <c r="E4" s="162" t="s">
        <v>27</v>
      </c>
      <c r="F4" s="12" t="s">
        <v>28</v>
      </c>
      <c r="G4" s="153" t="s">
        <v>29</v>
      </c>
      <c r="H4" s="151">
        <v>3</v>
      </c>
      <c r="I4" s="148" t="s">
        <v>30</v>
      </c>
      <c r="J4" s="151">
        <v>3</v>
      </c>
      <c r="K4" s="148" t="s">
        <v>31</v>
      </c>
      <c r="L4" s="151">
        <v>3</v>
      </c>
      <c r="M4" s="148" t="s">
        <v>32</v>
      </c>
      <c r="N4" s="151">
        <v>3</v>
      </c>
      <c r="O4" s="148"/>
      <c r="P4" s="151">
        <v>3</v>
      </c>
      <c r="Q4" s="148"/>
      <c r="R4" s="151">
        <v>2</v>
      </c>
      <c r="S4" s="148"/>
      <c r="T4" s="151">
        <v>2</v>
      </c>
      <c r="U4" s="148"/>
      <c r="V4" s="151">
        <v>3</v>
      </c>
      <c r="W4" s="148"/>
      <c r="X4" s="151">
        <v>1</v>
      </c>
      <c r="Y4" s="148"/>
      <c r="Z4" s="151">
        <v>2</v>
      </c>
      <c r="AA4" s="148"/>
      <c r="AB4" s="151">
        <v>3</v>
      </c>
      <c r="AC4" s="148"/>
      <c r="AD4" s="151">
        <v>2</v>
      </c>
      <c r="AE4" s="148"/>
      <c r="AF4" s="151">
        <v>2</v>
      </c>
      <c r="AG4" s="148"/>
      <c r="AH4" s="151">
        <v>3</v>
      </c>
    </row>
    <row r="5" spans="1:34" ht="59.25" customHeight="1" x14ac:dyDescent="0.55000000000000004">
      <c r="A5" s="149"/>
      <c r="B5" s="149"/>
      <c r="C5" s="149"/>
      <c r="D5" s="149"/>
      <c r="E5" s="149"/>
      <c r="F5" s="12" t="s">
        <v>33</v>
      </c>
      <c r="G5" s="154"/>
      <c r="H5" s="149"/>
      <c r="I5" s="149"/>
      <c r="J5" s="149"/>
      <c r="K5" s="149"/>
      <c r="L5" s="149"/>
      <c r="M5" s="149"/>
      <c r="N5" s="149"/>
      <c r="O5" s="149"/>
      <c r="P5" s="149"/>
      <c r="Q5" s="149"/>
      <c r="R5" s="149"/>
      <c r="S5" s="149"/>
      <c r="T5" s="149"/>
      <c r="U5" s="149"/>
      <c r="V5" s="149"/>
      <c r="W5" s="149"/>
      <c r="X5" s="149"/>
      <c r="Y5" s="149"/>
      <c r="Z5" s="149"/>
      <c r="AA5" s="149"/>
      <c r="AB5" s="149"/>
      <c r="AC5" s="149"/>
      <c r="AD5" s="149"/>
      <c r="AE5" s="149"/>
      <c r="AF5" s="149"/>
      <c r="AG5" s="149"/>
      <c r="AH5" s="149"/>
    </row>
    <row r="6" spans="1:34" ht="61.5" customHeight="1" x14ac:dyDescent="0.55000000000000004">
      <c r="A6" s="149"/>
      <c r="B6" s="149"/>
      <c r="C6" s="149"/>
      <c r="D6" s="149"/>
      <c r="E6" s="149"/>
      <c r="F6" s="163" t="s">
        <v>34</v>
      </c>
      <c r="G6" s="154"/>
      <c r="H6" s="149"/>
      <c r="I6" s="149"/>
      <c r="J6" s="149"/>
      <c r="K6" s="149"/>
      <c r="L6" s="149"/>
      <c r="M6" s="149"/>
      <c r="N6" s="149"/>
      <c r="O6" s="149"/>
      <c r="P6" s="149"/>
      <c r="Q6" s="149"/>
      <c r="R6" s="149"/>
      <c r="S6" s="149"/>
      <c r="T6" s="149"/>
      <c r="U6" s="149"/>
      <c r="V6" s="149"/>
      <c r="W6" s="149"/>
      <c r="X6" s="149"/>
      <c r="Y6" s="149"/>
      <c r="Z6" s="149"/>
      <c r="AA6" s="149"/>
      <c r="AB6" s="149"/>
      <c r="AC6" s="149"/>
      <c r="AD6" s="149"/>
      <c r="AE6" s="149"/>
      <c r="AF6" s="149"/>
      <c r="AG6" s="149"/>
      <c r="AH6" s="149"/>
    </row>
    <row r="7" spans="1:34" ht="129" customHeight="1" x14ac:dyDescent="0.55000000000000004">
      <c r="A7" s="150"/>
      <c r="B7" s="150"/>
      <c r="C7" s="150"/>
      <c r="D7" s="150"/>
      <c r="E7" s="150"/>
      <c r="F7" s="150"/>
      <c r="G7" s="155"/>
      <c r="H7" s="150"/>
      <c r="I7" s="150"/>
      <c r="J7" s="150"/>
      <c r="K7" s="150"/>
      <c r="L7" s="150"/>
      <c r="M7" s="150"/>
      <c r="N7" s="150"/>
      <c r="O7" s="150"/>
      <c r="P7" s="150"/>
      <c r="Q7" s="150"/>
      <c r="R7" s="150"/>
      <c r="S7" s="150"/>
      <c r="T7" s="150"/>
      <c r="U7" s="150"/>
      <c r="V7" s="150"/>
      <c r="W7" s="150"/>
      <c r="X7" s="150"/>
      <c r="Y7" s="150"/>
      <c r="Z7" s="150"/>
      <c r="AA7" s="150"/>
      <c r="AB7" s="150"/>
      <c r="AC7" s="150"/>
      <c r="AD7" s="150"/>
      <c r="AE7" s="150"/>
      <c r="AF7" s="150"/>
      <c r="AG7" s="150"/>
      <c r="AH7" s="150"/>
    </row>
    <row r="8" spans="1:34" ht="124.5" customHeight="1" x14ac:dyDescent="0.55000000000000004">
      <c r="A8" s="156" t="s">
        <v>35</v>
      </c>
      <c r="B8" s="157" t="s">
        <v>36</v>
      </c>
      <c r="C8" s="156" t="s">
        <v>37</v>
      </c>
      <c r="D8" s="156" t="s">
        <v>38</v>
      </c>
      <c r="E8" s="157" t="s">
        <v>39</v>
      </c>
      <c r="F8" s="12" t="s">
        <v>40</v>
      </c>
      <c r="G8" s="153" t="s">
        <v>41</v>
      </c>
      <c r="H8" s="151">
        <v>2</v>
      </c>
      <c r="I8" s="148" t="s">
        <v>42</v>
      </c>
      <c r="J8" s="151">
        <v>2</v>
      </c>
      <c r="K8" s="152" t="s">
        <v>43</v>
      </c>
      <c r="L8" s="151">
        <v>2</v>
      </c>
      <c r="M8" s="152" t="s">
        <v>44</v>
      </c>
      <c r="N8" s="151">
        <v>3</v>
      </c>
      <c r="O8" s="148"/>
      <c r="P8" s="151">
        <v>3</v>
      </c>
      <c r="Q8" s="148"/>
      <c r="R8" s="151">
        <v>3</v>
      </c>
      <c r="S8" s="148"/>
      <c r="T8" s="151">
        <v>1</v>
      </c>
      <c r="U8" s="148"/>
      <c r="V8" s="151">
        <v>3</v>
      </c>
      <c r="W8" s="148"/>
      <c r="X8" s="151">
        <v>1</v>
      </c>
      <c r="Y8" s="148"/>
      <c r="Z8" s="151">
        <v>2</v>
      </c>
      <c r="AA8" s="148"/>
      <c r="AB8" s="151">
        <v>3</v>
      </c>
      <c r="AC8" s="148"/>
      <c r="AD8" s="151">
        <v>3</v>
      </c>
      <c r="AE8" s="148"/>
      <c r="AF8" s="151">
        <v>1</v>
      </c>
      <c r="AG8" s="148"/>
      <c r="AH8" s="151">
        <v>3</v>
      </c>
    </row>
    <row r="9" spans="1:34" ht="100.5" customHeight="1" x14ac:dyDescent="0.55000000000000004">
      <c r="A9" s="149"/>
      <c r="B9" s="149"/>
      <c r="C9" s="149"/>
      <c r="D9" s="149"/>
      <c r="E9" s="149"/>
      <c r="F9" s="12" t="s">
        <v>45</v>
      </c>
      <c r="G9" s="154"/>
      <c r="H9" s="149"/>
      <c r="I9" s="149"/>
      <c r="J9" s="149"/>
      <c r="K9" s="149"/>
      <c r="L9" s="149"/>
      <c r="M9" s="149"/>
      <c r="N9" s="149"/>
      <c r="O9" s="149"/>
      <c r="P9" s="149"/>
      <c r="Q9" s="149"/>
      <c r="R9" s="149"/>
      <c r="S9" s="149"/>
      <c r="T9" s="149"/>
      <c r="U9" s="149"/>
      <c r="V9" s="149"/>
      <c r="W9" s="149"/>
      <c r="X9" s="149"/>
      <c r="Y9" s="149"/>
      <c r="Z9" s="149"/>
      <c r="AA9" s="149"/>
      <c r="AB9" s="149"/>
      <c r="AC9" s="149"/>
      <c r="AD9" s="149"/>
      <c r="AE9" s="149"/>
      <c r="AF9" s="149"/>
      <c r="AG9" s="149"/>
      <c r="AH9" s="149"/>
    </row>
    <row r="10" spans="1:34" ht="285.75" customHeight="1" x14ac:dyDescent="0.55000000000000004">
      <c r="A10" s="150"/>
      <c r="B10" s="150"/>
      <c r="C10" s="150"/>
      <c r="D10" s="150"/>
      <c r="E10" s="150"/>
      <c r="F10" s="12" t="s">
        <v>46</v>
      </c>
      <c r="G10" s="155"/>
      <c r="H10" s="150"/>
      <c r="I10" s="150"/>
      <c r="J10" s="150"/>
      <c r="K10" s="150"/>
      <c r="L10" s="150"/>
      <c r="M10" s="150"/>
      <c r="N10" s="150"/>
      <c r="O10" s="150"/>
      <c r="P10" s="150"/>
      <c r="Q10" s="150"/>
      <c r="R10" s="150"/>
      <c r="S10" s="150"/>
      <c r="T10" s="150"/>
      <c r="U10" s="150"/>
      <c r="V10" s="150"/>
      <c r="W10" s="150"/>
      <c r="X10" s="150"/>
      <c r="Y10" s="150"/>
      <c r="Z10" s="150"/>
      <c r="AA10" s="150"/>
      <c r="AB10" s="150"/>
      <c r="AC10" s="150"/>
      <c r="AD10" s="150"/>
      <c r="AE10" s="150"/>
      <c r="AF10" s="150"/>
      <c r="AG10" s="150"/>
      <c r="AH10" s="150"/>
    </row>
    <row r="11" spans="1:34" ht="14.25" customHeight="1" x14ac:dyDescent="0.55000000000000004"/>
    <row r="12" spans="1:34" ht="14.25" customHeight="1" x14ac:dyDescent="0.55000000000000004"/>
    <row r="13" spans="1:34" ht="14.25" customHeight="1" x14ac:dyDescent="0.55000000000000004"/>
    <row r="14" spans="1:34" ht="14.25" customHeight="1" x14ac:dyDescent="0.55000000000000004"/>
    <row r="15" spans="1:34" ht="14.25" customHeight="1" x14ac:dyDescent="0.55000000000000004"/>
    <row r="16" spans="1:34" ht="14.25" customHeight="1" x14ac:dyDescent="0.55000000000000004"/>
    <row r="17" ht="14.25" customHeight="1" x14ac:dyDescent="0.55000000000000004"/>
    <row r="18" ht="14.25" customHeight="1" x14ac:dyDescent="0.55000000000000004"/>
    <row r="19" ht="14.25" customHeight="1" x14ac:dyDescent="0.55000000000000004"/>
    <row r="20" ht="14.25" customHeight="1" x14ac:dyDescent="0.55000000000000004"/>
    <row r="21" ht="14.25" customHeight="1" x14ac:dyDescent="0.55000000000000004"/>
    <row r="22" ht="14.25" customHeight="1" x14ac:dyDescent="0.55000000000000004"/>
    <row r="23" ht="14.25" customHeight="1" x14ac:dyDescent="0.55000000000000004"/>
    <row r="24" ht="14.25" customHeight="1" x14ac:dyDescent="0.55000000000000004"/>
    <row r="25" ht="14.25" customHeight="1" x14ac:dyDescent="0.55000000000000004"/>
    <row r="26" ht="14.25" customHeight="1" x14ac:dyDescent="0.55000000000000004"/>
    <row r="27" ht="14.25" customHeight="1" x14ac:dyDescent="0.55000000000000004"/>
    <row r="28" ht="14.25" customHeight="1" x14ac:dyDescent="0.55000000000000004"/>
    <row r="29" ht="14.25" customHeight="1" x14ac:dyDescent="0.55000000000000004"/>
    <row r="30" ht="14.25" customHeight="1" x14ac:dyDescent="0.55000000000000004"/>
    <row r="31" ht="14.25" customHeight="1" x14ac:dyDescent="0.55000000000000004"/>
    <row r="32"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5.75" customHeight="1" x14ac:dyDescent="0.55000000000000004"/>
    <row r="222" ht="15.75" customHeight="1" x14ac:dyDescent="0.55000000000000004"/>
    <row r="223" ht="15.75" customHeight="1" x14ac:dyDescent="0.55000000000000004"/>
    <row r="224" ht="15.75" customHeight="1" x14ac:dyDescent="0.55000000000000004"/>
    <row r="225" ht="15.75" customHeight="1" x14ac:dyDescent="0.55000000000000004"/>
    <row r="226" ht="15.75" customHeight="1" x14ac:dyDescent="0.55000000000000004"/>
    <row r="227" ht="15.75" customHeight="1" x14ac:dyDescent="0.55000000000000004"/>
    <row r="228" ht="15.75" customHeight="1" x14ac:dyDescent="0.55000000000000004"/>
    <row r="229" ht="15.75" customHeight="1" x14ac:dyDescent="0.55000000000000004"/>
    <row r="230" ht="15.75" customHeight="1" x14ac:dyDescent="0.55000000000000004"/>
    <row r="231" ht="15.75" customHeight="1" x14ac:dyDescent="0.55000000000000004"/>
    <row r="232" ht="15.75" customHeight="1" x14ac:dyDescent="0.55000000000000004"/>
    <row r="233" ht="15.75" customHeight="1" x14ac:dyDescent="0.55000000000000004"/>
    <row r="234" ht="15.75" customHeight="1" x14ac:dyDescent="0.55000000000000004"/>
    <row r="235" ht="15.75" customHeight="1" x14ac:dyDescent="0.55000000000000004"/>
    <row r="236" ht="15.75" customHeight="1" x14ac:dyDescent="0.55000000000000004"/>
    <row r="237" ht="15.75" customHeight="1" x14ac:dyDescent="0.55000000000000004"/>
    <row r="238" ht="15.75" customHeight="1" x14ac:dyDescent="0.55000000000000004"/>
    <row r="239" ht="15.75" customHeight="1" x14ac:dyDescent="0.55000000000000004"/>
    <row r="240" ht="15.75" customHeight="1" x14ac:dyDescent="0.55000000000000004"/>
    <row r="241" ht="15.75" customHeight="1" x14ac:dyDescent="0.55000000000000004"/>
    <row r="242" ht="15.75" customHeight="1" x14ac:dyDescent="0.55000000000000004"/>
    <row r="243" ht="15.75" customHeight="1" x14ac:dyDescent="0.55000000000000004"/>
    <row r="244" ht="15.75" customHeight="1" x14ac:dyDescent="0.55000000000000004"/>
    <row r="245" ht="15.75" customHeight="1" x14ac:dyDescent="0.55000000000000004"/>
    <row r="246" ht="15.75" customHeight="1" x14ac:dyDescent="0.55000000000000004"/>
    <row r="247" ht="15.75" customHeight="1" x14ac:dyDescent="0.55000000000000004"/>
    <row r="248" ht="15.75" customHeight="1" x14ac:dyDescent="0.55000000000000004"/>
    <row r="249" ht="15.75" customHeight="1" x14ac:dyDescent="0.55000000000000004"/>
    <row r="250" ht="15.75" customHeight="1" x14ac:dyDescent="0.55000000000000004"/>
    <row r="251" ht="15.75" customHeight="1" x14ac:dyDescent="0.55000000000000004"/>
    <row r="252" ht="15.75" customHeight="1" x14ac:dyDescent="0.55000000000000004"/>
    <row r="253" ht="15.75" customHeight="1" x14ac:dyDescent="0.55000000000000004"/>
    <row r="254" ht="15.75" customHeight="1" x14ac:dyDescent="0.55000000000000004"/>
    <row r="255" ht="15.75" customHeight="1" x14ac:dyDescent="0.55000000000000004"/>
    <row r="256" ht="15.75" customHeight="1" x14ac:dyDescent="0.55000000000000004"/>
    <row r="257" ht="15.75" customHeight="1" x14ac:dyDescent="0.55000000000000004"/>
    <row r="258" ht="15.75" customHeight="1" x14ac:dyDescent="0.55000000000000004"/>
    <row r="259" ht="15.75" customHeight="1" x14ac:dyDescent="0.55000000000000004"/>
    <row r="260" ht="15.75" customHeight="1" x14ac:dyDescent="0.55000000000000004"/>
    <row r="261" ht="15.75" customHeight="1" x14ac:dyDescent="0.55000000000000004"/>
    <row r="262" ht="15.75" customHeight="1" x14ac:dyDescent="0.55000000000000004"/>
    <row r="263" ht="15.75" customHeight="1" x14ac:dyDescent="0.55000000000000004"/>
    <row r="264" ht="15.75" customHeight="1" x14ac:dyDescent="0.55000000000000004"/>
    <row r="265" ht="15.75" customHeight="1" x14ac:dyDescent="0.55000000000000004"/>
    <row r="266" ht="15.75" customHeight="1" x14ac:dyDescent="0.55000000000000004"/>
    <row r="267" ht="15.75" customHeight="1" x14ac:dyDescent="0.55000000000000004"/>
    <row r="268" ht="15.75" customHeight="1" x14ac:dyDescent="0.55000000000000004"/>
    <row r="269" ht="15.75" customHeight="1" x14ac:dyDescent="0.55000000000000004"/>
    <row r="270" ht="15.75" customHeight="1" x14ac:dyDescent="0.55000000000000004"/>
    <row r="271" ht="15.75" customHeight="1" x14ac:dyDescent="0.55000000000000004"/>
    <row r="272" ht="15.75" customHeight="1" x14ac:dyDescent="0.55000000000000004"/>
    <row r="273" ht="15.75" customHeight="1" x14ac:dyDescent="0.55000000000000004"/>
    <row r="274" ht="15.75" customHeight="1" x14ac:dyDescent="0.55000000000000004"/>
    <row r="275" ht="15.75" customHeight="1" x14ac:dyDescent="0.55000000000000004"/>
    <row r="276" ht="15.75" customHeight="1" x14ac:dyDescent="0.55000000000000004"/>
    <row r="277" ht="15.75" customHeight="1" x14ac:dyDescent="0.55000000000000004"/>
    <row r="278" ht="15.75" customHeight="1" x14ac:dyDescent="0.55000000000000004"/>
    <row r="279" ht="15.75" customHeight="1" x14ac:dyDescent="0.55000000000000004"/>
    <row r="280" ht="15.75" customHeight="1" x14ac:dyDescent="0.55000000000000004"/>
    <row r="281" ht="15.75" customHeight="1" x14ac:dyDescent="0.55000000000000004"/>
    <row r="282" ht="15.75" customHeight="1" x14ac:dyDescent="0.55000000000000004"/>
    <row r="283" ht="15.75" customHeight="1" x14ac:dyDescent="0.55000000000000004"/>
    <row r="284" ht="15.75" customHeight="1" x14ac:dyDescent="0.55000000000000004"/>
    <row r="285" ht="15.75" customHeight="1" x14ac:dyDescent="0.55000000000000004"/>
    <row r="286" ht="15.75" customHeight="1" x14ac:dyDescent="0.55000000000000004"/>
    <row r="287" ht="15.75" customHeight="1" x14ac:dyDescent="0.55000000000000004"/>
    <row r="288" ht="15.75" customHeight="1" x14ac:dyDescent="0.55000000000000004"/>
    <row r="289" ht="15.75" customHeight="1" x14ac:dyDescent="0.55000000000000004"/>
    <row r="290" ht="15.75" customHeight="1" x14ac:dyDescent="0.55000000000000004"/>
    <row r="291" ht="15.75" customHeight="1" x14ac:dyDescent="0.55000000000000004"/>
    <row r="292" ht="15.75" customHeight="1" x14ac:dyDescent="0.55000000000000004"/>
    <row r="293" ht="15.75" customHeight="1" x14ac:dyDescent="0.55000000000000004"/>
    <row r="294" ht="15.75" customHeight="1" x14ac:dyDescent="0.55000000000000004"/>
    <row r="295" ht="15.75" customHeight="1" x14ac:dyDescent="0.55000000000000004"/>
    <row r="296" ht="15.75" customHeight="1" x14ac:dyDescent="0.55000000000000004"/>
    <row r="297" ht="15.75" customHeight="1" x14ac:dyDescent="0.55000000000000004"/>
    <row r="298" ht="15.75" customHeight="1" x14ac:dyDescent="0.55000000000000004"/>
    <row r="299" ht="15.75" customHeight="1" x14ac:dyDescent="0.55000000000000004"/>
    <row r="300" ht="15.75" customHeight="1" x14ac:dyDescent="0.55000000000000004"/>
    <row r="301" ht="15.75" customHeight="1" x14ac:dyDescent="0.55000000000000004"/>
    <row r="302" ht="15.75" customHeight="1" x14ac:dyDescent="0.55000000000000004"/>
    <row r="303" ht="15.75" customHeight="1" x14ac:dyDescent="0.55000000000000004"/>
    <row r="304" ht="15.75" customHeight="1" x14ac:dyDescent="0.55000000000000004"/>
    <row r="305" ht="15.75" customHeight="1" x14ac:dyDescent="0.55000000000000004"/>
    <row r="306" ht="15.75" customHeight="1" x14ac:dyDescent="0.55000000000000004"/>
    <row r="307" ht="15.75" customHeight="1" x14ac:dyDescent="0.55000000000000004"/>
    <row r="308" ht="15.75" customHeight="1" x14ac:dyDescent="0.55000000000000004"/>
    <row r="309" ht="15.75" customHeight="1" x14ac:dyDescent="0.55000000000000004"/>
    <row r="310" ht="15.75" customHeight="1" x14ac:dyDescent="0.55000000000000004"/>
    <row r="311" ht="15.75" customHeight="1" x14ac:dyDescent="0.55000000000000004"/>
    <row r="312" ht="15.75" customHeight="1" x14ac:dyDescent="0.55000000000000004"/>
    <row r="313" ht="15.75" customHeight="1" x14ac:dyDescent="0.55000000000000004"/>
    <row r="314" ht="15.75" customHeight="1" x14ac:dyDescent="0.55000000000000004"/>
    <row r="315" ht="15.75" customHeight="1" x14ac:dyDescent="0.55000000000000004"/>
    <row r="316" ht="15.75" customHeight="1" x14ac:dyDescent="0.55000000000000004"/>
    <row r="317" ht="15.75" customHeight="1" x14ac:dyDescent="0.55000000000000004"/>
    <row r="318" ht="15.75" customHeight="1" x14ac:dyDescent="0.55000000000000004"/>
    <row r="319" ht="15.75" customHeight="1" x14ac:dyDescent="0.55000000000000004"/>
    <row r="320" ht="15.75" customHeight="1" x14ac:dyDescent="0.55000000000000004"/>
    <row r="321" ht="15.75" customHeight="1" x14ac:dyDescent="0.55000000000000004"/>
    <row r="322" ht="15.75" customHeight="1" x14ac:dyDescent="0.55000000000000004"/>
    <row r="323" ht="15.75" customHeight="1" x14ac:dyDescent="0.55000000000000004"/>
    <row r="324" ht="15.75" customHeight="1" x14ac:dyDescent="0.55000000000000004"/>
    <row r="325" ht="15.75" customHeight="1" x14ac:dyDescent="0.55000000000000004"/>
    <row r="326" ht="15.75" customHeight="1" x14ac:dyDescent="0.55000000000000004"/>
    <row r="327" ht="15.75" customHeight="1" x14ac:dyDescent="0.55000000000000004"/>
    <row r="328" ht="15.75" customHeight="1" x14ac:dyDescent="0.55000000000000004"/>
    <row r="329" ht="15.75" customHeight="1" x14ac:dyDescent="0.55000000000000004"/>
    <row r="330" ht="15.75" customHeight="1" x14ac:dyDescent="0.55000000000000004"/>
    <row r="331" ht="15.75" customHeight="1" x14ac:dyDescent="0.55000000000000004"/>
    <row r="332" ht="15.75" customHeight="1" x14ac:dyDescent="0.55000000000000004"/>
    <row r="333" ht="15.75" customHeight="1" x14ac:dyDescent="0.55000000000000004"/>
    <row r="334" ht="15.75" customHeight="1" x14ac:dyDescent="0.55000000000000004"/>
    <row r="335" ht="15.75" customHeight="1" x14ac:dyDescent="0.55000000000000004"/>
    <row r="336" ht="15.75" customHeight="1" x14ac:dyDescent="0.55000000000000004"/>
    <row r="337" ht="15.75" customHeight="1" x14ac:dyDescent="0.55000000000000004"/>
    <row r="338" ht="15.75" customHeight="1" x14ac:dyDescent="0.55000000000000004"/>
    <row r="339" ht="15.75" customHeight="1" x14ac:dyDescent="0.55000000000000004"/>
    <row r="340" ht="15.75" customHeight="1" x14ac:dyDescent="0.55000000000000004"/>
    <row r="341" ht="15.75" customHeight="1" x14ac:dyDescent="0.55000000000000004"/>
    <row r="342" ht="15.75" customHeight="1" x14ac:dyDescent="0.55000000000000004"/>
    <row r="343" ht="15.75" customHeight="1" x14ac:dyDescent="0.55000000000000004"/>
    <row r="344" ht="15.75" customHeight="1" x14ac:dyDescent="0.55000000000000004"/>
    <row r="345" ht="15.75" customHeight="1" x14ac:dyDescent="0.55000000000000004"/>
    <row r="346" ht="15.75" customHeight="1" x14ac:dyDescent="0.55000000000000004"/>
    <row r="347" ht="15.75" customHeight="1" x14ac:dyDescent="0.55000000000000004"/>
    <row r="348" ht="15.75" customHeight="1" x14ac:dyDescent="0.55000000000000004"/>
    <row r="349" ht="15.75" customHeight="1" x14ac:dyDescent="0.55000000000000004"/>
    <row r="350" ht="15.75" customHeight="1" x14ac:dyDescent="0.55000000000000004"/>
    <row r="351" ht="15.75" customHeight="1" x14ac:dyDescent="0.55000000000000004"/>
    <row r="352" ht="15.75" customHeight="1" x14ac:dyDescent="0.55000000000000004"/>
    <row r="353" ht="15.75" customHeight="1" x14ac:dyDescent="0.55000000000000004"/>
    <row r="354" ht="15.75" customHeight="1" x14ac:dyDescent="0.55000000000000004"/>
    <row r="355" ht="15.75" customHeight="1" x14ac:dyDescent="0.55000000000000004"/>
    <row r="356" ht="15.75" customHeight="1" x14ac:dyDescent="0.55000000000000004"/>
    <row r="357" ht="15.75" customHeight="1" x14ac:dyDescent="0.55000000000000004"/>
    <row r="358" ht="15.75" customHeight="1" x14ac:dyDescent="0.55000000000000004"/>
    <row r="359" ht="15.75" customHeight="1" x14ac:dyDescent="0.55000000000000004"/>
    <row r="360" ht="15.75" customHeight="1" x14ac:dyDescent="0.55000000000000004"/>
    <row r="361" ht="15.75" customHeight="1" x14ac:dyDescent="0.55000000000000004"/>
    <row r="362" ht="15.75" customHeight="1" x14ac:dyDescent="0.55000000000000004"/>
    <row r="363" ht="15.75" customHeight="1" x14ac:dyDescent="0.55000000000000004"/>
    <row r="364" ht="15.75" customHeight="1" x14ac:dyDescent="0.55000000000000004"/>
    <row r="365" ht="15.75" customHeight="1" x14ac:dyDescent="0.55000000000000004"/>
    <row r="366" ht="15.75" customHeight="1" x14ac:dyDescent="0.55000000000000004"/>
    <row r="367" ht="15.75" customHeight="1" x14ac:dyDescent="0.55000000000000004"/>
    <row r="368" ht="15.75" customHeight="1" x14ac:dyDescent="0.55000000000000004"/>
    <row r="369" ht="15.75" customHeight="1" x14ac:dyDescent="0.55000000000000004"/>
    <row r="370" ht="15.75" customHeight="1" x14ac:dyDescent="0.55000000000000004"/>
    <row r="371" ht="15.75" customHeight="1" x14ac:dyDescent="0.55000000000000004"/>
    <row r="372" ht="15.75" customHeight="1" x14ac:dyDescent="0.55000000000000004"/>
    <row r="373" ht="15.75" customHeight="1" x14ac:dyDescent="0.55000000000000004"/>
    <row r="374" ht="15.75" customHeight="1" x14ac:dyDescent="0.55000000000000004"/>
    <row r="375" ht="15.75" customHeight="1" x14ac:dyDescent="0.55000000000000004"/>
    <row r="376" ht="15.75" customHeight="1" x14ac:dyDescent="0.55000000000000004"/>
    <row r="377" ht="15.75" customHeight="1" x14ac:dyDescent="0.55000000000000004"/>
    <row r="378" ht="15.75" customHeight="1" x14ac:dyDescent="0.55000000000000004"/>
    <row r="379" ht="15.75" customHeight="1" x14ac:dyDescent="0.55000000000000004"/>
    <row r="380" ht="15.75" customHeight="1" x14ac:dyDescent="0.55000000000000004"/>
    <row r="381" ht="15.75" customHeight="1" x14ac:dyDescent="0.55000000000000004"/>
    <row r="382" ht="15.75" customHeight="1" x14ac:dyDescent="0.55000000000000004"/>
    <row r="383" ht="15.75" customHeight="1" x14ac:dyDescent="0.55000000000000004"/>
    <row r="384" ht="15.75" customHeight="1" x14ac:dyDescent="0.55000000000000004"/>
    <row r="385" ht="15.75" customHeight="1" x14ac:dyDescent="0.55000000000000004"/>
    <row r="386" ht="15.75" customHeight="1" x14ac:dyDescent="0.55000000000000004"/>
    <row r="387" ht="15.75" customHeight="1" x14ac:dyDescent="0.55000000000000004"/>
    <row r="388" ht="15.75" customHeight="1" x14ac:dyDescent="0.55000000000000004"/>
    <row r="389" ht="15.75" customHeight="1" x14ac:dyDescent="0.55000000000000004"/>
    <row r="390" ht="15.75" customHeight="1" x14ac:dyDescent="0.55000000000000004"/>
    <row r="391" ht="15.75" customHeight="1" x14ac:dyDescent="0.55000000000000004"/>
    <row r="392" ht="15.75" customHeight="1" x14ac:dyDescent="0.55000000000000004"/>
    <row r="393" ht="15.75" customHeight="1" x14ac:dyDescent="0.55000000000000004"/>
    <row r="394" ht="15.75" customHeight="1" x14ac:dyDescent="0.55000000000000004"/>
    <row r="395" ht="15.75" customHeight="1" x14ac:dyDescent="0.55000000000000004"/>
    <row r="396" ht="15.75" customHeight="1" x14ac:dyDescent="0.55000000000000004"/>
    <row r="397" ht="15.75" customHeight="1" x14ac:dyDescent="0.55000000000000004"/>
    <row r="398" ht="15.75" customHeight="1" x14ac:dyDescent="0.55000000000000004"/>
    <row r="399" ht="15.75" customHeight="1" x14ac:dyDescent="0.55000000000000004"/>
    <row r="400" ht="15.75" customHeight="1" x14ac:dyDescent="0.55000000000000004"/>
    <row r="401" ht="15.75" customHeight="1" x14ac:dyDescent="0.55000000000000004"/>
    <row r="402" ht="15.75" customHeight="1" x14ac:dyDescent="0.55000000000000004"/>
    <row r="403" ht="15.75" customHeight="1" x14ac:dyDescent="0.55000000000000004"/>
    <row r="404" ht="15.75" customHeight="1" x14ac:dyDescent="0.55000000000000004"/>
    <row r="405" ht="15.75" customHeight="1" x14ac:dyDescent="0.55000000000000004"/>
    <row r="406" ht="15.75" customHeight="1" x14ac:dyDescent="0.55000000000000004"/>
    <row r="407" ht="15.75" customHeight="1" x14ac:dyDescent="0.55000000000000004"/>
    <row r="408" ht="15.75" customHeight="1" x14ac:dyDescent="0.55000000000000004"/>
    <row r="409" ht="15.75" customHeight="1" x14ac:dyDescent="0.55000000000000004"/>
    <row r="410" ht="15.75" customHeight="1" x14ac:dyDescent="0.55000000000000004"/>
    <row r="411" ht="15.75" customHeight="1" x14ac:dyDescent="0.55000000000000004"/>
    <row r="412" ht="15.75" customHeight="1" x14ac:dyDescent="0.55000000000000004"/>
    <row r="413" ht="15.75" customHeight="1" x14ac:dyDescent="0.55000000000000004"/>
    <row r="414" ht="15.75" customHeight="1" x14ac:dyDescent="0.55000000000000004"/>
    <row r="415" ht="15.75" customHeight="1" x14ac:dyDescent="0.55000000000000004"/>
    <row r="416" ht="15.75" customHeight="1" x14ac:dyDescent="0.55000000000000004"/>
    <row r="417" ht="15.75" customHeight="1" x14ac:dyDescent="0.55000000000000004"/>
    <row r="418" ht="15.75" customHeight="1" x14ac:dyDescent="0.55000000000000004"/>
    <row r="419" ht="15.75" customHeight="1" x14ac:dyDescent="0.55000000000000004"/>
    <row r="420" ht="15.75" customHeight="1" x14ac:dyDescent="0.55000000000000004"/>
    <row r="421" ht="15.75" customHeight="1" x14ac:dyDescent="0.55000000000000004"/>
    <row r="422" ht="15.75" customHeight="1" x14ac:dyDescent="0.55000000000000004"/>
    <row r="423" ht="15.75" customHeight="1" x14ac:dyDescent="0.55000000000000004"/>
    <row r="424" ht="15.75" customHeight="1" x14ac:dyDescent="0.55000000000000004"/>
    <row r="425" ht="15.75" customHeight="1" x14ac:dyDescent="0.55000000000000004"/>
    <row r="426" ht="15.75" customHeight="1" x14ac:dyDescent="0.55000000000000004"/>
    <row r="427" ht="15.75" customHeight="1" x14ac:dyDescent="0.55000000000000004"/>
    <row r="428" ht="15.75" customHeight="1" x14ac:dyDescent="0.55000000000000004"/>
    <row r="429" ht="15.75" customHeight="1" x14ac:dyDescent="0.55000000000000004"/>
    <row r="430" ht="15.75" customHeight="1" x14ac:dyDescent="0.55000000000000004"/>
    <row r="431" ht="15.75" customHeight="1" x14ac:dyDescent="0.55000000000000004"/>
    <row r="432" ht="15.75" customHeight="1" x14ac:dyDescent="0.55000000000000004"/>
    <row r="433" ht="15.75" customHeight="1" x14ac:dyDescent="0.55000000000000004"/>
    <row r="434" ht="15.75" customHeight="1" x14ac:dyDescent="0.55000000000000004"/>
    <row r="435" ht="15.75" customHeight="1" x14ac:dyDescent="0.55000000000000004"/>
    <row r="436" ht="15.75" customHeight="1" x14ac:dyDescent="0.55000000000000004"/>
    <row r="437" ht="15.75" customHeight="1" x14ac:dyDescent="0.55000000000000004"/>
    <row r="438" ht="15.75" customHeight="1" x14ac:dyDescent="0.55000000000000004"/>
    <row r="439" ht="15.75" customHeight="1" x14ac:dyDescent="0.55000000000000004"/>
    <row r="440" ht="15.75" customHeight="1" x14ac:dyDescent="0.55000000000000004"/>
    <row r="441" ht="15.75" customHeight="1" x14ac:dyDescent="0.55000000000000004"/>
    <row r="442" ht="15.75" customHeight="1" x14ac:dyDescent="0.55000000000000004"/>
    <row r="443" ht="15.75" customHeight="1" x14ac:dyDescent="0.55000000000000004"/>
    <row r="444" ht="15.75" customHeight="1" x14ac:dyDescent="0.55000000000000004"/>
    <row r="445" ht="15.75" customHeight="1" x14ac:dyDescent="0.55000000000000004"/>
    <row r="446" ht="15.75" customHeight="1" x14ac:dyDescent="0.55000000000000004"/>
    <row r="447" ht="15.75" customHeight="1" x14ac:dyDescent="0.55000000000000004"/>
    <row r="448" ht="15.75" customHeight="1" x14ac:dyDescent="0.55000000000000004"/>
    <row r="449" ht="15.75" customHeight="1" x14ac:dyDescent="0.55000000000000004"/>
    <row r="450" ht="15.75" customHeight="1" x14ac:dyDescent="0.55000000000000004"/>
    <row r="451" ht="15.75" customHeight="1" x14ac:dyDescent="0.55000000000000004"/>
    <row r="452" ht="15.75" customHeight="1" x14ac:dyDescent="0.55000000000000004"/>
    <row r="453" ht="15.75" customHeight="1" x14ac:dyDescent="0.55000000000000004"/>
    <row r="454" ht="15.75" customHeight="1" x14ac:dyDescent="0.55000000000000004"/>
    <row r="455" ht="15.75" customHeight="1" x14ac:dyDescent="0.55000000000000004"/>
    <row r="456" ht="15.75" customHeight="1" x14ac:dyDescent="0.55000000000000004"/>
    <row r="457" ht="15.75" customHeight="1" x14ac:dyDescent="0.55000000000000004"/>
    <row r="458" ht="15.75" customHeight="1" x14ac:dyDescent="0.55000000000000004"/>
    <row r="459" ht="15.75" customHeight="1" x14ac:dyDescent="0.55000000000000004"/>
    <row r="460" ht="15.75" customHeight="1" x14ac:dyDescent="0.55000000000000004"/>
    <row r="461" ht="15.75" customHeight="1" x14ac:dyDescent="0.55000000000000004"/>
    <row r="462" ht="15.75" customHeight="1" x14ac:dyDescent="0.55000000000000004"/>
    <row r="463" ht="15.75" customHeight="1" x14ac:dyDescent="0.55000000000000004"/>
    <row r="464" ht="15.75" customHeight="1" x14ac:dyDescent="0.55000000000000004"/>
    <row r="465" ht="15.75" customHeight="1" x14ac:dyDescent="0.55000000000000004"/>
    <row r="466" ht="15.75" customHeight="1" x14ac:dyDescent="0.55000000000000004"/>
    <row r="467" ht="15.75" customHeight="1" x14ac:dyDescent="0.55000000000000004"/>
    <row r="468" ht="15.75" customHeight="1" x14ac:dyDescent="0.55000000000000004"/>
    <row r="469" ht="15.75" customHeight="1" x14ac:dyDescent="0.55000000000000004"/>
    <row r="470" ht="15.75" customHeight="1" x14ac:dyDescent="0.55000000000000004"/>
    <row r="471" ht="15.75" customHeight="1" x14ac:dyDescent="0.55000000000000004"/>
    <row r="472" ht="15.75" customHeight="1" x14ac:dyDescent="0.55000000000000004"/>
    <row r="473" ht="15.75" customHeight="1" x14ac:dyDescent="0.55000000000000004"/>
    <row r="474" ht="15.75" customHeight="1" x14ac:dyDescent="0.55000000000000004"/>
    <row r="475" ht="15.75" customHeight="1" x14ac:dyDescent="0.55000000000000004"/>
    <row r="476" ht="15.75" customHeight="1" x14ac:dyDescent="0.55000000000000004"/>
    <row r="477" ht="15.75" customHeight="1" x14ac:dyDescent="0.55000000000000004"/>
    <row r="478" ht="15.75" customHeight="1" x14ac:dyDescent="0.55000000000000004"/>
    <row r="479" ht="15.75" customHeight="1" x14ac:dyDescent="0.55000000000000004"/>
    <row r="480" ht="15.75" customHeight="1" x14ac:dyDescent="0.55000000000000004"/>
    <row r="481" ht="15.75" customHeight="1" x14ac:dyDescent="0.55000000000000004"/>
    <row r="482" ht="15.75" customHeight="1" x14ac:dyDescent="0.55000000000000004"/>
    <row r="483" ht="15.75" customHeight="1" x14ac:dyDescent="0.55000000000000004"/>
    <row r="484" ht="15.75" customHeight="1" x14ac:dyDescent="0.55000000000000004"/>
    <row r="485" ht="15.75" customHeight="1" x14ac:dyDescent="0.55000000000000004"/>
    <row r="486" ht="15.75" customHeight="1" x14ac:dyDescent="0.55000000000000004"/>
    <row r="487" ht="15.75" customHeight="1" x14ac:dyDescent="0.55000000000000004"/>
    <row r="488" ht="15.75" customHeight="1" x14ac:dyDescent="0.55000000000000004"/>
    <row r="489" ht="15.75" customHeight="1" x14ac:dyDescent="0.55000000000000004"/>
    <row r="490" ht="15.75" customHeight="1" x14ac:dyDescent="0.55000000000000004"/>
    <row r="491" ht="15.75" customHeight="1" x14ac:dyDescent="0.55000000000000004"/>
    <row r="492" ht="15.75" customHeight="1" x14ac:dyDescent="0.55000000000000004"/>
    <row r="493" ht="15.75" customHeight="1" x14ac:dyDescent="0.55000000000000004"/>
    <row r="494" ht="15.75" customHeight="1" x14ac:dyDescent="0.55000000000000004"/>
    <row r="495" ht="15.75" customHeight="1" x14ac:dyDescent="0.55000000000000004"/>
    <row r="496" ht="15.75" customHeight="1" x14ac:dyDescent="0.55000000000000004"/>
    <row r="497" ht="15.75" customHeight="1" x14ac:dyDescent="0.55000000000000004"/>
    <row r="498" ht="15.75" customHeight="1" x14ac:dyDescent="0.55000000000000004"/>
    <row r="499" ht="15.75" customHeight="1" x14ac:dyDescent="0.55000000000000004"/>
    <row r="500" ht="15.75" customHeight="1" x14ac:dyDescent="0.55000000000000004"/>
    <row r="501" ht="15.75" customHeight="1" x14ac:dyDescent="0.55000000000000004"/>
    <row r="502" ht="15.75" customHeight="1" x14ac:dyDescent="0.55000000000000004"/>
    <row r="503" ht="15.75" customHeight="1" x14ac:dyDescent="0.55000000000000004"/>
    <row r="504" ht="15.75" customHeight="1" x14ac:dyDescent="0.55000000000000004"/>
    <row r="505" ht="15.75" customHeight="1" x14ac:dyDescent="0.55000000000000004"/>
    <row r="506" ht="15.75" customHeight="1" x14ac:dyDescent="0.55000000000000004"/>
    <row r="507" ht="15.75" customHeight="1" x14ac:dyDescent="0.55000000000000004"/>
    <row r="508" ht="15.75" customHeight="1" x14ac:dyDescent="0.55000000000000004"/>
    <row r="509" ht="15.75" customHeight="1" x14ac:dyDescent="0.55000000000000004"/>
    <row r="510" ht="15.75" customHeight="1" x14ac:dyDescent="0.55000000000000004"/>
    <row r="511" ht="15.75" customHeight="1" x14ac:dyDescent="0.55000000000000004"/>
    <row r="512" ht="15.75" customHeight="1" x14ac:dyDescent="0.55000000000000004"/>
    <row r="513" ht="15.75" customHeight="1" x14ac:dyDescent="0.55000000000000004"/>
    <row r="514" ht="15.75" customHeight="1" x14ac:dyDescent="0.55000000000000004"/>
    <row r="515" ht="15.75" customHeight="1" x14ac:dyDescent="0.55000000000000004"/>
    <row r="516" ht="15.75" customHeight="1" x14ac:dyDescent="0.55000000000000004"/>
    <row r="517" ht="15.75" customHeight="1" x14ac:dyDescent="0.55000000000000004"/>
    <row r="518" ht="15.75" customHeight="1" x14ac:dyDescent="0.55000000000000004"/>
    <row r="519" ht="15.75" customHeight="1" x14ac:dyDescent="0.55000000000000004"/>
    <row r="520" ht="15.75" customHeight="1" x14ac:dyDescent="0.55000000000000004"/>
    <row r="521" ht="15.75" customHeight="1" x14ac:dyDescent="0.55000000000000004"/>
    <row r="522" ht="15.75" customHeight="1" x14ac:dyDescent="0.55000000000000004"/>
    <row r="523" ht="15.75" customHeight="1" x14ac:dyDescent="0.55000000000000004"/>
    <row r="524" ht="15.75" customHeight="1" x14ac:dyDescent="0.55000000000000004"/>
    <row r="525" ht="15.75" customHeight="1" x14ac:dyDescent="0.55000000000000004"/>
    <row r="526" ht="15.75" customHeight="1" x14ac:dyDescent="0.55000000000000004"/>
    <row r="527" ht="15.75" customHeight="1" x14ac:dyDescent="0.55000000000000004"/>
    <row r="528" ht="15.75" customHeight="1" x14ac:dyDescent="0.55000000000000004"/>
    <row r="529" ht="15.75" customHeight="1" x14ac:dyDescent="0.55000000000000004"/>
    <row r="530" ht="15.75" customHeight="1" x14ac:dyDescent="0.55000000000000004"/>
    <row r="531" ht="15.75" customHeight="1" x14ac:dyDescent="0.55000000000000004"/>
    <row r="532" ht="15.75" customHeight="1" x14ac:dyDescent="0.55000000000000004"/>
    <row r="533" ht="15.75" customHeight="1" x14ac:dyDescent="0.55000000000000004"/>
    <row r="534" ht="15.75" customHeight="1" x14ac:dyDescent="0.55000000000000004"/>
    <row r="535" ht="15.75" customHeight="1" x14ac:dyDescent="0.55000000000000004"/>
    <row r="536" ht="15.75" customHeight="1" x14ac:dyDescent="0.55000000000000004"/>
    <row r="537" ht="15.75" customHeight="1" x14ac:dyDescent="0.55000000000000004"/>
    <row r="538" ht="15.75" customHeight="1" x14ac:dyDescent="0.55000000000000004"/>
    <row r="539" ht="15.75" customHeight="1" x14ac:dyDescent="0.55000000000000004"/>
    <row r="540" ht="15.75" customHeight="1" x14ac:dyDescent="0.55000000000000004"/>
    <row r="541" ht="15.75" customHeight="1" x14ac:dyDescent="0.55000000000000004"/>
    <row r="542" ht="15.75" customHeight="1" x14ac:dyDescent="0.55000000000000004"/>
    <row r="543" ht="15.75" customHeight="1" x14ac:dyDescent="0.55000000000000004"/>
    <row r="544" ht="15.75" customHeight="1" x14ac:dyDescent="0.55000000000000004"/>
    <row r="545" ht="15.75" customHeight="1" x14ac:dyDescent="0.55000000000000004"/>
    <row r="546" ht="15.75" customHeight="1" x14ac:dyDescent="0.55000000000000004"/>
    <row r="547" ht="15.75" customHeight="1" x14ac:dyDescent="0.55000000000000004"/>
    <row r="548" ht="15.75" customHeight="1" x14ac:dyDescent="0.55000000000000004"/>
    <row r="549" ht="15.75" customHeight="1" x14ac:dyDescent="0.55000000000000004"/>
    <row r="550" ht="15.75" customHeight="1" x14ac:dyDescent="0.55000000000000004"/>
    <row r="551" ht="15.75" customHeight="1" x14ac:dyDescent="0.55000000000000004"/>
    <row r="552" ht="15.75" customHeight="1" x14ac:dyDescent="0.55000000000000004"/>
    <row r="553" ht="15.75" customHeight="1" x14ac:dyDescent="0.55000000000000004"/>
    <row r="554" ht="15.75" customHeight="1" x14ac:dyDescent="0.55000000000000004"/>
    <row r="555" ht="15.75" customHeight="1" x14ac:dyDescent="0.55000000000000004"/>
    <row r="556" ht="15.75" customHeight="1" x14ac:dyDescent="0.55000000000000004"/>
    <row r="557" ht="15.75" customHeight="1" x14ac:dyDescent="0.55000000000000004"/>
    <row r="558" ht="15.75" customHeight="1" x14ac:dyDescent="0.55000000000000004"/>
    <row r="559" ht="15.75" customHeight="1" x14ac:dyDescent="0.55000000000000004"/>
    <row r="560" ht="15.75" customHeight="1" x14ac:dyDescent="0.55000000000000004"/>
    <row r="561" ht="15.75" customHeight="1" x14ac:dyDescent="0.55000000000000004"/>
    <row r="562" ht="15.75" customHeight="1" x14ac:dyDescent="0.55000000000000004"/>
    <row r="563" ht="15.75" customHeight="1" x14ac:dyDescent="0.55000000000000004"/>
    <row r="564" ht="15.75" customHeight="1" x14ac:dyDescent="0.55000000000000004"/>
    <row r="565" ht="15.75" customHeight="1" x14ac:dyDescent="0.55000000000000004"/>
    <row r="566" ht="15.75" customHeight="1" x14ac:dyDescent="0.55000000000000004"/>
    <row r="567" ht="15.75" customHeight="1" x14ac:dyDescent="0.55000000000000004"/>
    <row r="568" ht="15.75" customHeight="1" x14ac:dyDescent="0.55000000000000004"/>
    <row r="569" ht="15.75" customHeight="1" x14ac:dyDescent="0.55000000000000004"/>
    <row r="570" ht="15.75" customHeight="1" x14ac:dyDescent="0.55000000000000004"/>
    <row r="571" ht="15.75" customHeight="1" x14ac:dyDescent="0.55000000000000004"/>
    <row r="572" ht="15.75" customHeight="1" x14ac:dyDescent="0.55000000000000004"/>
    <row r="573" ht="15.75" customHeight="1" x14ac:dyDescent="0.55000000000000004"/>
    <row r="574" ht="15.75" customHeight="1" x14ac:dyDescent="0.55000000000000004"/>
    <row r="575" ht="15.75" customHeight="1" x14ac:dyDescent="0.55000000000000004"/>
    <row r="576" ht="15.75" customHeight="1" x14ac:dyDescent="0.55000000000000004"/>
    <row r="577" ht="15.75" customHeight="1" x14ac:dyDescent="0.55000000000000004"/>
    <row r="578" ht="15.75" customHeight="1" x14ac:dyDescent="0.55000000000000004"/>
    <row r="579" ht="15.75" customHeight="1" x14ac:dyDescent="0.55000000000000004"/>
    <row r="580" ht="15.75" customHeight="1" x14ac:dyDescent="0.55000000000000004"/>
    <row r="581" ht="15.75" customHeight="1" x14ac:dyDescent="0.55000000000000004"/>
    <row r="582" ht="15.75" customHeight="1" x14ac:dyDescent="0.55000000000000004"/>
    <row r="583" ht="15.75" customHeight="1" x14ac:dyDescent="0.55000000000000004"/>
    <row r="584" ht="15.75" customHeight="1" x14ac:dyDescent="0.55000000000000004"/>
    <row r="585" ht="15.75" customHeight="1" x14ac:dyDescent="0.55000000000000004"/>
    <row r="586" ht="15.75" customHeight="1" x14ac:dyDescent="0.55000000000000004"/>
    <row r="587" ht="15.75" customHeight="1" x14ac:dyDescent="0.55000000000000004"/>
    <row r="588" ht="15.75" customHeight="1" x14ac:dyDescent="0.55000000000000004"/>
    <row r="589" ht="15.75" customHeight="1" x14ac:dyDescent="0.55000000000000004"/>
    <row r="590" ht="15.75" customHeight="1" x14ac:dyDescent="0.55000000000000004"/>
    <row r="591" ht="15.75" customHeight="1" x14ac:dyDescent="0.55000000000000004"/>
    <row r="592" ht="15.75" customHeight="1" x14ac:dyDescent="0.55000000000000004"/>
    <row r="593" ht="15.75" customHeight="1" x14ac:dyDescent="0.55000000000000004"/>
    <row r="594" ht="15.75" customHeight="1" x14ac:dyDescent="0.55000000000000004"/>
    <row r="595" ht="15.75" customHeight="1" x14ac:dyDescent="0.55000000000000004"/>
    <row r="596" ht="15.75" customHeight="1" x14ac:dyDescent="0.55000000000000004"/>
    <row r="597" ht="15.75" customHeight="1" x14ac:dyDescent="0.55000000000000004"/>
    <row r="598" ht="15.75" customHeight="1" x14ac:dyDescent="0.55000000000000004"/>
    <row r="599" ht="15.75" customHeight="1" x14ac:dyDescent="0.55000000000000004"/>
    <row r="600" ht="15.75" customHeight="1" x14ac:dyDescent="0.55000000000000004"/>
    <row r="601" ht="15.75" customHeight="1" x14ac:dyDescent="0.55000000000000004"/>
    <row r="602" ht="15.75" customHeight="1" x14ac:dyDescent="0.55000000000000004"/>
    <row r="603" ht="15.75" customHeight="1" x14ac:dyDescent="0.55000000000000004"/>
    <row r="604" ht="15.75" customHeight="1" x14ac:dyDescent="0.55000000000000004"/>
    <row r="605" ht="15.75" customHeight="1" x14ac:dyDescent="0.55000000000000004"/>
    <row r="606" ht="15.75" customHeight="1" x14ac:dyDescent="0.55000000000000004"/>
    <row r="607" ht="15.75" customHeight="1" x14ac:dyDescent="0.55000000000000004"/>
    <row r="608" ht="15.75" customHeight="1" x14ac:dyDescent="0.55000000000000004"/>
    <row r="609" ht="15.75" customHeight="1" x14ac:dyDescent="0.55000000000000004"/>
    <row r="610" ht="15.75" customHeight="1" x14ac:dyDescent="0.55000000000000004"/>
    <row r="611" ht="15.75" customHeight="1" x14ac:dyDescent="0.55000000000000004"/>
    <row r="612" ht="15.75" customHeight="1" x14ac:dyDescent="0.55000000000000004"/>
    <row r="613" ht="15.75" customHeight="1" x14ac:dyDescent="0.55000000000000004"/>
    <row r="614" ht="15.75" customHeight="1" x14ac:dyDescent="0.55000000000000004"/>
    <row r="615" ht="15.75" customHeight="1" x14ac:dyDescent="0.55000000000000004"/>
    <row r="616" ht="15.75" customHeight="1" x14ac:dyDescent="0.55000000000000004"/>
    <row r="617" ht="15.75" customHeight="1" x14ac:dyDescent="0.55000000000000004"/>
    <row r="618" ht="15.75" customHeight="1" x14ac:dyDescent="0.55000000000000004"/>
    <row r="619" ht="15.75" customHeight="1" x14ac:dyDescent="0.55000000000000004"/>
    <row r="620" ht="15.75" customHeight="1" x14ac:dyDescent="0.55000000000000004"/>
    <row r="621" ht="15.75" customHeight="1" x14ac:dyDescent="0.55000000000000004"/>
    <row r="622" ht="15.75" customHeight="1" x14ac:dyDescent="0.55000000000000004"/>
    <row r="623" ht="15.75" customHeight="1" x14ac:dyDescent="0.55000000000000004"/>
    <row r="624" ht="15.75" customHeight="1" x14ac:dyDescent="0.55000000000000004"/>
    <row r="625" ht="15.75" customHeight="1" x14ac:dyDescent="0.55000000000000004"/>
    <row r="626" ht="15.75" customHeight="1" x14ac:dyDescent="0.55000000000000004"/>
    <row r="627" ht="15.75" customHeight="1" x14ac:dyDescent="0.55000000000000004"/>
    <row r="628" ht="15.75" customHeight="1" x14ac:dyDescent="0.55000000000000004"/>
    <row r="629" ht="15.75" customHeight="1" x14ac:dyDescent="0.55000000000000004"/>
    <row r="630" ht="15.75" customHeight="1" x14ac:dyDescent="0.55000000000000004"/>
    <row r="631" ht="15.75" customHeight="1" x14ac:dyDescent="0.55000000000000004"/>
    <row r="632" ht="15.75" customHeight="1" x14ac:dyDescent="0.55000000000000004"/>
    <row r="633" ht="15.75" customHeight="1" x14ac:dyDescent="0.55000000000000004"/>
    <row r="634" ht="15.75" customHeight="1" x14ac:dyDescent="0.55000000000000004"/>
    <row r="635" ht="15.75" customHeight="1" x14ac:dyDescent="0.55000000000000004"/>
    <row r="636" ht="15.75" customHeight="1" x14ac:dyDescent="0.55000000000000004"/>
    <row r="637" ht="15.75" customHeight="1" x14ac:dyDescent="0.55000000000000004"/>
    <row r="638" ht="15.75" customHeight="1" x14ac:dyDescent="0.55000000000000004"/>
    <row r="639" ht="15.75" customHeight="1" x14ac:dyDescent="0.55000000000000004"/>
    <row r="640" ht="15.75" customHeight="1" x14ac:dyDescent="0.55000000000000004"/>
    <row r="641" ht="15.75" customHeight="1" x14ac:dyDescent="0.55000000000000004"/>
    <row r="642" ht="15.75" customHeight="1" x14ac:dyDescent="0.55000000000000004"/>
    <row r="643" ht="15.75" customHeight="1" x14ac:dyDescent="0.55000000000000004"/>
    <row r="644" ht="15.75" customHeight="1" x14ac:dyDescent="0.55000000000000004"/>
    <row r="645" ht="15.75" customHeight="1" x14ac:dyDescent="0.55000000000000004"/>
    <row r="646" ht="15.75" customHeight="1" x14ac:dyDescent="0.55000000000000004"/>
    <row r="647" ht="15.75" customHeight="1" x14ac:dyDescent="0.55000000000000004"/>
    <row r="648" ht="15.75" customHeight="1" x14ac:dyDescent="0.55000000000000004"/>
    <row r="649" ht="15.75" customHeight="1" x14ac:dyDescent="0.55000000000000004"/>
    <row r="650" ht="15.75" customHeight="1" x14ac:dyDescent="0.55000000000000004"/>
    <row r="651" ht="15.75" customHeight="1" x14ac:dyDescent="0.55000000000000004"/>
    <row r="652" ht="15.75" customHeight="1" x14ac:dyDescent="0.55000000000000004"/>
    <row r="653" ht="15.75" customHeight="1" x14ac:dyDescent="0.55000000000000004"/>
    <row r="654" ht="15.75" customHeight="1" x14ac:dyDescent="0.55000000000000004"/>
    <row r="655" ht="15.75" customHeight="1" x14ac:dyDescent="0.55000000000000004"/>
    <row r="656" ht="15.75" customHeight="1" x14ac:dyDescent="0.55000000000000004"/>
    <row r="657" ht="15.75" customHeight="1" x14ac:dyDescent="0.55000000000000004"/>
    <row r="658" ht="15.75" customHeight="1" x14ac:dyDescent="0.55000000000000004"/>
    <row r="659" ht="15.75" customHeight="1" x14ac:dyDescent="0.55000000000000004"/>
    <row r="660" ht="15.75" customHeight="1" x14ac:dyDescent="0.55000000000000004"/>
    <row r="661" ht="15.75" customHeight="1" x14ac:dyDescent="0.55000000000000004"/>
    <row r="662" ht="15.75" customHeight="1" x14ac:dyDescent="0.55000000000000004"/>
    <row r="663" ht="15.75" customHeight="1" x14ac:dyDescent="0.55000000000000004"/>
    <row r="664" ht="15.75" customHeight="1" x14ac:dyDescent="0.55000000000000004"/>
    <row r="665" ht="15.75" customHeight="1" x14ac:dyDescent="0.55000000000000004"/>
    <row r="666" ht="15.75" customHeight="1" x14ac:dyDescent="0.55000000000000004"/>
    <row r="667" ht="15.75" customHeight="1" x14ac:dyDescent="0.55000000000000004"/>
    <row r="668" ht="15.75" customHeight="1" x14ac:dyDescent="0.55000000000000004"/>
    <row r="669" ht="15.75" customHeight="1" x14ac:dyDescent="0.55000000000000004"/>
    <row r="670" ht="15.75" customHeight="1" x14ac:dyDescent="0.55000000000000004"/>
    <row r="671" ht="15.75" customHeight="1" x14ac:dyDescent="0.55000000000000004"/>
    <row r="672" ht="15.75" customHeight="1" x14ac:dyDescent="0.55000000000000004"/>
    <row r="673" ht="15.75" customHeight="1" x14ac:dyDescent="0.55000000000000004"/>
    <row r="674" ht="15.75" customHeight="1" x14ac:dyDescent="0.55000000000000004"/>
    <row r="675" ht="15.75" customHeight="1" x14ac:dyDescent="0.55000000000000004"/>
    <row r="676" ht="15.75" customHeight="1" x14ac:dyDescent="0.55000000000000004"/>
    <row r="677" ht="15.75" customHeight="1" x14ac:dyDescent="0.55000000000000004"/>
    <row r="678" ht="15.75" customHeight="1" x14ac:dyDescent="0.55000000000000004"/>
    <row r="679" ht="15.75" customHeight="1" x14ac:dyDescent="0.55000000000000004"/>
    <row r="680" ht="15.75" customHeight="1" x14ac:dyDescent="0.55000000000000004"/>
    <row r="681" ht="15.75" customHeight="1" x14ac:dyDescent="0.55000000000000004"/>
    <row r="682" ht="15.75" customHeight="1" x14ac:dyDescent="0.55000000000000004"/>
    <row r="683" ht="15.75" customHeight="1" x14ac:dyDescent="0.55000000000000004"/>
    <row r="684" ht="15.75" customHeight="1" x14ac:dyDescent="0.55000000000000004"/>
    <row r="685" ht="15.75" customHeight="1" x14ac:dyDescent="0.55000000000000004"/>
    <row r="686" ht="15.75" customHeight="1" x14ac:dyDescent="0.55000000000000004"/>
    <row r="687" ht="15.75" customHeight="1" x14ac:dyDescent="0.55000000000000004"/>
    <row r="688" ht="15.75" customHeight="1" x14ac:dyDescent="0.55000000000000004"/>
    <row r="689" ht="15.75" customHeight="1" x14ac:dyDescent="0.55000000000000004"/>
    <row r="690" ht="15.75" customHeight="1" x14ac:dyDescent="0.55000000000000004"/>
    <row r="691" ht="15.75" customHeight="1" x14ac:dyDescent="0.55000000000000004"/>
    <row r="692" ht="15.75" customHeight="1" x14ac:dyDescent="0.55000000000000004"/>
    <row r="693" ht="15.75" customHeight="1" x14ac:dyDescent="0.55000000000000004"/>
    <row r="694" ht="15.75" customHeight="1" x14ac:dyDescent="0.55000000000000004"/>
    <row r="695" ht="15.75" customHeight="1" x14ac:dyDescent="0.55000000000000004"/>
    <row r="696" ht="15.75" customHeight="1" x14ac:dyDescent="0.55000000000000004"/>
    <row r="697" ht="15.75" customHeight="1" x14ac:dyDescent="0.55000000000000004"/>
    <row r="698" ht="15.75" customHeight="1" x14ac:dyDescent="0.55000000000000004"/>
    <row r="699" ht="15.75" customHeight="1" x14ac:dyDescent="0.55000000000000004"/>
    <row r="700" ht="15.75" customHeight="1" x14ac:dyDescent="0.55000000000000004"/>
    <row r="701" ht="15.75" customHeight="1" x14ac:dyDescent="0.55000000000000004"/>
    <row r="702" ht="15.75" customHeight="1" x14ac:dyDescent="0.55000000000000004"/>
    <row r="703" ht="15.75" customHeight="1" x14ac:dyDescent="0.55000000000000004"/>
    <row r="704" ht="15.75" customHeight="1" x14ac:dyDescent="0.55000000000000004"/>
    <row r="705" ht="15.75" customHeight="1" x14ac:dyDescent="0.55000000000000004"/>
    <row r="706" ht="15.75" customHeight="1" x14ac:dyDescent="0.55000000000000004"/>
    <row r="707" ht="15.75" customHeight="1" x14ac:dyDescent="0.55000000000000004"/>
    <row r="708" ht="15.75" customHeight="1" x14ac:dyDescent="0.55000000000000004"/>
    <row r="709" ht="15.75" customHeight="1" x14ac:dyDescent="0.55000000000000004"/>
    <row r="710" ht="15.75" customHeight="1" x14ac:dyDescent="0.55000000000000004"/>
    <row r="711" ht="15.75" customHeight="1" x14ac:dyDescent="0.55000000000000004"/>
    <row r="712" ht="15.75" customHeight="1" x14ac:dyDescent="0.55000000000000004"/>
    <row r="713" ht="15.75" customHeight="1" x14ac:dyDescent="0.55000000000000004"/>
    <row r="714" ht="15.75" customHeight="1" x14ac:dyDescent="0.55000000000000004"/>
    <row r="715" ht="15.75" customHeight="1" x14ac:dyDescent="0.55000000000000004"/>
    <row r="716" ht="15.75" customHeight="1" x14ac:dyDescent="0.55000000000000004"/>
    <row r="717" ht="15.75" customHeight="1" x14ac:dyDescent="0.55000000000000004"/>
    <row r="718" ht="15.75" customHeight="1" x14ac:dyDescent="0.55000000000000004"/>
    <row r="719" ht="15.75" customHeight="1" x14ac:dyDescent="0.55000000000000004"/>
    <row r="720" ht="15.75" customHeight="1" x14ac:dyDescent="0.55000000000000004"/>
    <row r="721" ht="15.75" customHeight="1" x14ac:dyDescent="0.55000000000000004"/>
    <row r="722" ht="15.75" customHeight="1" x14ac:dyDescent="0.55000000000000004"/>
    <row r="723" ht="15.75" customHeight="1" x14ac:dyDescent="0.55000000000000004"/>
    <row r="724" ht="15.75" customHeight="1" x14ac:dyDescent="0.55000000000000004"/>
    <row r="725" ht="15.75" customHeight="1" x14ac:dyDescent="0.55000000000000004"/>
    <row r="726" ht="15.75" customHeight="1" x14ac:dyDescent="0.55000000000000004"/>
    <row r="727" ht="15.75" customHeight="1" x14ac:dyDescent="0.55000000000000004"/>
    <row r="728" ht="15.75" customHeight="1" x14ac:dyDescent="0.55000000000000004"/>
    <row r="729" ht="15.75" customHeight="1" x14ac:dyDescent="0.55000000000000004"/>
    <row r="730" ht="15.75" customHeight="1" x14ac:dyDescent="0.55000000000000004"/>
    <row r="731" ht="15.75" customHeight="1" x14ac:dyDescent="0.55000000000000004"/>
    <row r="732" ht="15.75" customHeight="1" x14ac:dyDescent="0.55000000000000004"/>
    <row r="733" ht="15.75" customHeight="1" x14ac:dyDescent="0.55000000000000004"/>
    <row r="734" ht="15.75" customHeight="1" x14ac:dyDescent="0.55000000000000004"/>
    <row r="735" ht="15.75" customHeight="1" x14ac:dyDescent="0.55000000000000004"/>
    <row r="736" ht="15.75" customHeight="1" x14ac:dyDescent="0.55000000000000004"/>
    <row r="737" ht="15.75" customHeight="1" x14ac:dyDescent="0.55000000000000004"/>
    <row r="738" ht="15.75" customHeight="1" x14ac:dyDescent="0.55000000000000004"/>
    <row r="739" ht="15.75" customHeight="1" x14ac:dyDescent="0.55000000000000004"/>
    <row r="740" ht="15.75" customHeight="1" x14ac:dyDescent="0.55000000000000004"/>
    <row r="741" ht="15.75" customHeight="1" x14ac:dyDescent="0.55000000000000004"/>
    <row r="742" ht="15.75" customHeight="1" x14ac:dyDescent="0.55000000000000004"/>
    <row r="743" ht="15.75" customHeight="1" x14ac:dyDescent="0.55000000000000004"/>
    <row r="744" ht="15.75" customHeight="1" x14ac:dyDescent="0.55000000000000004"/>
    <row r="745" ht="15.75" customHeight="1" x14ac:dyDescent="0.55000000000000004"/>
    <row r="746" ht="15.75" customHeight="1" x14ac:dyDescent="0.55000000000000004"/>
    <row r="747" ht="15.75" customHeight="1" x14ac:dyDescent="0.55000000000000004"/>
    <row r="748" ht="15.75" customHeight="1" x14ac:dyDescent="0.55000000000000004"/>
    <row r="749" ht="15.75" customHeight="1" x14ac:dyDescent="0.55000000000000004"/>
    <row r="750" ht="15.75" customHeight="1" x14ac:dyDescent="0.55000000000000004"/>
    <row r="751" ht="15.75" customHeight="1" x14ac:dyDescent="0.55000000000000004"/>
    <row r="752" ht="15.75" customHeight="1" x14ac:dyDescent="0.55000000000000004"/>
    <row r="753" ht="15.75" customHeight="1" x14ac:dyDescent="0.55000000000000004"/>
    <row r="754" ht="15.75" customHeight="1" x14ac:dyDescent="0.55000000000000004"/>
    <row r="755" ht="15.75" customHeight="1" x14ac:dyDescent="0.55000000000000004"/>
    <row r="756" ht="15.75" customHeight="1" x14ac:dyDescent="0.55000000000000004"/>
    <row r="757" ht="15.75" customHeight="1" x14ac:dyDescent="0.55000000000000004"/>
    <row r="758" ht="15.75" customHeight="1" x14ac:dyDescent="0.55000000000000004"/>
    <row r="759" ht="15.75" customHeight="1" x14ac:dyDescent="0.55000000000000004"/>
    <row r="760" ht="15.75" customHeight="1" x14ac:dyDescent="0.55000000000000004"/>
    <row r="761" ht="15.75" customHeight="1" x14ac:dyDescent="0.55000000000000004"/>
    <row r="762" ht="15.75" customHeight="1" x14ac:dyDescent="0.55000000000000004"/>
    <row r="763" ht="15.75" customHeight="1" x14ac:dyDescent="0.55000000000000004"/>
    <row r="764" ht="15.75" customHeight="1" x14ac:dyDescent="0.55000000000000004"/>
    <row r="765" ht="15.75" customHeight="1" x14ac:dyDescent="0.55000000000000004"/>
    <row r="766" ht="15.75" customHeight="1" x14ac:dyDescent="0.55000000000000004"/>
    <row r="767" ht="15.75" customHeight="1" x14ac:dyDescent="0.55000000000000004"/>
    <row r="768" ht="15.75" customHeight="1" x14ac:dyDescent="0.55000000000000004"/>
    <row r="769" ht="15.75" customHeight="1" x14ac:dyDescent="0.55000000000000004"/>
    <row r="770" ht="15.75" customHeight="1" x14ac:dyDescent="0.55000000000000004"/>
    <row r="771" ht="15.75" customHeight="1" x14ac:dyDescent="0.55000000000000004"/>
    <row r="772" ht="15.75" customHeight="1" x14ac:dyDescent="0.55000000000000004"/>
    <row r="773" ht="15.75" customHeight="1" x14ac:dyDescent="0.55000000000000004"/>
    <row r="774" ht="15.75" customHeight="1" x14ac:dyDescent="0.55000000000000004"/>
    <row r="775" ht="15.75" customHeight="1" x14ac:dyDescent="0.55000000000000004"/>
    <row r="776" ht="15.75" customHeight="1" x14ac:dyDescent="0.55000000000000004"/>
    <row r="777" ht="15.75" customHeight="1" x14ac:dyDescent="0.55000000000000004"/>
    <row r="778" ht="15.75" customHeight="1" x14ac:dyDescent="0.55000000000000004"/>
    <row r="779" ht="15.75" customHeight="1" x14ac:dyDescent="0.55000000000000004"/>
    <row r="780" ht="15.75" customHeight="1" x14ac:dyDescent="0.55000000000000004"/>
    <row r="781" ht="15.75" customHeight="1" x14ac:dyDescent="0.55000000000000004"/>
    <row r="782" ht="15.75" customHeight="1" x14ac:dyDescent="0.55000000000000004"/>
    <row r="783" ht="15.75" customHeight="1" x14ac:dyDescent="0.55000000000000004"/>
    <row r="784" ht="15.75" customHeight="1" x14ac:dyDescent="0.55000000000000004"/>
    <row r="785" ht="15.75" customHeight="1" x14ac:dyDescent="0.55000000000000004"/>
    <row r="786" ht="15.75" customHeight="1" x14ac:dyDescent="0.55000000000000004"/>
    <row r="787" ht="15.75" customHeight="1" x14ac:dyDescent="0.55000000000000004"/>
    <row r="788" ht="15.75" customHeight="1" x14ac:dyDescent="0.55000000000000004"/>
    <row r="789" ht="15.75" customHeight="1" x14ac:dyDescent="0.55000000000000004"/>
    <row r="790" ht="15.75" customHeight="1" x14ac:dyDescent="0.55000000000000004"/>
    <row r="791" ht="15.75" customHeight="1" x14ac:dyDescent="0.55000000000000004"/>
    <row r="792" ht="15.75" customHeight="1" x14ac:dyDescent="0.55000000000000004"/>
    <row r="793" ht="15.75" customHeight="1" x14ac:dyDescent="0.55000000000000004"/>
    <row r="794" ht="15.75" customHeight="1" x14ac:dyDescent="0.55000000000000004"/>
    <row r="795" ht="15.75" customHeight="1" x14ac:dyDescent="0.55000000000000004"/>
    <row r="796" ht="15.75" customHeight="1" x14ac:dyDescent="0.55000000000000004"/>
    <row r="797" ht="15.75" customHeight="1" x14ac:dyDescent="0.55000000000000004"/>
    <row r="798" ht="15.75" customHeight="1" x14ac:dyDescent="0.55000000000000004"/>
    <row r="799" ht="15.75" customHeight="1" x14ac:dyDescent="0.55000000000000004"/>
    <row r="800" ht="15.75" customHeight="1" x14ac:dyDescent="0.55000000000000004"/>
    <row r="801" ht="15.75" customHeight="1" x14ac:dyDescent="0.55000000000000004"/>
    <row r="802" ht="15.75" customHeight="1" x14ac:dyDescent="0.55000000000000004"/>
    <row r="803" ht="15.75" customHeight="1" x14ac:dyDescent="0.55000000000000004"/>
    <row r="804" ht="15.75" customHeight="1" x14ac:dyDescent="0.55000000000000004"/>
    <row r="805" ht="15.75" customHeight="1" x14ac:dyDescent="0.55000000000000004"/>
    <row r="806" ht="15.75" customHeight="1" x14ac:dyDescent="0.55000000000000004"/>
    <row r="807" ht="15.75" customHeight="1" x14ac:dyDescent="0.55000000000000004"/>
    <row r="808" ht="15.75" customHeight="1" x14ac:dyDescent="0.55000000000000004"/>
    <row r="809" ht="15.75" customHeight="1" x14ac:dyDescent="0.55000000000000004"/>
    <row r="810" ht="15.75" customHeight="1" x14ac:dyDescent="0.55000000000000004"/>
    <row r="811" ht="15.75" customHeight="1" x14ac:dyDescent="0.55000000000000004"/>
    <row r="812" ht="15.75" customHeight="1" x14ac:dyDescent="0.55000000000000004"/>
    <row r="813" ht="15.75" customHeight="1" x14ac:dyDescent="0.55000000000000004"/>
    <row r="814" ht="15.75" customHeight="1" x14ac:dyDescent="0.55000000000000004"/>
    <row r="815" ht="15.75" customHeight="1" x14ac:dyDescent="0.55000000000000004"/>
    <row r="816" ht="15.75" customHeight="1" x14ac:dyDescent="0.55000000000000004"/>
    <row r="817" ht="15.75" customHeight="1" x14ac:dyDescent="0.55000000000000004"/>
    <row r="818" ht="15.75" customHeight="1" x14ac:dyDescent="0.55000000000000004"/>
    <row r="819" ht="15.75" customHeight="1" x14ac:dyDescent="0.55000000000000004"/>
    <row r="820" ht="15.75" customHeight="1" x14ac:dyDescent="0.55000000000000004"/>
    <row r="821" ht="15.75" customHeight="1" x14ac:dyDescent="0.55000000000000004"/>
    <row r="822" ht="15.75" customHeight="1" x14ac:dyDescent="0.55000000000000004"/>
    <row r="823" ht="15.75" customHeight="1" x14ac:dyDescent="0.55000000000000004"/>
    <row r="824" ht="15.75" customHeight="1" x14ac:dyDescent="0.55000000000000004"/>
    <row r="825" ht="15.75" customHeight="1" x14ac:dyDescent="0.55000000000000004"/>
    <row r="826" ht="15.75" customHeight="1" x14ac:dyDescent="0.55000000000000004"/>
    <row r="827" ht="15.75" customHeight="1" x14ac:dyDescent="0.55000000000000004"/>
    <row r="828" ht="15.75" customHeight="1" x14ac:dyDescent="0.55000000000000004"/>
    <row r="829" ht="15.75" customHeight="1" x14ac:dyDescent="0.55000000000000004"/>
    <row r="830" ht="15.75" customHeight="1" x14ac:dyDescent="0.55000000000000004"/>
    <row r="831" ht="15.75" customHeight="1" x14ac:dyDescent="0.55000000000000004"/>
    <row r="832" ht="15.75" customHeight="1" x14ac:dyDescent="0.55000000000000004"/>
    <row r="833" ht="15.75" customHeight="1" x14ac:dyDescent="0.55000000000000004"/>
    <row r="834" ht="15.75" customHeight="1" x14ac:dyDescent="0.55000000000000004"/>
    <row r="835" ht="15.75" customHeight="1" x14ac:dyDescent="0.55000000000000004"/>
    <row r="836" ht="15.75" customHeight="1" x14ac:dyDescent="0.55000000000000004"/>
    <row r="837" ht="15.75" customHeight="1" x14ac:dyDescent="0.55000000000000004"/>
    <row r="838" ht="15.75" customHeight="1" x14ac:dyDescent="0.55000000000000004"/>
    <row r="839" ht="15.75" customHeight="1" x14ac:dyDescent="0.55000000000000004"/>
    <row r="840" ht="15.75" customHeight="1" x14ac:dyDescent="0.55000000000000004"/>
    <row r="841" ht="15.75" customHeight="1" x14ac:dyDescent="0.55000000000000004"/>
    <row r="842" ht="15.75" customHeight="1" x14ac:dyDescent="0.55000000000000004"/>
    <row r="843" ht="15.75" customHeight="1" x14ac:dyDescent="0.55000000000000004"/>
    <row r="844" ht="15.75" customHeight="1" x14ac:dyDescent="0.55000000000000004"/>
    <row r="845" ht="15.75" customHeight="1" x14ac:dyDescent="0.55000000000000004"/>
    <row r="846" ht="15.75" customHeight="1" x14ac:dyDescent="0.55000000000000004"/>
    <row r="847" ht="15.75" customHeight="1" x14ac:dyDescent="0.55000000000000004"/>
    <row r="848" ht="15.75" customHeight="1" x14ac:dyDescent="0.55000000000000004"/>
    <row r="849" ht="15.75" customHeight="1" x14ac:dyDescent="0.55000000000000004"/>
    <row r="850" ht="15.75" customHeight="1" x14ac:dyDescent="0.55000000000000004"/>
    <row r="851" ht="15.75" customHeight="1" x14ac:dyDescent="0.55000000000000004"/>
    <row r="852" ht="15.75" customHeight="1" x14ac:dyDescent="0.55000000000000004"/>
    <row r="853" ht="15.75" customHeight="1" x14ac:dyDescent="0.55000000000000004"/>
    <row r="854" ht="15.75" customHeight="1" x14ac:dyDescent="0.55000000000000004"/>
    <row r="855" ht="15.75" customHeight="1" x14ac:dyDescent="0.55000000000000004"/>
    <row r="856" ht="15.75" customHeight="1" x14ac:dyDescent="0.55000000000000004"/>
    <row r="857" ht="15.75" customHeight="1" x14ac:dyDescent="0.55000000000000004"/>
    <row r="858" ht="15.75" customHeight="1" x14ac:dyDescent="0.55000000000000004"/>
    <row r="859" ht="15.75" customHeight="1" x14ac:dyDescent="0.55000000000000004"/>
    <row r="860" ht="15.75" customHeight="1" x14ac:dyDescent="0.55000000000000004"/>
    <row r="861" ht="15.75" customHeight="1" x14ac:dyDescent="0.55000000000000004"/>
    <row r="862" ht="15.75" customHeight="1" x14ac:dyDescent="0.55000000000000004"/>
    <row r="863" ht="15.75" customHeight="1" x14ac:dyDescent="0.55000000000000004"/>
    <row r="864" ht="15.75" customHeight="1" x14ac:dyDescent="0.55000000000000004"/>
    <row r="865" ht="15.75" customHeight="1" x14ac:dyDescent="0.55000000000000004"/>
    <row r="866" ht="15.75" customHeight="1" x14ac:dyDescent="0.55000000000000004"/>
    <row r="867" ht="15.75" customHeight="1" x14ac:dyDescent="0.55000000000000004"/>
    <row r="868" ht="15.75" customHeight="1" x14ac:dyDescent="0.55000000000000004"/>
    <row r="869" ht="15.75" customHeight="1" x14ac:dyDescent="0.55000000000000004"/>
    <row r="870" ht="15.75" customHeight="1" x14ac:dyDescent="0.55000000000000004"/>
    <row r="871" ht="15.75" customHeight="1" x14ac:dyDescent="0.55000000000000004"/>
    <row r="872" ht="15.75" customHeight="1" x14ac:dyDescent="0.55000000000000004"/>
    <row r="873" ht="15.75" customHeight="1" x14ac:dyDescent="0.55000000000000004"/>
    <row r="874" ht="15.75" customHeight="1" x14ac:dyDescent="0.55000000000000004"/>
    <row r="875" ht="15.75" customHeight="1" x14ac:dyDescent="0.55000000000000004"/>
    <row r="876" ht="15.75" customHeight="1" x14ac:dyDescent="0.55000000000000004"/>
    <row r="877" ht="15.75" customHeight="1" x14ac:dyDescent="0.55000000000000004"/>
    <row r="878" ht="15.75" customHeight="1" x14ac:dyDescent="0.55000000000000004"/>
    <row r="879" ht="15.75" customHeight="1" x14ac:dyDescent="0.55000000000000004"/>
    <row r="880" ht="15.75" customHeight="1" x14ac:dyDescent="0.55000000000000004"/>
    <row r="881" ht="15.75" customHeight="1" x14ac:dyDescent="0.55000000000000004"/>
    <row r="882" ht="15.75" customHeight="1" x14ac:dyDescent="0.55000000000000004"/>
    <row r="883" ht="15.75" customHeight="1" x14ac:dyDescent="0.55000000000000004"/>
    <row r="884" ht="15.75" customHeight="1" x14ac:dyDescent="0.55000000000000004"/>
    <row r="885" ht="15.75" customHeight="1" x14ac:dyDescent="0.55000000000000004"/>
    <row r="886" ht="15.75" customHeight="1" x14ac:dyDescent="0.55000000000000004"/>
    <row r="887" ht="15.75" customHeight="1" x14ac:dyDescent="0.55000000000000004"/>
    <row r="888" ht="15.75" customHeight="1" x14ac:dyDescent="0.55000000000000004"/>
    <row r="889" ht="15.75" customHeight="1" x14ac:dyDescent="0.55000000000000004"/>
    <row r="890" ht="15.75" customHeight="1" x14ac:dyDescent="0.55000000000000004"/>
    <row r="891" ht="15.75" customHeight="1" x14ac:dyDescent="0.55000000000000004"/>
    <row r="892" ht="15.75" customHeight="1" x14ac:dyDescent="0.55000000000000004"/>
    <row r="893" ht="15.75" customHeight="1" x14ac:dyDescent="0.55000000000000004"/>
    <row r="894" ht="15.75" customHeight="1" x14ac:dyDescent="0.55000000000000004"/>
    <row r="895" ht="15.75" customHeight="1" x14ac:dyDescent="0.55000000000000004"/>
    <row r="896" ht="15.75" customHeight="1" x14ac:dyDescent="0.55000000000000004"/>
    <row r="897" ht="15.75" customHeight="1" x14ac:dyDescent="0.55000000000000004"/>
    <row r="898" ht="15.75" customHeight="1" x14ac:dyDescent="0.55000000000000004"/>
    <row r="899" ht="15.75" customHeight="1" x14ac:dyDescent="0.55000000000000004"/>
    <row r="900" ht="15.75" customHeight="1" x14ac:dyDescent="0.55000000000000004"/>
    <row r="901" ht="15.75" customHeight="1" x14ac:dyDescent="0.55000000000000004"/>
    <row r="902" ht="15.75" customHeight="1" x14ac:dyDescent="0.55000000000000004"/>
    <row r="903" ht="15.75" customHeight="1" x14ac:dyDescent="0.55000000000000004"/>
    <row r="904" ht="15.75" customHeight="1" x14ac:dyDescent="0.55000000000000004"/>
    <row r="905" ht="15.75" customHeight="1" x14ac:dyDescent="0.55000000000000004"/>
    <row r="906" ht="15.75" customHeight="1" x14ac:dyDescent="0.55000000000000004"/>
    <row r="907" ht="15.75" customHeight="1" x14ac:dyDescent="0.55000000000000004"/>
    <row r="908" ht="15.75" customHeight="1" x14ac:dyDescent="0.55000000000000004"/>
    <row r="909" ht="15.75" customHeight="1" x14ac:dyDescent="0.55000000000000004"/>
    <row r="910" ht="15.75" customHeight="1" x14ac:dyDescent="0.55000000000000004"/>
    <row r="911" ht="15.75" customHeight="1" x14ac:dyDescent="0.55000000000000004"/>
    <row r="912" ht="15.75" customHeight="1" x14ac:dyDescent="0.55000000000000004"/>
    <row r="913" ht="15.75" customHeight="1" x14ac:dyDescent="0.55000000000000004"/>
    <row r="914" ht="15.75" customHeight="1" x14ac:dyDescent="0.55000000000000004"/>
    <row r="915" ht="15.75" customHeight="1" x14ac:dyDescent="0.55000000000000004"/>
    <row r="916" ht="15.75" customHeight="1" x14ac:dyDescent="0.55000000000000004"/>
    <row r="917" ht="15.75" customHeight="1" x14ac:dyDescent="0.55000000000000004"/>
    <row r="918" ht="15.75" customHeight="1" x14ac:dyDescent="0.55000000000000004"/>
    <row r="919" ht="15.75" customHeight="1" x14ac:dyDescent="0.55000000000000004"/>
    <row r="920" ht="15.75" customHeight="1" x14ac:dyDescent="0.55000000000000004"/>
    <row r="921" ht="15.75" customHeight="1" x14ac:dyDescent="0.55000000000000004"/>
    <row r="922" ht="15.75" customHeight="1" x14ac:dyDescent="0.55000000000000004"/>
    <row r="923" ht="15.75" customHeight="1" x14ac:dyDescent="0.55000000000000004"/>
    <row r="924" ht="15.75" customHeight="1" x14ac:dyDescent="0.55000000000000004"/>
    <row r="925" ht="15.75" customHeight="1" x14ac:dyDescent="0.55000000000000004"/>
    <row r="926" ht="15.75" customHeight="1" x14ac:dyDescent="0.55000000000000004"/>
    <row r="927" ht="15.75" customHeight="1" x14ac:dyDescent="0.55000000000000004"/>
    <row r="928" ht="15.75" customHeight="1" x14ac:dyDescent="0.55000000000000004"/>
    <row r="929" ht="15.75" customHeight="1" x14ac:dyDescent="0.55000000000000004"/>
    <row r="930" ht="15.75" customHeight="1" x14ac:dyDescent="0.55000000000000004"/>
    <row r="931" ht="15.75" customHeight="1" x14ac:dyDescent="0.55000000000000004"/>
    <row r="932" ht="15.75" customHeight="1" x14ac:dyDescent="0.55000000000000004"/>
    <row r="933" ht="15.75" customHeight="1" x14ac:dyDescent="0.55000000000000004"/>
    <row r="934" ht="15.75" customHeight="1" x14ac:dyDescent="0.55000000000000004"/>
    <row r="935" ht="15.75" customHeight="1" x14ac:dyDescent="0.55000000000000004"/>
    <row r="936" ht="15.75" customHeight="1" x14ac:dyDescent="0.55000000000000004"/>
    <row r="937" ht="15.75" customHeight="1" x14ac:dyDescent="0.55000000000000004"/>
    <row r="938" ht="15.75" customHeight="1" x14ac:dyDescent="0.55000000000000004"/>
    <row r="939" ht="15.75" customHeight="1" x14ac:dyDescent="0.55000000000000004"/>
    <row r="940" ht="15.75" customHeight="1" x14ac:dyDescent="0.55000000000000004"/>
    <row r="941" ht="15.75" customHeight="1" x14ac:dyDescent="0.55000000000000004"/>
    <row r="942" ht="15.75" customHeight="1" x14ac:dyDescent="0.55000000000000004"/>
    <row r="943" ht="15.75" customHeight="1" x14ac:dyDescent="0.55000000000000004"/>
    <row r="944" ht="15.75" customHeight="1" x14ac:dyDescent="0.55000000000000004"/>
    <row r="945" ht="15.75" customHeight="1" x14ac:dyDescent="0.55000000000000004"/>
    <row r="946" ht="15.75" customHeight="1" x14ac:dyDescent="0.55000000000000004"/>
    <row r="947" ht="15.75" customHeight="1" x14ac:dyDescent="0.55000000000000004"/>
    <row r="948" ht="15.75" customHeight="1" x14ac:dyDescent="0.55000000000000004"/>
    <row r="949" ht="15.75" customHeight="1" x14ac:dyDescent="0.55000000000000004"/>
    <row r="950" ht="15.75" customHeight="1" x14ac:dyDescent="0.55000000000000004"/>
    <row r="951" ht="15.75" customHeight="1" x14ac:dyDescent="0.55000000000000004"/>
    <row r="952" ht="15.75" customHeight="1" x14ac:dyDescent="0.55000000000000004"/>
    <row r="953" ht="15.75" customHeight="1" x14ac:dyDescent="0.55000000000000004"/>
    <row r="954" ht="15.75" customHeight="1" x14ac:dyDescent="0.55000000000000004"/>
    <row r="955" ht="15.75" customHeight="1" x14ac:dyDescent="0.55000000000000004"/>
    <row r="956" ht="15.75" customHeight="1" x14ac:dyDescent="0.55000000000000004"/>
    <row r="957" ht="15.75" customHeight="1" x14ac:dyDescent="0.55000000000000004"/>
    <row r="958" ht="15.75" customHeight="1" x14ac:dyDescent="0.55000000000000004"/>
    <row r="959" ht="15.75" customHeight="1" x14ac:dyDescent="0.55000000000000004"/>
    <row r="960" ht="15.75" customHeight="1" x14ac:dyDescent="0.55000000000000004"/>
    <row r="961" ht="15.75" customHeight="1" x14ac:dyDescent="0.55000000000000004"/>
    <row r="962" ht="15.75" customHeight="1" x14ac:dyDescent="0.55000000000000004"/>
    <row r="963" ht="15.75" customHeight="1" x14ac:dyDescent="0.55000000000000004"/>
    <row r="964" ht="15.75" customHeight="1" x14ac:dyDescent="0.55000000000000004"/>
    <row r="965" ht="15.75" customHeight="1" x14ac:dyDescent="0.55000000000000004"/>
    <row r="966" ht="15.75" customHeight="1" x14ac:dyDescent="0.55000000000000004"/>
    <row r="967" ht="15.75" customHeight="1" x14ac:dyDescent="0.55000000000000004"/>
    <row r="968" ht="15.75" customHeight="1" x14ac:dyDescent="0.55000000000000004"/>
    <row r="969" ht="15.75" customHeight="1" x14ac:dyDescent="0.55000000000000004"/>
    <row r="970" ht="15.75" customHeight="1" x14ac:dyDescent="0.55000000000000004"/>
    <row r="971" ht="15.75" customHeight="1" x14ac:dyDescent="0.55000000000000004"/>
    <row r="972" ht="15.75" customHeight="1" x14ac:dyDescent="0.55000000000000004"/>
    <row r="973" ht="15.75" customHeight="1" x14ac:dyDescent="0.55000000000000004"/>
    <row r="974" ht="15.75" customHeight="1" x14ac:dyDescent="0.55000000000000004"/>
    <row r="975" ht="15.75" customHeight="1" x14ac:dyDescent="0.55000000000000004"/>
    <row r="976" ht="15.75" customHeight="1" x14ac:dyDescent="0.55000000000000004"/>
    <row r="977" ht="15.75" customHeight="1" x14ac:dyDescent="0.55000000000000004"/>
    <row r="978" ht="15.75" customHeight="1" x14ac:dyDescent="0.55000000000000004"/>
    <row r="979" ht="15.75" customHeight="1" x14ac:dyDescent="0.55000000000000004"/>
    <row r="980" ht="15.75" customHeight="1" x14ac:dyDescent="0.55000000000000004"/>
    <row r="981" ht="15.75" customHeight="1" x14ac:dyDescent="0.55000000000000004"/>
    <row r="982" ht="15.75" customHeight="1" x14ac:dyDescent="0.55000000000000004"/>
    <row r="983" ht="15.75" customHeight="1" x14ac:dyDescent="0.55000000000000004"/>
    <row r="984" ht="15.75" customHeight="1" x14ac:dyDescent="0.55000000000000004"/>
    <row r="985" ht="15.75" customHeight="1" x14ac:dyDescent="0.55000000000000004"/>
    <row r="986" ht="15.75" customHeight="1" x14ac:dyDescent="0.55000000000000004"/>
    <row r="987" ht="15.75" customHeight="1" x14ac:dyDescent="0.55000000000000004"/>
    <row r="988" ht="15.75" customHeight="1" x14ac:dyDescent="0.55000000000000004"/>
    <row r="989" ht="15.75" customHeight="1" x14ac:dyDescent="0.55000000000000004"/>
    <row r="990" ht="15.75" customHeight="1" x14ac:dyDescent="0.55000000000000004"/>
    <row r="991" ht="15.75" customHeight="1" x14ac:dyDescent="0.55000000000000004"/>
    <row r="992" ht="15.75" customHeight="1" x14ac:dyDescent="0.55000000000000004"/>
    <row r="993" ht="15.75" customHeight="1" x14ac:dyDescent="0.55000000000000004"/>
    <row r="994" ht="15.75" customHeight="1" x14ac:dyDescent="0.55000000000000004"/>
    <row r="995" ht="15.75" customHeight="1" x14ac:dyDescent="0.55000000000000004"/>
    <row r="996" ht="15.75" customHeight="1" x14ac:dyDescent="0.55000000000000004"/>
    <row r="997" ht="15.75" customHeight="1" x14ac:dyDescent="0.55000000000000004"/>
    <row r="998" ht="15.75" customHeight="1" x14ac:dyDescent="0.55000000000000004"/>
    <row r="999" ht="15.75" customHeight="1" x14ac:dyDescent="0.55000000000000004"/>
    <row r="1000" ht="15.75" customHeight="1" x14ac:dyDescent="0.55000000000000004"/>
  </sheetData>
  <mergeCells count="70">
    <mergeCell ref="G4:G7"/>
    <mergeCell ref="H4:H7"/>
    <mergeCell ref="I4:I7"/>
    <mergeCell ref="J4:J7"/>
    <mergeCell ref="AE8:AE10"/>
    <mergeCell ref="X8:X10"/>
    <mergeCell ref="Y8:Y10"/>
    <mergeCell ref="Z8:Z10"/>
    <mergeCell ref="AA8:AA10"/>
    <mergeCell ref="AB8:AB10"/>
    <mergeCell ref="AC8:AC10"/>
    <mergeCell ref="AD8:AD10"/>
    <mergeCell ref="V8:V10"/>
    <mergeCell ref="W8:W10"/>
    <mergeCell ref="O8:O10"/>
    <mergeCell ref="P8:P10"/>
    <mergeCell ref="K4:K7"/>
    <mergeCell ref="L4:L7"/>
    <mergeCell ref="M4:M7"/>
    <mergeCell ref="N4:N7"/>
    <mergeCell ref="O4:O7"/>
    <mergeCell ref="A1:F1"/>
    <mergeCell ref="A2:A3"/>
    <mergeCell ref="F2:F3"/>
    <mergeCell ref="B4:B7"/>
    <mergeCell ref="C4:C7"/>
    <mergeCell ref="D4:D7"/>
    <mergeCell ref="F6:F7"/>
    <mergeCell ref="A4:A7"/>
    <mergeCell ref="E4:E7"/>
    <mergeCell ref="A8:A10"/>
    <mergeCell ref="B8:B10"/>
    <mergeCell ref="C8:C10"/>
    <mergeCell ref="D8:D10"/>
    <mergeCell ref="E8:E10"/>
    <mergeCell ref="G8:G10"/>
    <mergeCell ref="H8:H10"/>
    <mergeCell ref="I8:I10"/>
    <mergeCell ref="J8:J10"/>
    <mergeCell ref="K8:K10"/>
    <mergeCell ref="L8:L10"/>
    <mergeCell ref="M8:M10"/>
    <mergeCell ref="N8:N10"/>
    <mergeCell ref="T4:T7"/>
    <mergeCell ref="U4:U7"/>
    <mergeCell ref="P4:P7"/>
    <mergeCell ref="Q4:Q7"/>
    <mergeCell ref="R4:R7"/>
    <mergeCell ref="S4:S7"/>
    <mergeCell ref="Q8:Q10"/>
    <mergeCell ref="R8:R10"/>
    <mergeCell ref="S8:S10"/>
    <mergeCell ref="T8:T10"/>
    <mergeCell ref="U8:U10"/>
    <mergeCell ref="V4:V7"/>
    <mergeCell ref="W4:W7"/>
    <mergeCell ref="X4:X7"/>
    <mergeCell ref="Y4:Y7"/>
    <mergeCell ref="Z4:Z7"/>
    <mergeCell ref="AG4:AG7"/>
    <mergeCell ref="AG8:AG10"/>
    <mergeCell ref="AH8:AH10"/>
    <mergeCell ref="AA4:AA7"/>
    <mergeCell ref="AB4:AB7"/>
    <mergeCell ref="AC4:AC7"/>
    <mergeCell ref="AD4:AD7"/>
    <mergeCell ref="AE4:AE7"/>
    <mergeCell ref="AF4:AF7"/>
    <mergeCell ref="AH4:AH7"/>
    <mergeCell ref="AF8:AF10"/>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2AB82-666F-43D3-9D21-56EB71830555}">
  <sheetPr>
    <pageSetUpPr fitToPage="1"/>
  </sheetPr>
  <dimension ref="A1:I972"/>
  <sheetViews>
    <sheetView view="pageBreakPreview" zoomScale="68" zoomScaleNormal="68" zoomScaleSheetLayoutView="68" workbookViewId="0">
      <selection activeCell="A19" sqref="A19:I19"/>
    </sheetView>
  </sheetViews>
  <sheetFormatPr defaultColWidth="14.41796875" defaultRowHeight="15" customHeight="1" x14ac:dyDescent="0.55000000000000004"/>
  <cols>
    <col min="1" max="1" width="5.41796875" customWidth="1"/>
    <col min="2" max="2" width="30.1015625" customWidth="1"/>
    <col min="3" max="3" width="13.15625" customWidth="1"/>
    <col min="4" max="4" width="28.15625" customWidth="1"/>
    <col min="5" max="5" width="11.68359375" customWidth="1"/>
    <col min="6" max="6" width="11" customWidth="1"/>
    <col min="7" max="7" width="9.15625" customWidth="1"/>
    <col min="8" max="8" width="13.83984375" customWidth="1"/>
    <col min="9" max="9" width="45.15625" customWidth="1"/>
    <col min="10" max="12" width="9.15625" customWidth="1"/>
  </cols>
  <sheetData>
    <row r="1" spans="1:9" ht="31.2" customHeight="1" x14ac:dyDescent="0.6">
      <c r="A1" s="111" t="s">
        <v>236</v>
      </c>
      <c r="B1" s="111"/>
      <c r="C1" s="111"/>
      <c r="D1" s="111"/>
      <c r="E1" s="111"/>
      <c r="F1" s="111"/>
      <c r="G1" s="111"/>
      <c r="H1" s="111"/>
      <c r="I1" s="111"/>
    </row>
    <row r="2" spans="1:9" ht="15" customHeight="1" x14ac:dyDescent="0.55000000000000004">
      <c r="A2" s="100" t="s">
        <v>207</v>
      </c>
      <c r="B2" s="101"/>
      <c r="C2" s="81"/>
      <c r="D2" s="81"/>
      <c r="E2" s="81"/>
      <c r="F2" s="81"/>
      <c r="G2" s="81"/>
      <c r="H2" s="81"/>
      <c r="I2" s="81"/>
    </row>
    <row r="3" spans="1:9" ht="45.4" customHeight="1" x14ac:dyDescent="0.55000000000000004">
      <c r="A3" s="82" t="s">
        <v>206</v>
      </c>
      <c r="B3" s="83" t="s">
        <v>205</v>
      </c>
      <c r="C3" s="83" t="s">
        <v>50</v>
      </c>
      <c r="D3" s="83" t="s">
        <v>246</v>
      </c>
      <c r="E3" s="83" t="s">
        <v>237</v>
      </c>
      <c r="F3" s="83" t="s">
        <v>238</v>
      </c>
      <c r="G3" s="83" t="s">
        <v>212</v>
      </c>
      <c r="H3" s="83" t="s">
        <v>213</v>
      </c>
      <c r="I3" s="83" t="s">
        <v>214</v>
      </c>
    </row>
    <row r="4" spans="1:9" ht="28.5" customHeight="1" x14ac:dyDescent="0.55000000000000004">
      <c r="A4" s="94">
        <v>1</v>
      </c>
      <c r="B4" s="107"/>
      <c r="C4" s="104"/>
      <c r="D4" s="84"/>
      <c r="E4" s="85"/>
      <c r="F4" s="85"/>
      <c r="G4" s="86" t="str">
        <f t="shared" ref="G4:G17" si="0">IF(COUNT(E4:F4)=0,"",AVERAGE(E4:F4))</f>
        <v/>
      </c>
      <c r="H4" s="87" t="str">
        <f>IF(G4="","",IF(G4&lt;1,"BE",IF(G4&lt;2,"DE",IF(G4&lt;3,"ME","AE"))))</f>
        <v/>
      </c>
      <c r="I4" s="69"/>
    </row>
    <row r="5" spans="1:9" ht="33.75" customHeight="1" x14ac:dyDescent="0.55000000000000004">
      <c r="A5" s="92">
        <v>2</v>
      </c>
      <c r="B5" s="108"/>
      <c r="C5" s="105"/>
      <c r="D5" s="88"/>
      <c r="E5" s="89"/>
      <c r="F5" s="89"/>
      <c r="G5" s="86" t="str">
        <f t="shared" si="0"/>
        <v/>
      </c>
      <c r="H5" s="90" t="str">
        <f t="shared" ref="H5:H17" si="1">IF(G5="","",IF(G5&lt;1,"BE",IF(G5&lt;2,"DE",IF(G5&lt;3,"ME","AE"))))</f>
        <v/>
      </c>
      <c r="I5" s="70"/>
    </row>
    <row r="6" spans="1:9" ht="31.5" customHeight="1" x14ac:dyDescent="0.55000000000000004">
      <c r="A6" s="94">
        <v>3</v>
      </c>
      <c r="B6" s="107"/>
      <c r="C6" s="104"/>
      <c r="D6" s="84"/>
      <c r="E6" s="85"/>
      <c r="F6" s="85"/>
      <c r="G6" s="86" t="str">
        <f t="shared" si="0"/>
        <v/>
      </c>
      <c r="H6" s="87" t="str">
        <f t="shared" si="1"/>
        <v/>
      </c>
      <c r="I6" s="69"/>
    </row>
    <row r="7" spans="1:9" ht="36" customHeight="1" x14ac:dyDescent="0.55000000000000004">
      <c r="A7" s="92">
        <v>4</v>
      </c>
      <c r="B7" s="108"/>
      <c r="C7" s="105"/>
      <c r="D7" s="88"/>
      <c r="E7" s="89"/>
      <c r="F7" s="89"/>
      <c r="G7" s="86" t="str">
        <f t="shared" si="0"/>
        <v/>
      </c>
      <c r="H7" s="90" t="str">
        <f t="shared" si="1"/>
        <v/>
      </c>
      <c r="I7" s="70"/>
    </row>
    <row r="8" spans="1:9" ht="30" customHeight="1" x14ac:dyDescent="0.55000000000000004">
      <c r="A8" s="94">
        <v>5</v>
      </c>
      <c r="B8" s="107"/>
      <c r="C8" s="104"/>
      <c r="D8" s="84"/>
      <c r="E8" s="85"/>
      <c r="F8" s="85"/>
      <c r="G8" s="86" t="str">
        <f t="shared" si="0"/>
        <v/>
      </c>
      <c r="H8" s="87" t="str">
        <f t="shared" si="1"/>
        <v/>
      </c>
      <c r="I8" s="76"/>
    </row>
    <row r="9" spans="1:9" ht="30.75" customHeight="1" x14ac:dyDescent="0.55000000000000004">
      <c r="A9" s="92">
        <v>6</v>
      </c>
      <c r="B9" s="108"/>
      <c r="C9" s="105"/>
      <c r="D9" s="88"/>
      <c r="E9" s="89"/>
      <c r="F9" s="89"/>
      <c r="G9" s="86" t="str">
        <f t="shared" si="0"/>
        <v/>
      </c>
      <c r="H9" s="90" t="str">
        <f t="shared" si="1"/>
        <v/>
      </c>
      <c r="I9" s="77"/>
    </row>
    <row r="10" spans="1:9" ht="35.25" customHeight="1" x14ac:dyDescent="0.55000000000000004">
      <c r="A10" s="94">
        <v>7</v>
      </c>
      <c r="B10" s="107"/>
      <c r="C10" s="104"/>
      <c r="D10" s="84"/>
      <c r="E10" s="85"/>
      <c r="F10" s="85"/>
      <c r="G10" s="86" t="str">
        <f t="shared" si="0"/>
        <v/>
      </c>
      <c r="H10" s="87" t="str">
        <f t="shared" si="1"/>
        <v/>
      </c>
      <c r="I10" s="76"/>
    </row>
    <row r="11" spans="1:9" ht="36.75" customHeight="1" x14ac:dyDescent="0.55000000000000004">
      <c r="A11" s="92">
        <v>8</v>
      </c>
      <c r="B11" s="108"/>
      <c r="C11" s="92"/>
      <c r="D11" s="91"/>
      <c r="E11" s="89"/>
      <c r="F11" s="89"/>
      <c r="G11" s="86" t="str">
        <f t="shared" si="0"/>
        <v/>
      </c>
      <c r="H11" s="90" t="str">
        <f t="shared" si="1"/>
        <v/>
      </c>
      <c r="I11" s="102"/>
    </row>
    <row r="12" spans="1:9" ht="36.75" customHeight="1" x14ac:dyDescent="0.55000000000000004">
      <c r="A12" s="94">
        <v>9</v>
      </c>
      <c r="B12" s="107"/>
      <c r="C12" s="94"/>
      <c r="D12" s="93"/>
      <c r="E12" s="85"/>
      <c r="F12" s="85"/>
      <c r="G12" s="86" t="str">
        <f t="shared" si="0"/>
        <v/>
      </c>
      <c r="H12" s="87" t="str">
        <f t="shared" si="1"/>
        <v/>
      </c>
      <c r="I12" s="103"/>
    </row>
    <row r="13" spans="1:9" ht="27" customHeight="1" x14ac:dyDescent="0.55000000000000004">
      <c r="A13" s="92">
        <v>10</v>
      </c>
      <c r="B13" s="108"/>
      <c r="C13" s="92"/>
      <c r="D13" s="91"/>
      <c r="E13" s="89"/>
      <c r="F13" s="89"/>
      <c r="G13" s="86" t="str">
        <f t="shared" si="0"/>
        <v/>
      </c>
      <c r="H13" s="90" t="str">
        <f t="shared" si="1"/>
        <v/>
      </c>
      <c r="I13" s="102"/>
    </row>
    <row r="14" spans="1:9" ht="32.25" customHeight="1" x14ac:dyDescent="0.55000000000000004">
      <c r="A14" s="94">
        <v>11</v>
      </c>
      <c r="B14" s="107"/>
      <c r="C14" s="94"/>
      <c r="D14" s="93"/>
      <c r="E14" s="85"/>
      <c r="F14" s="85"/>
      <c r="G14" s="86" t="str">
        <f t="shared" si="0"/>
        <v/>
      </c>
      <c r="H14" s="87" t="str">
        <f t="shared" si="1"/>
        <v/>
      </c>
      <c r="I14" s="103"/>
    </row>
    <row r="15" spans="1:9" ht="30" customHeight="1" x14ac:dyDescent="0.55000000000000004">
      <c r="A15" s="92">
        <v>12</v>
      </c>
      <c r="B15" s="108"/>
      <c r="C15" s="92"/>
      <c r="D15" s="91"/>
      <c r="E15" s="89"/>
      <c r="F15" s="89"/>
      <c r="G15" s="86" t="str">
        <f t="shared" si="0"/>
        <v/>
      </c>
      <c r="H15" s="90" t="str">
        <f t="shared" si="1"/>
        <v/>
      </c>
      <c r="I15" s="102"/>
    </row>
    <row r="16" spans="1:9" ht="26.25" customHeight="1" x14ac:dyDescent="0.55000000000000004">
      <c r="A16" s="94">
        <v>13</v>
      </c>
      <c r="B16" s="107"/>
      <c r="C16" s="94"/>
      <c r="D16" s="93"/>
      <c r="E16" s="85"/>
      <c r="F16" s="85"/>
      <c r="G16" s="86" t="str">
        <f t="shared" si="0"/>
        <v/>
      </c>
      <c r="H16" s="87" t="str">
        <f t="shared" si="1"/>
        <v/>
      </c>
      <c r="I16" s="103"/>
    </row>
    <row r="17" spans="1:9" ht="27.75" customHeight="1" x14ac:dyDescent="0.55000000000000004">
      <c r="A17" s="92">
        <v>14</v>
      </c>
      <c r="B17" s="108"/>
      <c r="C17" s="106"/>
      <c r="D17" s="91"/>
      <c r="E17" s="89"/>
      <c r="F17" s="89"/>
      <c r="G17" s="86" t="str">
        <f t="shared" si="0"/>
        <v/>
      </c>
      <c r="H17" s="90" t="str">
        <f t="shared" si="1"/>
        <v/>
      </c>
      <c r="I17" s="102"/>
    </row>
    <row r="18" spans="1:9" ht="14.25" customHeight="1" x14ac:dyDescent="0.55000000000000004">
      <c r="A18" s="95"/>
      <c r="B18" s="96"/>
      <c r="C18" s="96"/>
      <c r="D18" s="110" t="s">
        <v>245</v>
      </c>
      <c r="E18" s="97" t="str">
        <f>IFERROR(TEXT((COUNTIF(E4:E17,2)+COUNTIF(E4:E17,3))/COUNT(E4:E17),"0%"),"")</f>
        <v/>
      </c>
      <c r="F18" s="97" t="str">
        <f>IFERROR(TEXT((COUNTIF(F4:F17,2)+COUNTIF(F4:F17,3))/COUNT(F4:F17),"0%"),"")</f>
        <v/>
      </c>
      <c r="G18" s="109" t="s">
        <v>55</v>
      </c>
      <c r="H18" s="98" t="str">
        <f>IFERROR(TEXT((COUNTIF(H4:H17,"AE")+COUNTIF(H4:H17,"ME"))/(COUNTIF(H4:H17,"AE")+COUNTIF(H4:H17,"ME")+COUNTIF(H4:H17,"DE")+COUNTIF(H4:H17,"BE")),"0%"),"")</f>
        <v/>
      </c>
      <c r="I18" s="99"/>
    </row>
    <row r="19" spans="1:9" ht="62.1" customHeight="1" x14ac:dyDescent="0.55000000000000004">
      <c r="A19" s="112" t="s">
        <v>247</v>
      </c>
      <c r="B19" s="112"/>
      <c r="C19" s="112"/>
      <c r="D19" s="112"/>
      <c r="E19" s="112"/>
      <c r="F19" s="112"/>
      <c r="G19" s="112"/>
      <c r="H19" s="112"/>
      <c r="I19" s="112"/>
    </row>
    <row r="20" spans="1:9" ht="14.25" customHeight="1" x14ac:dyDescent="0.55000000000000004">
      <c r="B20" s="67"/>
      <c r="C20" s="68"/>
    </row>
    <row r="21" spans="1:9" ht="14.25" customHeight="1" x14ac:dyDescent="0.55000000000000004">
      <c r="B21" s="67"/>
      <c r="C21" s="68"/>
    </row>
    <row r="22" spans="1:9" ht="14.25" customHeight="1" x14ac:dyDescent="0.55000000000000004">
      <c r="B22" s="67"/>
      <c r="C22" s="68"/>
    </row>
    <row r="23" spans="1:9" ht="14.25" customHeight="1" x14ac:dyDescent="0.55000000000000004">
      <c r="B23" s="71"/>
      <c r="C23" s="72"/>
    </row>
    <row r="24" spans="1:9" ht="14.25" customHeight="1" x14ac:dyDescent="0.55000000000000004">
      <c r="B24" s="6"/>
    </row>
    <row r="25" spans="1:9" ht="14.25" customHeight="1" x14ac:dyDescent="0.55000000000000004">
      <c r="B25" s="6"/>
    </row>
    <row r="26" spans="1:9" ht="14.25" customHeight="1" x14ac:dyDescent="0.55000000000000004">
      <c r="B26" s="6"/>
    </row>
    <row r="27" spans="1:9" ht="14.25" customHeight="1" x14ac:dyDescent="0.55000000000000004">
      <c r="B27" s="6"/>
    </row>
    <row r="28" spans="1:9" ht="14.25" customHeight="1" x14ac:dyDescent="0.55000000000000004">
      <c r="B28" s="6"/>
    </row>
    <row r="29" spans="1:9" ht="14.25" customHeight="1" x14ac:dyDescent="0.55000000000000004">
      <c r="B29" s="6"/>
    </row>
    <row r="30" spans="1:9" ht="14.25" customHeight="1" x14ac:dyDescent="0.55000000000000004">
      <c r="B30" s="6"/>
    </row>
    <row r="31" spans="1:9" ht="14.25" customHeight="1" x14ac:dyDescent="0.55000000000000004">
      <c r="B31" s="6"/>
    </row>
    <row r="32" spans="1:9" ht="14.25" customHeight="1" x14ac:dyDescent="0.55000000000000004">
      <c r="B32" s="6"/>
    </row>
    <row r="33" spans="2:2" ht="14.25" customHeight="1" x14ac:dyDescent="0.55000000000000004">
      <c r="B33" s="6"/>
    </row>
    <row r="34" spans="2:2" ht="14.25" customHeight="1" x14ac:dyDescent="0.55000000000000004">
      <c r="B34" s="6"/>
    </row>
    <row r="35" spans="2:2" ht="14.25" customHeight="1" x14ac:dyDescent="0.55000000000000004">
      <c r="B35" s="6"/>
    </row>
    <row r="36" spans="2:2" ht="14.25" customHeight="1" x14ac:dyDescent="0.55000000000000004">
      <c r="B36" s="6"/>
    </row>
    <row r="37" spans="2:2" ht="14.25" customHeight="1" x14ac:dyDescent="0.55000000000000004">
      <c r="B37" s="6"/>
    </row>
    <row r="38" spans="2:2" ht="14.25" customHeight="1" x14ac:dyDescent="0.55000000000000004">
      <c r="B38" s="6"/>
    </row>
    <row r="39" spans="2:2" ht="14.25" customHeight="1" x14ac:dyDescent="0.55000000000000004">
      <c r="B39" s="6"/>
    </row>
    <row r="40" spans="2:2" ht="14.25" customHeight="1" x14ac:dyDescent="0.55000000000000004">
      <c r="B40" s="6"/>
    </row>
    <row r="41" spans="2:2" ht="14.25" customHeight="1" x14ac:dyDescent="0.55000000000000004">
      <c r="B41" s="6"/>
    </row>
    <row r="42" spans="2:2" ht="14.25" customHeight="1" x14ac:dyDescent="0.55000000000000004">
      <c r="B42" s="6"/>
    </row>
    <row r="43" spans="2:2" ht="14.25" customHeight="1" x14ac:dyDescent="0.55000000000000004">
      <c r="B43" s="6"/>
    </row>
    <row r="44" spans="2:2" ht="14.25" customHeight="1" x14ac:dyDescent="0.55000000000000004">
      <c r="B44" s="6"/>
    </row>
    <row r="45" spans="2:2" ht="14.25" customHeight="1" x14ac:dyDescent="0.55000000000000004">
      <c r="B45" s="6"/>
    </row>
    <row r="46" spans="2:2" ht="14.25" customHeight="1" x14ac:dyDescent="0.55000000000000004">
      <c r="B46" s="6"/>
    </row>
    <row r="47" spans="2:2" ht="14.25" customHeight="1" x14ac:dyDescent="0.55000000000000004">
      <c r="B47" s="6"/>
    </row>
    <row r="48" spans="2:2" ht="14.25" customHeight="1" x14ac:dyDescent="0.55000000000000004">
      <c r="B48" s="6"/>
    </row>
    <row r="49" spans="2:2" ht="14.25" customHeight="1" x14ac:dyDescent="0.55000000000000004">
      <c r="B49" s="6"/>
    </row>
    <row r="50" spans="2:2" ht="14.25" customHeight="1" x14ac:dyDescent="0.55000000000000004">
      <c r="B50" s="6"/>
    </row>
    <row r="51" spans="2:2" ht="14.25" customHeight="1" x14ac:dyDescent="0.55000000000000004">
      <c r="B51" s="6"/>
    </row>
    <row r="52" spans="2:2" ht="14.25" customHeight="1" x14ac:dyDescent="0.55000000000000004">
      <c r="B52" s="6"/>
    </row>
    <row r="53" spans="2:2" ht="14.25" customHeight="1" x14ac:dyDescent="0.55000000000000004">
      <c r="B53" s="6"/>
    </row>
    <row r="54" spans="2:2" ht="14.25" customHeight="1" x14ac:dyDescent="0.55000000000000004">
      <c r="B54" s="6"/>
    </row>
    <row r="55" spans="2:2" ht="14.25" customHeight="1" x14ac:dyDescent="0.55000000000000004">
      <c r="B55" s="6"/>
    </row>
    <row r="56" spans="2:2" ht="14.25" customHeight="1" x14ac:dyDescent="0.55000000000000004">
      <c r="B56" s="6"/>
    </row>
    <row r="57" spans="2:2" ht="14.25" customHeight="1" x14ac:dyDescent="0.55000000000000004">
      <c r="B57" s="6"/>
    </row>
    <row r="58" spans="2:2" ht="14.25" customHeight="1" x14ac:dyDescent="0.55000000000000004">
      <c r="B58" s="6"/>
    </row>
    <row r="59" spans="2:2" ht="14.25" customHeight="1" x14ac:dyDescent="0.55000000000000004">
      <c r="B59" s="6"/>
    </row>
    <row r="60" spans="2:2" ht="14.25" customHeight="1" x14ac:dyDescent="0.55000000000000004">
      <c r="B60" s="6"/>
    </row>
    <row r="61" spans="2:2" ht="14.25" customHeight="1" x14ac:dyDescent="0.55000000000000004">
      <c r="B61" s="6"/>
    </row>
    <row r="62" spans="2:2" ht="14.25" customHeight="1" x14ac:dyDescent="0.55000000000000004">
      <c r="B62" s="6"/>
    </row>
    <row r="63" spans="2:2" ht="14.25" customHeight="1" x14ac:dyDescent="0.55000000000000004">
      <c r="B63" s="6"/>
    </row>
    <row r="64" spans="2:2" ht="14.25" customHeight="1" x14ac:dyDescent="0.55000000000000004">
      <c r="B64" s="6"/>
    </row>
    <row r="65" spans="2:2" ht="14.25" customHeight="1" x14ac:dyDescent="0.55000000000000004">
      <c r="B65" s="6"/>
    </row>
    <row r="66" spans="2:2" ht="14.25" customHeight="1" x14ac:dyDescent="0.55000000000000004">
      <c r="B66" s="6"/>
    </row>
    <row r="67" spans="2:2" ht="14.25" customHeight="1" x14ac:dyDescent="0.55000000000000004">
      <c r="B67" s="6"/>
    </row>
    <row r="68" spans="2:2" ht="14.25" customHeight="1" x14ac:dyDescent="0.55000000000000004">
      <c r="B68" s="6"/>
    </row>
    <row r="69" spans="2:2" ht="14.25" customHeight="1" x14ac:dyDescent="0.55000000000000004">
      <c r="B69" s="6"/>
    </row>
    <row r="70" spans="2:2" ht="14.25" customHeight="1" x14ac:dyDescent="0.55000000000000004">
      <c r="B70" s="6"/>
    </row>
    <row r="71" spans="2:2" ht="14.25" customHeight="1" x14ac:dyDescent="0.55000000000000004">
      <c r="B71" s="6"/>
    </row>
    <row r="72" spans="2:2" ht="14.25" customHeight="1" x14ac:dyDescent="0.55000000000000004">
      <c r="B72" s="6"/>
    </row>
    <row r="73" spans="2:2" ht="14.25" customHeight="1" x14ac:dyDescent="0.55000000000000004">
      <c r="B73" s="6"/>
    </row>
    <row r="74" spans="2:2" ht="14.25" customHeight="1" x14ac:dyDescent="0.55000000000000004">
      <c r="B74" s="6"/>
    </row>
    <row r="75" spans="2:2" ht="14.25" customHeight="1" x14ac:dyDescent="0.55000000000000004">
      <c r="B75" s="6"/>
    </row>
    <row r="76" spans="2:2" ht="14.25" customHeight="1" x14ac:dyDescent="0.55000000000000004">
      <c r="B76" s="6"/>
    </row>
    <row r="77" spans="2:2" ht="14.25" customHeight="1" x14ac:dyDescent="0.55000000000000004">
      <c r="B77" s="6"/>
    </row>
    <row r="78" spans="2:2" ht="14.25" customHeight="1" x14ac:dyDescent="0.55000000000000004">
      <c r="B78" s="6"/>
    </row>
    <row r="79" spans="2:2" ht="14.25" customHeight="1" x14ac:dyDescent="0.55000000000000004">
      <c r="B79" s="6"/>
    </row>
    <row r="80" spans="2:2" ht="14.25" customHeight="1" x14ac:dyDescent="0.55000000000000004">
      <c r="B80" s="6"/>
    </row>
    <row r="81" spans="2:2" ht="14.25" customHeight="1" x14ac:dyDescent="0.55000000000000004">
      <c r="B81" s="6"/>
    </row>
    <row r="82" spans="2:2" ht="14.25" customHeight="1" x14ac:dyDescent="0.55000000000000004">
      <c r="B82" s="6"/>
    </row>
    <row r="83" spans="2:2" ht="14.25" customHeight="1" x14ac:dyDescent="0.55000000000000004">
      <c r="B83" s="6"/>
    </row>
    <row r="84" spans="2:2" ht="14.25" customHeight="1" x14ac:dyDescent="0.55000000000000004">
      <c r="B84" s="6"/>
    </row>
    <row r="85" spans="2:2" ht="14.25" customHeight="1" x14ac:dyDescent="0.55000000000000004">
      <c r="B85" s="6"/>
    </row>
    <row r="86" spans="2:2" ht="14.25" customHeight="1" x14ac:dyDescent="0.55000000000000004">
      <c r="B86" s="6"/>
    </row>
    <row r="87" spans="2:2" ht="14.25" customHeight="1" x14ac:dyDescent="0.55000000000000004">
      <c r="B87" s="6"/>
    </row>
    <row r="88" spans="2:2" ht="14.25" customHeight="1" x14ac:dyDescent="0.55000000000000004">
      <c r="B88" s="6"/>
    </row>
    <row r="89" spans="2:2" ht="14.25" customHeight="1" x14ac:dyDescent="0.55000000000000004">
      <c r="B89" s="6"/>
    </row>
    <row r="90" spans="2:2" ht="14.25" customHeight="1" x14ac:dyDescent="0.55000000000000004">
      <c r="B90" s="6"/>
    </row>
    <row r="91" spans="2:2" ht="14.25" customHeight="1" x14ac:dyDescent="0.55000000000000004">
      <c r="B91" s="6"/>
    </row>
    <row r="92" spans="2:2" ht="14.25" customHeight="1" x14ac:dyDescent="0.55000000000000004">
      <c r="B92" s="6"/>
    </row>
    <row r="93" spans="2:2" ht="14.25" customHeight="1" x14ac:dyDescent="0.55000000000000004">
      <c r="B93" s="6"/>
    </row>
    <row r="94" spans="2:2" ht="14.25" customHeight="1" x14ac:dyDescent="0.55000000000000004">
      <c r="B94" s="6"/>
    </row>
    <row r="95" spans="2:2" ht="14.25" customHeight="1" x14ac:dyDescent="0.55000000000000004">
      <c r="B95" s="6"/>
    </row>
    <row r="96" spans="2:2" ht="14.25" customHeight="1" x14ac:dyDescent="0.55000000000000004">
      <c r="B96" s="6"/>
    </row>
    <row r="97" spans="2:2" ht="14.25" customHeight="1" x14ac:dyDescent="0.55000000000000004">
      <c r="B97" s="6"/>
    </row>
    <row r="98" spans="2:2" ht="14.25" customHeight="1" x14ac:dyDescent="0.55000000000000004">
      <c r="B98" s="6"/>
    </row>
    <row r="99" spans="2:2" ht="14.25" customHeight="1" x14ac:dyDescent="0.55000000000000004">
      <c r="B99" s="6"/>
    </row>
    <row r="100" spans="2:2" ht="14.25" customHeight="1" x14ac:dyDescent="0.55000000000000004">
      <c r="B100" s="6"/>
    </row>
    <row r="101" spans="2:2" ht="14.25" customHeight="1" x14ac:dyDescent="0.55000000000000004">
      <c r="B101" s="6"/>
    </row>
    <row r="102" spans="2:2" ht="14.25" customHeight="1" x14ac:dyDescent="0.55000000000000004">
      <c r="B102" s="6"/>
    </row>
    <row r="103" spans="2:2" ht="14.25" customHeight="1" x14ac:dyDescent="0.55000000000000004">
      <c r="B103" s="6"/>
    </row>
    <row r="104" spans="2:2" ht="14.25" customHeight="1" x14ac:dyDescent="0.55000000000000004">
      <c r="B104" s="6"/>
    </row>
    <row r="105" spans="2:2" ht="14.25" customHeight="1" x14ac:dyDescent="0.55000000000000004">
      <c r="B105" s="6"/>
    </row>
    <row r="106" spans="2:2" ht="14.25" customHeight="1" x14ac:dyDescent="0.55000000000000004">
      <c r="B106" s="6"/>
    </row>
    <row r="107" spans="2:2" ht="14.25" customHeight="1" x14ac:dyDescent="0.55000000000000004">
      <c r="B107" s="6"/>
    </row>
    <row r="108" spans="2:2" ht="14.25" customHeight="1" x14ac:dyDescent="0.55000000000000004">
      <c r="B108" s="6"/>
    </row>
    <row r="109" spans="2:2" ht="14.25" customHeight="1" x14ac:dyDescent="0.55000000000000004">
      <c r="B109" s="6"/>
    </row>
    <row r="110" spans="2:2" ht="14.25" customHeight="1" x14ac:dyDescent="0.55000000000000004">
      <c r="B110" s="6"/>
    </row>
    <row r="111" spans="2:2" ht="14.25" customHeight="1" x14ac:dyDescent="0.55000000000000004">
      <c r="B111" s="6"/>
    </row>
    <row r="112" spans="2:2" ht="14.25" customHeight="1" x14ac:dyDescent="0.55000000000000004">
      <c r="B112" s="6"/>
    </row>
    <row r="113" spans="2:2" ht="14.25" customHeight="1" x14ac:dyDescent="0.55000000000000004">
      <c r="B113" s="6"/>
    </row>
    <row r="114" spans="2:2" ht="14.25" customHeight="1" x14ac:dyDescent="0.55000000000000004">
      <c r="B114" s="6"/>
    </row>
    <row r="115" spans="2:2" ht="14.25" customHeight="1" x14ac:dyDescent="0.55000000000000004">
      <c r="B115" s="6"/>
    </row>
    <row r="116" spans="2:2" ht="14.25" customHeight="1" x14ac:dyDescent="0.55000000000000004">
      <c r="B116" s="6"/>
    </row>
    <row r="117" spans="2:2" ht="14.25" customHeight="1" x14ac:dyDescent="0.55000000000000004">
      <c r="B117" s="6"/>
    </row>
    <row r="118" spans="2:2" ht="14.25" customHeight="1" x14ac:dyDescent="0.55000000000000004">
      <c r="B118" s="6"/>
    </row>
    <row r="119" spans="2:2" ht="14.25" customHeight="1" x14ac:dyDescent="0.55000000000000004">
      <c r="B119" s="6"/>
    </row>
    <row r="120" spans="2:2" ht="14.25" customHeight="1" x14ac:dyDescent="0.55000000000000004">
      <c r="B120" s="6"/>
    </row>
    <row r="121" spans="2:2" ht="14.25" customHeight="1" x14ac:dyDescent="0.55000000000000004">
      <c r="B121" s="6"/>
    </row>
    <row r="122" spans="2:2" ht="14.25" customHeight="1" x14ac:dyDescent="0.55000000000000004">
      <c r="B122" s="6"/>
    </row>
    <row r="123" spans="2:2" ht="14.25" customHeight="1" x14ac:dyDescent="0.55000000000000004">
      <c r="B123" s="6"/>
    </row>
    <row r="124" spans="2:2" ht="14.25" customHeight="1" x14ac:dyDescent="0.55000000000000004">
      <c r="B124" s="6"/>
    </row>
    <row r="125" spans="2:2" ht="14.25" customHeight="1" x14ac:dyDescent="0.55000000000000004">
      <c r="B125" s="6"/>
    </row>
    <row r="126" spans="2:2" ht="14.25" customHeight="1" x14ac:dyDescent="0.55000000000000004">
      <c r="B126" s="6"/>
    </row>
    <row r="127" spans="2:2" ht="14.25" customHeight="1" x14ac:dyDescent="0.55000000000000004">
      <c r="B127" s="6"/>
    </row>
    <row r="128" spans="2:2" ht="14.25" customHeight="1" x14ac:dyDescent="0.55000000000000004">
      <c r="B128" s="6"/>
    </row>
    <row r="129" spans="2:2" ht="14.25" customHeight="1" x14ac:dyDescent="0.55000000000000004">
      <c r="B129" s="6"/>
    </row>
    <row r="130" spans="2:2" ht="14.25" customHeight="1" x14ac:dyDescent="0.55000000000000004">
      <c r="B130" s="6"/>
    </row>
    <row r="131" spans="2:2" ht="14.25" customHeight="1" x14ac:dyDescent="0.55000000000000004">
      <c r="B131" s="6"/>
    </row>
    <row r="132" spans="2:2" ht="14.25" customHeight="1" x14ac:dyDescent="0.55000000000000004">
      <c r="B132" s="6"/>
    </row>
    <row r="133" spans="2:2" ht="14.25" customHeight="1" x14ac:dyDescent="0.55000000000000004">
      <c r="B133" s="6"/>
    </row>
    <row r="134" spans="2:2" ht="14.25" customHeight="1" x14ac:dyDescent="0.55000000000000004">
      <c r="B134" s="6"/>
    </row>
    <row r="135" spans="2:2" ht="14.25" customHeight="1" x14ac:dyDescent="0.55000000000000004">
      <c r="B135" s="6"/>
    </row>
    <row r="136" spans="2:2" ht="14.25" customHeight="1" x14ac:dyDescent="0.55000000000000004">
      <c r="B136" s="6"/>
    </row>
    <row r="137" spans="2:2" ht="14.25" customHeight="1" x14ac:dyDescent="0.55000000000000004">
      <c r="B137" s="6"/>
    </row>
    <row r="138" spans="2:2" ht="14.25" customHeight="1" x14ac:dyDescent="0.55000000000000004">
      <c r="B138" s="6"/>
    </row>
    <row r="139" spans="2:2" ht="14.25" customHeight="1" x14ac:dyDescent="0.55000000000000004">
      <c r="B139" s="6"/>
    </row>
    <row r="140" spans="2:2" ht="14.25" customHeight="1" x14ac:dyDescent="0.55000000000000004">
      <c r="B140" s="6"/>
    </row>
    <row r="141" spans="2:2" ht="14.25" customHeight="1" x14ac:dyDescent="0.55000000000000004">
      <c r="B141" s="6"/>
    </row>
    <row r="142" spans="2:2" ht="14.25" customHeight="1" x14ac:dyDescent="0.55000000000000004">
      <c r="B142" s="6"/>
    </row>
    <row r="143" spans="2:2" ht="14.25" customHeight="1" x14ac:dyDescent="0.55000000000000004">
      <c r="B143" s="6"/>
    </row>
    <row r="144" spans="2:2" ht="14.25" customHeight="1" x14ac:dyDescent="0.55000000000000004">
      <c r="B144" s="6"/>
    </row>
    <row r="145" spans="2:2" ht="14.25" customHeight="1" x14ac:dyDescent="0.55000000000000004">
      <c r="B145" s="6"/>
    </row>
    <row r="146" spans="2:2" ht="14.25" customHeight="1" x14ac:dyDescent="0.55000000000000004">
      <c r="B146" s="6"/>
    </row>
    <row r="147" spans="2:2" ht="14.25" customHeight="1" x14ac:dyDescent="0.55000000000000004">
      <c r="B147" s="6"/>
    </row>
    <row r="148" spans="2:2" ht="14.25" customHeight="1" x14ac:dyDescent="0.55000000000000004">
      <c r="B148" s="6"/>
    </row>
    <row r="149" spans="2:2" ht="14.25" customHeight="1" x14ac:dyDescent="0.55000000000000004">
      <c r="B149" s="6"/>
    </row>
    <row r="150" spans="2:2" ht="14.25" customHeight="1" x14ac:dyDescent="0.55000000000000004">
      <c r="B150" s="6"/>
    </row>
    <row r="151" spans="2:2" ht="14.25" customHeight="1" x14ac:dyDescent="0.55000000000000004">
      <c r="B151" s="6"/>
    </row>
    <row r="152" spans="2:2" ht="14.25" customHeight="1" x14ac:dyDescent="0.55000000000000004">
      <c r="B152" s="6"/>
    </row>
    <row r="153" spans="2:2" ht="14.25" customHeight="1" x14ac:dyDescent="0.55000000000000004">
      <c r="B153" s="6"/>
    </row>
    <row r="154" spans="2:2" ht="14.25" customHeight="1" x14ac:dyDescent="0.55000000000000004">
      <c r="B154" s="6"/>
    </row>
    <row r="155" spans="2:2" ht="14.25" customHeight="1" x14ac:dyDescent="0.55000000000000004">
      <c r="B155" s="6"/>
    </row>
    <row r="156" spans="2:2" ht="14.25" customHeight="1" x14ac:dyDescent="0.55000000000000004">
      <c r="B156" s="6"/>
    </row>
    <row r="157" spans="2:2" ht="14.25" customHeight="1" x14ac:dyDescent="0.55000000000000004">
      <c r="B157" s="6"/>
    </row>
    <row r="158" spans="2:2" ht="14.25" customHeight="1" x14ac:dyDescent="0.55000000000000004">
      <c r="B158" s="6"/>
    </row>
    <row r="159" spans="2:2" ht="14.25" customHeight="1" x14ac:dyDescent="0.55000000000000004">
      <c r="B159" s="6"/>
    </row>
    <row r="160" spans="2:2" ht="14.25" customHeight="1" x14ac:dyDescent="0.55000000000000004">
      <c r="B160" s="6"/>
    </row>
    <row r="161" spans="2:2" ht="14.25" customHeight="1" x14ac:dyDescent="0.55000000000000004">
      <c r="B161" s="6"/>
    </row>
    <row r="162" spans="2:2" ht="14.25" customHeight="1" x14ac:dyDescent="0.55000000000000004">
      <c r="B162" s="6"/>
    </row>
    <row r="163" spans="2:2" ht="14.25" customHeight="1" x14ac:dyDescent="0.55000000000000004">
      <c r="B163" s="6"/>
    </row>
    <row r="164" spans="2:2" ht="14.25" customHeight="1" x14ac:dyDescent="0.55000000000000004">
      <c r="B164" s="6"/>
    </row>
    <row r="165" spans="2:2" ht="14.25" customHeight="1" x14ac:dyDescent="0.55000000000000004">
      <c r="B165" s="6"/>
    </row>
    <row r="166" spans="2:2" ht="14.25" customHeight="1" x14ac:dyDescent="0.55000000000000004">
      <c r="B166" s="6"/>
    </row>
    <row r="167" spans="2:2" ht="14.25" customHeight="1" x14ac:dyDescent="0.55000000000000004">
      <c r="B167" s="6"/>
    </row>
    <row r="168" spans="2:2" ht="14.25" customHeight="1" x14ac:dyDescent="0.55000000000000004">
      <c r="B168" s="6"/>
    </row>
    <row r="169" spans="2:2" ht="14.25" customHeight="1" x14ac:dyDescent="0.55000000000000004">
      <c r="B169" s="6"/>
    </row>
    <row r="170" spans="2:2" ht="14.25" customHeight="1" x14ac:dyDescent="0.55000000000000004">
      <c r="B170" s="6"/>
    </row>
    <row r="171" spans="2:2" ht="14.25" customHeight="1" x14ac:dyDescent="0.55000000000000004">
      <c r="B171" s="6"/>
    </row>
    <row r="172" spans="2:2" ht="14.25" customHeight="1" x14ac:dyDescent="0.55000000000000004">
      <c r="B172" s="6"/>
    </row>
    <row r="173" spans="2:2" ht="14.25" customHeight="1" x14ac:dyDescent="0.55000000000000004">
      <c r="B173" s="6"/>
    </row>
    <row r="174" spans="2:2" ht="14.25" customHeight="1" x14ac:dyDescent="0.55000000000000004">
      <c r="B174" s="6"/>
    </row>
    <row r="175" spans="2:2" ht="14.25" customHeight="1" x14ac:dyDescent="0.55000000000000004">
      <c r="B175" s="6"/>
    </row>
    <row r="176" spans="2:2" ht="14.25" customHeight="1" x14ac:dyDescent="0.55000000000000004">
      <c r="B176" s="6"/>
    </row>
    <row r="177" spans="2:2" ht="14.25" customHeight="1" x14ac:dyDescent="0.55000000000000004">
      <c r="B177" s="6"/>
    </row>
    <row r="178" spans="2:2" ht="14.25" customHeight="1" x14ac:dyDescent="0.55000000000000004">
      <c r="B178" s="6"/>
    </row>
    <row r="179" spans="2:2" ht="14.25" customHeight="1" x14ac:dyDescent="0.55000000000000004">
      <c r="B179" s="6"/>
    </row>
    <row r="180" spans="2:2" ht="14.25" customHeight="1" x14ac:dyDescent="0.55000000000000004">
      <c r="B180" s="6"/>
    </row>
    <row r="181" spans="2:2" ht="14.25" customHeight="1" x14ac:dyDescent="0.55000000000000004">
      <c r="B181" s="6"/>
    </row>
    <row r="182" spans="2:2" ht="14.25" customHeight="1" x14ac:dyDescent="0.55000000000000004">
      <c r="B182" s="6"/>
    </row>
    <row r="183" spans="2:2" ht="14.25" customHeight="1" x14ac:dyDescent="0.55000000000000004">
      <c r="B183" s="6"/>
    </row>
    <row r="184" spans="2:2" ht="14.25" customHeight="1" x14ac:dyDescent="0.55000000000000004">
      <c r="B184" s="6"/>
    </row>
    <row r="185" spans="2:2" ht="14.25" customHeight="1" x14ac:dyDescent="0.55000000000000004">
      <c r="B185" s="6"/>
    </row>
    <row r="186" spans="2:2" ht="14.25" customHeight="1" x14ac:dyDescent="0.55000000000000004">
      <c r="B186" s="6"/>
    </row>
    <row r="187" spans="2:2" ht="14.25" customHeight="1" x14ac:dyDescent="0.55000000000000004">
      <c r="B187" s="6"/>
    </row>
    <row r="188" spans="2:2" ht="14.25" customHeight="1" x14ac:dyDescent="0.55000000000000004">
      <c r="B188" s="6"/>
    </row>
    <row r="189" spans="2:2" ht="14.25" customHeight="1" x14ac:dyDescent="0.55000000000000004">
      <c r="B189" s="6"/>
    </row>
    <row r="190" spans="2:2" ht="14.25" customHeight="1" x14ac:dyDescent="0.55000000000000004">
      <c r="B190" s="6"/>
    </row>
    <row r="191" spans="2:2" ht="14.25" customHeight="1" x14ac:dyDescent="0.55000000000000004">
      <c r="B191" s="6"/>
    </row>
    <row r="192" spans="2:2" ht="14.25" customHeight="1" x14ac:dyDescent="0.55000000000000004">
      <c r="B192" s="6"/>
    </row>
    <row r="193" spans="2:2" ht="14.25" customHeight="1" x14ac:dyDescent="0.55000000000000004">
      <c r="B193" s="6"/>
    </row>
    <row r="194" spans="2:2" ht="14.25" customHeight="1" x14ac:dyDescent="0.55000000000000004">
      <c r="B194" s="6"/>
    </row>
    <row r="195" spans="2:2" ht="14.25" customHeight="1" x14ac:dyDescent="0.55000000000000004">
      <c r="B195" s="6"/>
    </row>
    <row r="196" spans="2:2" ht="14.25" customHeight="1" x14ac:dyDescent="0.55000000000000004">
      <c r="B196" s="6"/>
    </row>
    <row r="197" spans="2:2" ht="14.25" customHeight="1" x14ac:dyDescent="0.55000000000000004">
      <c r="B197" s="6"/>
    </row>
    <row r="198" spans="2:2" ht="14.25" customHeight="1" x14ac:dyDescent="0.55000000000000004">
      <c r="B198" s="6"/>
    </row>
    <row r="199" spans="2:2" ht="14.25" customHeight="1" x14ac:dyDescent="0.55000000000000004">
      <c r="B199" s="6"/>
    </row>
    <row r="200" spans="2:2" ht="14.25" customHeight="1" x14ac:dyDescent="0.55000000000000004">
      <c r="B200" s="6"/>
    </row>
    <row r="201" spans="2:2" ht="14.25" customHeight="1" x14ac:dyDescent="0.55000000000000004">
      <c r="B201" s="6"/>
    </row>
    <row r="202" spans="2:2" ht="14.25" customHeight="1" x14ac:dyDescent="0.55000000000000004">
      <c r="B202" s="6"/>
    </row>
    <row r="203" spans="2:2" ht="14.25" customHeight="1" x14ac:dyDescent="0.55000000000000004">
      <c r="B203" s="6"/>
    </row>
    <row r="204" spans="2:2" ht="14.25" customHeight="1" x14ac:dyDescent="0.55000000000000004">
      <c r="B204" s="6"/>
    </row>
    <row r="205" spans="2:2" ht="14.25" customHeight="1" x14ac:dyDescent="0.55000000000000004">
      <c r="B205" s="6"/>
    </row>
    <row r="206" spans="2:2" ht="14.25" customHeight="1" x14ac:dyDescent="0.55000000000000004">
      <c r="B206" s="6"/>
    </row>
    <row r="207" spans="2:2" ht="14.25" customHeight="1" x14ac:dyDescent="0.55000000000000004">
      <c r="B207" s="6"/>
    </row>
    <row r="208" spans="2:2" ht="14.25" customHeight="1" x14ac:dyDescent="0.55000000000000004">
      <c r="B208" s="6"/>
    </row>
    <row r="209" spans="2:2" ht="14.25" customHeight="1" x14ac:dyDescent="0.55000000000000004">
      <c r="B209" s="6"/>
    </row>
    <row r="210" spans="2:2" ht="14.25" customHeight="1" x14ac:dyDescent="0.55000000000000004">
      <c r="B210" s="6"/>
    </row>
    <row r="211" spans="2:2" ht="14.25" customHeight="1" x14ac:dyDescent="0.55000000000000004">
      <c r="B211" s="6"/>
    </row>
    <row r="212" spans="2:2" ht="14.25" customHeight="1" x14ac:dyDescent="0.55000000000000004">
      <c r="B212" s="6"/>
    </row>
    <row r="213" spans="2:2" ht="14.25" customHeight="1" x14ac:dyDescent="0.55000000000000004">
      <c r="B213" s="6"/>
    </row>
    <row r="214" spans="2:2" ht="14.25" customHeight="1" x14ac:dyDescent="0.55000000000000004">
      <c r="B214" s="6"/>
    </row>
    <row r="215" spans="2:2" ht="14.25" customHeight="1" x14ac:dyDescent="0.55000000000000004">
      <c r="B215" s="6"/>
    </row>
    <row r="216" spans="2:2" ht="14.25" customHeight="1" x14ac:dyDescent="0.55000000000000004">
      <c r="B216" s="6"/>
    </row>
    <row r="217" spans="2:2" ht="14.25" customHeight="1" x14ac:dyDescent="0.55000000000000004">
      <c r="B217" s="6"/>
    </row>
    <row r="218" spans="2:2" ht="14.25" customHeight="1" x14ac:dyDescent="0.55000000000000004">
      <c r="B218" s="6"/>
    </row>
    <row r="219" spans="2:2" ht="14.25" customHeight="1" x14ac:dyDescent="0.55000000000000004">
      <c r="B219" s="6"/>
    </row>
    <row r="220" spans="2:2" ht="14.25" customHeight="1" x14ac:dyDescent="0.55000000000000004">
      <c r="B220" s="6"/>
    </row>
    <row r="221" spans="2:2" ht="14.25" customHeight="1" x14ac:dyDescent="0.55000000000000004">
      <c r="B221" s="6"/>
    </row>
    <row r="222" spans="2:2" ht="14.25" customHeight="1" x14ac:dyDescent="0.55000000000000004">
      <c r="B222" s="6"/>
    </row>
    <row r="223" spans="2:2" ht="14.25" customHeight="1" x14ac:dyDescent="0.55000000000000004">
      <c r="B223" s="6"/>
    </row>
    <row r="224" spans="2:2" ht="14.25" customHeight="1" x14ac:dyDescent="0.55000000000000004">
      <c r="B224" s="6"/>
    </row>
    <row r="225" spans="2:2" ht="14.25" customHeight="1" x14ac:dyDescent="0.55000000000000004">
      <c r="B225" s="6"/>
    </row>
    <row r="226" spans="2:2" ht="14.25" customHeight="1" x14ac:dyDescent="0.55000000000000004">
      <c r="B226" s="6"/>
    </row>
    <row r="227" spans="2:2" ht="14.25" customHeight="1" x14ac:dyDescent="0.55000000000000004">
      <c r="B227" s="6"/>
    </row>
    <row r="228" spans="2:2" ht="14.25" customHeight="1" x14ac:dyDescent="0.55000000000000004">
      <c r="B228" s="6"/>
    </row>
    <row r="229" spans="2:2" ht="14.25" customHeight="1" x14ac:dyDescent="0.55000000000000004">
      <c r="B229" s="6"/>
    </row>
    <row r="230" spans="2:2" ht="14.25" customHeight="1" x14ac:dyDescent="0.55000000000000004">
      <c r="B230" s="6"/>
    </row>
    <row r="231" spans="2:2" ht="14.25" customHeight="1" x14ac:dyDescent="0.55000000000000004">
      <c r="B231" s="6"/>
    </row>
    <row r="232" spans="2:2" ht="14.25" customHeight="1" x14ac:dyDescent="0.55000000000000004">
      <c r="B232" s="6"/>
    </row>
    <row r="233" spans="2:2" ht="14.25" customHeight="1" x14ac:dyDescent="0.55000000000000004">
      <c r="B233" s="6"/>
    </row>
    <row r="234" spans="2:2" ht="14.25" customHeight="1" x14ac:dyDescent="0.55000000000000004">
      <c r="B234" s="6"/>
    </row>
    <row r="235" spans="2:2" ht="14.25" customHeight="1" x14ac:dyDescent="0.55000000000000004">
      <c r="B235" s="6"/>
    </row>
    <row r="236" spans="2:2" ht="14.25" customHeight="1" x14ac:dyDescent="0.55000000000000004">
      <c r="B236" s="6"/>
    </row>
    <row r="237" spans="2:2" ht="14.25" customHeight="1" x14ac:dyDescent="0.55000000000000004">
      <c r="B237" s="6"/>
    </row>
    <row r="238" spans="2:2" ht="14.25" customHeight="1" x14ac:dyDescent="0.55000000000000004">
      <c r="B238" s="6"/>
    </row>
    <row r="239" spans="2:2" ht="14.25" customHeight="1" x14ac:dyDescent="0.55000000000000004">
      <c r="B239" s="6"/>
    </row>
    <row r="240" spans="2:2" ht="14.25" customHeight="1" x14ac:dyDescent="0.55000000000000004">
      <c r="B240" s="6"/>
    </row>
    <row r="241" spans="2:2" ht="14.25" customHeight="1" x14ac:dyDescent="0.55000000000000004">
      <c r="B241" s="6"/>
    </row>
    <row r="242" spans="2:2" ht="14.25" customHeight="1" x14ac:dyDescent="0.55000000000000004">
      <c r="B242" s="6"/>
    </row>
    <row r="243" spans="2:2" ht="14.25" customHeight="1" x14ac:dyDescent="0.55000000000000004">
      <c r="B243" s="6"/>
    </row>
    <row r="244" spans="2:2" ht="14.25" customHeight="1" x14ac:dyDescent="0.55000000000000004">
      <c r="B244" s="6"/>
    </row>
    <row r="245" spans="2:2" ht="14.25" customHeight="1" x14ac:dyDescent="0.55000000000000004">
      <c r="B245" s="6"/>
    </row>
    <row r="246" spans="2:2" ht="14.25" customHeight="1" x14ac:dyDescent="0.55000000000000004">
      <c r="B246" s="6"/>
    </row>
    <row r="247" spans="2:2" ht="14.25" customHeight="1" x14ac:dyDescent="0.55000000000000004">
      <c r="B247" s="6"/>
    </row>
    <row r="248" spans="2:2" ht="14.25" customHeight="1" x14ac:dyDescent="0.55000000000000004">
      <c r="B248" s="6"/>
    </row>
    <row r="249" spans="2:2" ht="14.25" customHeight="1" x14ac:dyDescent="0.55000000000000004">
      <c r="B249" s="6"/>
    </row>
    <row r="250" spans="2:2" ht="14.25" customHeight="1" x14ac:dyDescent="0.55000000000000004">
      <c r="B250" s="6"/>
    </row>
    <row r="251" spans="2:2" ht="14.25" customHeight="1" x14ac:dyDescent="0.55000000000000004">
      <c r="B251" s="6"/>
    </row>
    <row r="252" spans="2:2" ht="14.25" customHeight="1" x14ac:dyDescent="0.55000000000000004">
      <c r="B252" s="6"/>
    </row>
    <row r="253" spans="2:2" ht="14.25" customHeight="1" x14ac:dyDescent="0.55000000000000004">
      <c r="B253" s="6"/>
    </row>
    <row r="254" spans="2:2" ht="14.25" customHeight="1" x14ac:dyDescent="0.55000000000000004">
      <c r="B254" s="6"/>
    </row>
    <row r="255" spans="2:2" ht="14.25" customHeight="1" x14ac:dyDescent="0.55000000000000004">
      <c r="B255" s="6"/>
    </row>
    <row r="256" spans="2:2" ht="14.25" customHeight="1" x14ac:dyDescent="0.55000000000000004">
      <c r="B256" s="6"/>
    </row>
    <row r="257" spans="2:2" ht="14.25" customHeight="1" x14ac:dyDescent="0.55000000000000004">
      <c r="B257" s="6"/>
    </row>
    <row r="258" spans="2:2" ht="14.25" customHeight="1" x14ac:dyDescent="0.55000000000000004">
      <c r="B258" s="6"/>
    </row>
    <row r="259" spans="2:2" ht="14.25" customHeight="1" x14ac:dyDescent="0.55000000000000004">
      <c r="B259" s="6"/>
    </row>
    <row r="260" spans="2:2" ht="14.25" customHeight="1" x14ac:dyDescent="0.55000000000000004">
      <c r="B260" s="6"/>
    </row>
    <row r="261" spans="2:2" ht="14.25" customHeight="1" x14ac:dyDescent="0.55000000000000004">
      <c r="B261" s="6"/>
    </row>
    <row r="262" spans="2:2" ht="14.25" customHeight="1" x14ac:dyDescent="0.55000000000000004">
      <c r="B262" s="6"/>
    </row>
    <row r="263" spans="2:2" ht="14.25" customHeight="1" x14ac:dyDescent="0.55000000000000004">
      <c r="B263" s="6"/>
    </row>
    <row r="264" spans="2:2" ht="14.25" customHeight="1" x14ac:dyDescent="0.55000000000000004">
      <c r="B264" s="6"/>
    </row>
    <row r="265" spans="2:2" ht="14.25" customHeight="1" x14ac:dyDescent="0.55000000000000004">
      <c r="B265" s="6"/>
    </row>
    <row r="266" spans="2:2" ht="14.25" customHeight="1" x14ac:dyDescent="0.55000000000000004">
      <c r="B266" s="6"/>
    </row>
    <row r="267" spans="2:2" ht="14.25" customHeight="1" x14ac:dyDescent="0.55000000000000004">
      <c r="B267" s="6"/>
    </row>
    <row r="268" spans="2:2" ht="14.25" customHeight="1" x14ac:dyDescent="0.55000000000000004">
      <c r="B268" s="6"/>
    </row>
    <row r="269" spans="2:2" ht="14.25" customHeight="1" x14ac:dyDescent="0.55000000000000004">
      <c r="B269" s="6"/>
    </row>
    <row r="270" spans="2:2" ht="14.25" customHeight="1" x14ac:dyDescent="0.55000000000000004">
      <c r="B270" s="6"/>
    </row>
    <row r="271" spans="2:2" ht="14.25" customHeight="1" x14ac:dyDescent="0.55000000000000004">
      <c r="B271" s="6"/>
    </row>
    <row r="272" spans="2:2" ht="14.25" customHeight="1" x14ac:dyDescent="0.55000000000000004">
      <c r="B272" s="6"/>
    </row>
    <row r="273" spans="2:2" ht="14.25" customHeight="1" x14ac:dyDescent="0.55000000000000004">
      <c r="B273" s="6"/>
    </row>
    <row r="274" spans="2:2" ht="14.25" customHeight="1" x14ac:dyDescent="0.55000000000000004">
      <c r="B274" s="6"/>
    </row>
    <row r="275" spans="2:2" ht="14.25" customHeight="1" x14ac:dyDescent="0.55000000000000004">
      <c r="B275" s="6"/>
    </row>
    <row r="276" spans="2:2" ht="14.25" customHeight="1" x14ac:dyDescent="0.55000000000000004">
      <c r="B276" s="6"/>
    </row>
    <row r="277" spans="2:2" ht="14.25" customHeight="1" x14ac:dyDescent="0.55000000000000004">
      <c r="B277" s="6"/>
    </row>
    <row r="278" spans="2:2" ht="14.25" customHeight="1" x14ac:dyDescent="0.55000000000000004">
      <c r="B278" s="6"/>
    </row>
    <row r="279" spans="2:2" ht="14.25" customHeight="1" x14ac:dyDescent="0.55000000000000004">
      <c r="B279" s="6"/>
    </row>
    <row r="280" spans="2:2" ht="14.25" customHeight="1" x14ac:dyDescent="0.55000000000000004">
      <c r="B280" s="6"/>
    </row>
    <row r="281" spans="2:2" ht="14.25" customHeight="1" x14ac:dyDescent="0.55000000000000004">
      <c r="B281" s="6"/>
    </row>
    <row r="282" spans="2:2" ht="14.25" customHeight="1" x14ac:dyDescent="0.55000000000000004">
      <c r="B282" s="6"/>
    </row>
    <row r="283" spans="2:2" ht="14.25" customHeight="1" x14ac:dyDescent="0.55000000000000004">
      <c r="B283" s="6"/>
    </row>
    <row r="284" spans="2:2" ht="14.25" customHeight="1" x14ac:dyDescent="0.55000000000000004">
      <c r="B284" s="6"/>
    </row>
    <row r="285" spans="2:2" ht="14.25" customHeight="1" x14ac:dyDescent="0.55000000000000004">
      <c r="B285" s="6"/>
    </row>
    <row r="286" spans="2:2" ht="14.25" customHeight="1" x14ac:dyDescent="0.55000000000000004">
      <c r="B286" s="6"/>
    </row>
    <row r="287" spans="2:2" ht="14.25" customHeight="1" x14ac:dyDescent="0.55000000000000004">
      <c r="B287" s="6"/>
    </row>
    <row r="288" spans="2:2" ht="14.25" customHeight="1" x14ac:dyDescent="0.55000000000000004">
      <c r="B288" s="6"/>
    </row>
    <row r="289" spans="2:2" ht="14.25" customHeight="1" x14ac:dyDescent="0.55000000000000004">
      <c r="B289" s="6"/>
    </row>
    <row r="290" spans="2:2" ht="14.25" customHeight="1" x14ac:dyDescent="0.55000000000000004">
      <c r="B290" s="6"/>
    </row>
    <row r="291" spans="2:2" ht="14.25" customHeight="1" x14ac:dyDescent="0.55000000000000004">
      <c r="B291" s="6"/>
    </row>
    <row r="292" spans="2:2" ht="14.25" customHeight="1" x14ac:dyDescent="0.55000000000000004">
      <c r="B292" s="6"/>
    </row>
    <row r="293" spans="2:2" ht="14.25" customHeight="1" x14ac:dyDescent="0.55000000000000004">
      <c r="B293" s="6"/>
    </row>
    <row r="294" spans="2:2" ht="14.25" customHeight="1" x14ac:dyDescent="0.55000000000000004">
      <c r="B294" s="6"/>
    </row>
    <row r="295" spans="2:2" ht="14.25" customHeight="1" x14ac:dyDescent="0.55000000000000004">
      <c r="B295" s="6"/>
    </row>
    <row r="296" spans="2:2" ht="14.25" customHeight="1" x14ac:dyDescent="0.55000000000000004">
      <c r="B296" s="6"/>
    </row>
    <row r="297" spans="2:2" ht="14.25" customHeight="1" x14ac:dyDescent="0.55000000000000004">
      <c r="B297" s="6"/>
    </row>
    <row r="298" spans="2:2" ht="14.25" customHeight="1" x14ac:dyDescent="0.55000000000000004">
      <c r="B298" s="6"/>
    </row>
    <row r="299" spans="2:2" ht="14.25" customHeight="1" x14ac:dyDescent="0.55000000000000004">
      <c r="B299" s="6"/>
    </row>
    <row r="300" spans="2:2" ht="14.25" customHeight="1" x14ac:dyDescent="0.55000000000000004">
      <c r="B300" s="6"/>
    </row>
    <row r="301" spans="2:2" ht="14.25" customHeight="1" x14ac:dyDescent="0.55000000000000004">
      <c r="B301" s="6"/>
    </row>
    <row r="302" spans="2:2" ht="14.25" customHeight="1" x14ac:dyDescent="0.55000000000000004">
      <c r="B302" s="6"/>
    </row>
    <row r="303" spans="2:2" ht="14.25" customHeight="1" x14ac:dyDescent="0.55000000000000004">
      <c r="B303" s="6"/>
    </row>
    <row r="304" spans="2:2" ht="14.25" customHeight="1" x14ac:dyDescent="0.55000000000000004">
      <c r="B304" s="6"/>
    </row>
    <row r="305" spans="2:2" ht="14.25" customHeight="1" x14ac:dyDescent="0.55000000000000004">
      <c r="B305" s="6"/>
    </row>
    <row r="306" spans="2:2" ht="14.25" customHeight="1" x14ac:dyDescent="0.55000000000000004">
      <c r="B306" s="6"/>
    </row>
    <row r="307" spans="2:2" ht="14.25" customHeight="1" x14ac:dyDescent="0.55000000000000004">
      <c r="B307" s="6"/>
    </row>
    <row r="308" spans="2:2" ht="14.25" customHeight="1" x14ac:dyDescent="0.55000000000000004">
      <c r="B308" s="6"/>
    </row>
    <row r="309" spans="2:2" ht="14.25" customHeight="1" x14ac:dyDescent="0.55000000000000004">
      <c r="B309" s="6"/>
    </row>
    <row r="310" spans="2:2" ht="14.25" customHeight="1" x14ac:dyDescent="0.55000000000000004">
      <c r="B310" s="6"/>
    </row>
    <row r="311" spans="2:2" ht="14.25" customHeight="1" x14ac:dyDescent="0.55000000000000004">
      <c r="B311" s="6"/>
    </row>
    <row r="312" spans="2:2" ht="14.25" customHeight="1" x14ac:dyDescent="0.55000000000000004">
      <c r="B312" s="6"/>
    </row>
    <row r="313" spans="2:2" ht="14.25" customHeight="1" x14ac:dyDescent="0.55000000000000004">
      <c r="B313" s="6"/>
    </row>
    <row r="314" spans="2:2" ht="14.25" customHeight="1" x14ac:dyDescent="0.55000000000000004">
      <c r="B314" s="6"/>
    </row>
    <row r="315" spans="2:2" ht="14.25" customHeight="1" x14ac:dyDescent="0.55000000000000004">
      <c r="B315" s="6"/>
    </row>
    <row r="316" spans="2:2" ht="14.25" customHeight="1" x14ac:dyDescent="0.55000000000000004">
      <c r="B316" s="6"/>
    </row>
    <row r="317" spans="2:2" ht="14.25" customHeight="1" x14ac:dyDescent="0.55000000000000004">
      <c r="B317" s="6"/>
    </row>
    <row r="318" spans="2:2" ht="14.25" customHeight="1" x14ac:dyDescent="0.55000000000000004">
      <c r="B318" s="6"/>
    </row>
    <row r="319" spans="2:2" ht="14.25" customHeight="1" x14ac:dyDescent="0.55000000000000004">
      <c r="B319" s="6"/>
    </row>
    <row r="320" spans="2:2" ht="14.25" customHeight="1" x14ac:dyDescent="0.55000000000000004">
      <c r="B320" s="6"/>
    </row>
    <row r="321" spans="2:2" ht="14.25" customHeight="1" x14ac:dyDescent="0.55000000000000004">
      <c r="B321" s="6"/>
    </row>
    <row r="322" spans="2:2" ht="14.25" customHeight="1" x14ac:dyDescent="0.55000000000000004">
      <c r="B322" s="6"/>
    </row>
    <row r="323" spans="2:2" ht="14.25" customHeight="1" x14ac:dyDescent="0.55000000000000004">
      <c r="B323" s="6"/>
    </row>
    <row r="324" spans="2:2" ht="14.25" customHeight="1" x14ac:dyDescent="0.55000000000000004">
      <c r="B324" s="6"/>
    </row>
    <row r="325" spans="2:2" ht="14.25" customHeight="1" x14ac:dyDescent="0.55000000000000004">
      <c r="B325" s="6"/>
    </row>
    <row r="326" spans="2:2" ht="14.25" customHeight="1" x14ac:dyDescent="0.55000000000000004">
      <c r="B326" s="6"/>
    </row>
    <row r="327" spans="2:2" ht="14.25" customHeight="1" x14ac:dyDescent="0.55000000000000004">
      <c r="B327" s="6"/>
    </row>
    <row r="328" spans="2:2" ht="14.25" customHeight="1" x14ac:dyDescent="0.55000000000000004">
      <c r="B328" s="6"/>
    </row>
    <row r="329" spans="2:2" ht="14.25" customHeight="1" x14ac:dyDescent="0.55000000000000004">
      <c r="B329" s="6"/>
    </row>
    <row r="330" spans="2:2" ht="14.25" customHeight="1" x14ac:dyDescent="0.55000000000000004">
      <c r="B330" s="6"/>
    </row>
    <row r="331" spans="2:2" ht="14.25" customHeight="1" x14ac:dyDescent="0.55000000000000004">
      <c r="B331" s="6"/>
    </row>
    <row r="332" spans="2:2" ht="14.25" customHeight="1" x14ac:dyDescent="0.55000000000000004">
      <c r="B332" s="6"/>
    </row>
    <row r="333" spans="2:2" ht="14.25" customHeight="1" x14ac:dyDescent="0.55000000000000004">
      <c r="B333" s="6"/>
    </row>
    <row r="334" spans="2:2" ht="14.25" customHeight="1" x14ac:dyDescent="0.55000000000000004">
      <c r="B334" s="6"/>
    </row>
    <row r="335" spans="2:2" ht="14.25" customHeight="1" x14ac:dyDescent="0.55000000000000004">
      <c r="B335" s="6"/>
    </row>
    <row r="336" spans="2:2" ht="14.25" customHeight="1" x14ac:dyDescent="0.55000000000000004">
      <c r="B336" s="6"/>
    </row>
    <row r="337" spans="2:2" ht="14.25" customHeight="1" x14ac:dyDescent="0.55000000000000004">
      <c r="B337" s="6"/>
    </row>
    <row r="338" spans="2:2" ht="14.25" customHeight="1" x14ac:dyDescent="0.55000000000000004">
      <c r="B338" s="6"/>
    </row>
    <row r="339" spans="2:2" ht="14.25" customHeight="1" x14ac:dyDescent="0.55000000000000004">
      <c r="B339" s="6"/>
    </row>
    <row r="340" spans="2:2" ht="14.25" customHeight="1" x14ac:dyDescent="0.55000000000000004">
      <c r="B340" s="6"/>
    </row>
    <row r="341" spans="2:2" ht="14.25" customHeight="1" x14ac:dyDescent="0.55000000000000004">
      <c r="B341" s="6"/>
    </row>
    <row r="342" spans="2:2" ht="14.25" customHeight="1" x14ac:dyDescent="0.55000000000000004">
      <c r="B342" s="6"/>
    </row>
    <row r="343" spans="2:2" ht="14.25" customHeight="1" x14ac:dyDescent="0.55000000000000004">
      <c r="B343" s="6"/>
    </row>
    <row r="344" spans="2:2" ht="14.25" customHeight="1" x14ac:dyDescent="0.55000000000000004">
      <c r="B344" s="6"/>
    </row>
    <row r="345" spans="2:2" ht="14.25" customHeight="1" x14ac:dyDescent="0.55000000000000004">
      <c r="B345" s="6"/>
    </row>
    <row r="346" spans="2:2" ht="14.25" customHeight="1" x14ac:dyDescent="0.55000000000000004">
      <c r="B346" s="6"/>
    </row>
    <row r="347" spans="2:2" ht="14.25" customHeight="1" x14ac:dyDescent="0.55000000000000004">
      <c r="B347" s="6"/>
    </row>
    <row r="348" spans="2:2" ht="14.25" customHeight="1" x14ac:dyDescent="0.55000000000000004">
      <c r="B348" s="6"/>
    </row>
    <row r="349" spans="2:2" ht="14.25" customHeight="1" x14ac:dyDescent="0.55000000000000004">
      <c r="B349" s="6"/>
    </row>
    <row r="350" spans="2:2" ht="14.25" customHeight="1" x14ac:dyDescent="0.55000000000000004">
      <c r="B350" s="6"/>
    </row>
    <row r="351" spans="2:2" ht="14.25" customHeight="1" x14ac:dyDescent="0.55000000000000004">
      <c r="B351" s="6"/>
    </row>
    <row r="352" spans="2:2" ht="14.25" customHeight="1" x14ac:dyDescent="0.55000000000000004">
      <c r="B352" s="6"/>
    </row>
    <row r="353" spans="2:2" ht="14.25" customHeight="1" x14ac:dyDescent="0.55000000000000004">
      <c r="B353" s="6"/>
    </row>
    <row r="354" spans="2:2" ht="14.25" customHeight="1" x14ac:dyDescent="0.55000000000000004">
      <c r="B354" s="6"/>
    </row>
    <row r="355" spans="2:2" ht="14.25" customHeight="1" x14ac:dyDescent="0.55000000000000004">
      <c r="B355" s="6"/>
    </row>
    <row r="356" spans="2:2" ht="14.25" customHeight="1" x14ac:dyDescent="0.55000000000000004">
      <c r="B356" s="6"/>
    </row>
    <row r="357" spans="2:2" ht="14.25" customHeight="1" x14ac:dyDescent="0.55000000000000004">
      <c r="B357" s="6"/>
    </row>
    <row r="358" spans="2:2" ht="14.25" customHeight="1" x14ac:dyDescent="0.55000000000000004">
      <c r="B358" s="6"/>
    </row>
    <row r="359" spans="2:2" ht="14.25" customHeight="1" x14ac:dyDescent="0.55000000000000004">
      <c r="B359" s="6"/>
    </row>
    <row r="360" spans="2:2" ht="14.25" customHeight="1" x14ac:dyDescent="0.55000000000000004">
      <c r="B360" s="6"/>
    </row>
    <row r="361" spans="2:2" ht="14.25" customHeight="1" x14ac:dyDescent="0.55000000000000004">
      <c r="B361" s="6"/>
    </row>
    <row r="362" spans="2:2" ht="14.25" customHeight="1" x14ac:dyDescent="0.55000000000000004">
      <c r="B362" s="6"/>
    </row>
    <row r="363" spans="2:2" ht="14.25" customHeight="1" x14ac:dyDescent="0.55000000000000004">
      <c r="B363" s="6"/>
    </row>
    <row r="364" spans="2:2" ht="14.25" customHeight="1" x14ac:dyDescent="0.55000000000000004">
      <c r="B364" s="6"/>
    </row>
    <row r="365" spans="2:2" ht="14.25" customHeight="1" x14ac:dyDescent="0.55000000000000004">
      <c r="B365" s="6"/>
    </row>
    <row r="366" spans="2:2" ht="14.25" customHeight="1" x14ac:dyDescent="0.55000000000000004">
      <c r="B366" s="6"/>
    </row>
    <row r="367" spans="2:2" ht="14.25" customHeight="1" x14ac:dyDescent="0.55000000000000004">
      <c r="B367" s="6"/>
    </row>
    <row r="368" spans="2:2" ht="14.25" customHeight="1" x14ac:dyDescent="0.55000000000000004">
      <c r="B368" s="6"/>
    </row>
    <row r="369" spans="2:2" ht="14.25" customHeight="1" x14ac:dyDescent="0.55000000000000004">
      <c r="B369" s="6"/>
    </row>
    <row r="370" spans="2:2" ht="14.25" customHeight="1" x14ac:dyDescent="0.55000000000000004">
      <c r="B370" s="6"/>
    </row>
    <row r="371" spans="2:2" ht="14.25" customHeight="1" x14ac:dyDescent="0.55000000000000004">
      <c r="B371" s="6"/>
    </row>
    <row r="372" spans="2:2" ht="14.25" customHeight="1" x14ac:dyDescent="0.55000000000000004">
      <c r="B372" s="6"/>
    </row>
    <row r="373" spans="2:2" ht="14.25" customHeight="1" x14ac:dyDescent="0.55000000000000004">
      <c r="B373" s="6"/>
    </row>
    <row r="374" spans="2:2" ht="14.25" customHeight="1" x14ac:dyDescent="0.55000000000000004">
      <c r="B374" s="6"/>
    </row>
    <row r="375" spans="2:2" ht="14.25" customHeight="1" x14ac:dyDescent="0.55000000000000004">
      <c r="B375" s="6"/>
    </row>
    <row r="376" spans="2:2" ht="14.25" customHeight="1" x14ac:dyDescent="0.55000000000000004">
      <c r="B376" s="6"/>
    </row>
    <row r="377" spans="2:2" ht="14.25" customHeight="1" x14ac:dyDescent="0.55000000000000004">
      <c r="B377" s="6"/>
    </row>
    <row r="378" spans="2:2" ht="14.25" customHeight="1" x14ac:dyDescent="0.55000000000000004">
      <c r="B378" s="6"/>
    </row>
    <row r="379" spans="2:2" ht="14.25" customHeight="1" x14ac:dyDescent="0.55000000000000004">
      <c r="B379" s="6"/>
    </row>
    <row r="380" spans="2:2" ht="14.25" customHeight="1" x14ac:dyDescent="0.55000000000000004">
      <c r="B380" s="6"/>
    </row>
    <row r="381" spans="2:2" ht="14.25" customHeight="1" x14ac:dyDescent="0.55000000000000004">
      <c r="B381" s="6"/>
    </row>
    <row r="382" spans="2:2" ht="14.25" customHeight="1" x14ac:dyDescent="0.55000000000000004">
      <c r="B382" s="6"/>
    </row>
    <row r="383" spans="2:2" ht="14.25" customHeight="1" x14ac:dyDescent="0.55000000000000004">
      <c r="B383" s="6"/>
    </row>
    <row r="384" spans="2:2" ht="14.25" customHeight="1" x14ac:dyDescent="0.55000000000000004">
      <c r="B384" s="6"/>
    </row>
    <row r="385" spans="2:2" ht="14.25" customHeight="1" x14ac:dyDescent="0.55000000000000004">
      <c r="B385" s="6"/>
    </row>
    <row r="386" spans="2:2" ht="14.25" customHeight="1" x14ac:dyDescent="0.55000000000000004">
      <c r="B386" s="6"/>
    </row>
    <row r="387" spans="2:2" ht="14.25" customHeight="1" x14ac:dyDescent="0.55000000000000004">
      <c r="B387" s="6"/>
    </row>
    <row r="388" spans="2:2" ht="14.25" customHeight="1" x14ac:dyDescent="0.55000000000000004">
      <c r="B388" s="6"/>
    </row>
    <row r="389" spans="2:2" ht="14.25" customHeight="1" x14ac:dyDescent="0.55000000000000004">
      <c r="B389" s="6"/>
    </row>
    <row r="390" spans="2:2" ht="14.25" customHeight="1" x14ac:dyDescent="0.55000000000000004">
      <c r="B390" s="6"/>
    </row>
    <row r="391" spans="2:2" ht="14.25" customHeight="1" x14ac:dyDescent="0.55000000000000004">
      <c r="B391" s="6"/>
    </row>
    <row r="392" spans="2:2" ht="14.25" customHeight="1" x14ac:dyDescent="0.55000000000000004">
      <c r="B392" s="6"/>
    </row>
    <row r="393" spans="2:2" ht="14.25" customHeight="1" x14ac:dyDescent="0.55000000000000004">
      <c r="B393" s="6"/>
    </row>
    <row r="394" spans="2:2" ht="14.25" customHeight="1" x14ac:dyDescent="0.55000000000000004">
      <c r="B394" s="6"/>
    </row>
    <row r="395" spans="2:2" ht="14.25" customHeight="1" x14ac:dyDescent="0.55000000000000004">
      <c r="B395" s="6"/>
    </row>
    <row r="396" spans="2:2" ht="14.25" customHeight="1" x14ac:dyDescent="0.55000000000000004">
      <c r="B396" s="6"/>
    </row>
    <row r="397" spans="2:2" ht="14.25" customHeight="1" x14ac:dyDescent="0.55000000000000004">
      <c r="B397" s="6"/>
    </row>
    <row r="398" spans="2:2" ht="14.25" customHeight="1" x14ac:dyDescent="0.55000000000000004">
      <c r="B398" s="6"/>
    </row>
    <row r="399" spans="2:2" ht="14.25" customHeight="1" x14ac:dyDescent="0.55000000000000004">
      <c r="B399" s="6"/>
    </row>
    <row r="400" spans="2:2" ht="14.25" customHeight="1" x14ac:dyDescent="0.55000000000000004">
      <c r="B400" s="6"/>
    </row>
    <row r="401" spans="2:2" ht="14.25" customHeight="1" x14ac:dyDescent="0.55000000000000004">
      <c r="B401" s="6"/>
    </row>
    <row r="402" spans="2:2" ht="14.25" customHeight="1" x14ac:dyDescent="0.55000000000000004">
      <c r="B402" s="6"/>
    </row>
    <row r="403" spans="2:2" ht="14.25" customHeight="1" x14ac:dyDescent="0.55000000000000004">
      <c r="B403" s="6"/>
    </row>
    <row r="404" spans="2:2" ht="14.25" customHeight="1" x14ac:dyDescent="0.55000000000000004">
      <c r="B404" s="6"/>
    </row>
    <row r="405" spans="2:2" ht="14.25" customHeight="1" x14ac:dyDescent="0.55000000000000004">
      <c r="B405" s="6"/>
    </row>
    <row r="406" spans="2:2" ht="14.25" customHeight="1" x14ac:dyDescent="0.55000000000000004">
      <c r="B406" s="6"/>
    </row>
    <row r="407" spans="2:2" ht="14.25" customHeight="1" x14ac:dyDescent="0.55000000000000004">
      <c r="B407" s="6"/>
    </row>
    <row r="408" spans="2:2" ht="14.25" customHeight="1" x14ac:dyDescent="0.55000000000000004">
      <c r="B408" s="6"/>
    </row>
    <row r="409" spans="2:2" ht="14.25" customHeight="1" x14ac:dyDescent="0.55000000000000004">
      <c r="B409" s="6"/>
    </row>
    <row r="410" spans="2:2" ht="14.25" customHeight="1" x14ac:dyDescent="0.55000000000000004">
      <c r="B410" s="6"/>
    </row>
    <row r="411" spans="2:2" ht="14.25" customHeight="1" x14ac:dyDescent="0.55000000000000004">
      <c r="B411" s="6"/>
    </row>
    <row r="412" spans="2:2" ht="14.25" customHeight="1" x14ac:dyDescent="0.55000000000000004">
      <c r="B412" s="6"/>
    </row>
    <row r="413" spans="2:2" ht="14.25" customHeight="1" x14ac:dyDescent="0.55000000000000004">
      <c r="B413" s="6"/>
    </row>
    <row r="414" spans="2:2" ht="14.25" customHeight="1" x14ac:dyDescent="0.55000000000000004">
      <c r="B414" s="6"/>
    </row>
    <row r="415" spans="2:2" ht="14.25" customHeight="1" x14ac:dyDescent="0.55000000000000004">
      <c r="B415" s="6"/>
    </row>
    <row r="416" spans="2:2" ht="14.25" customHeight="1" x14ac:dyDescent="0.55000000000000004">
      <c r="B416" s="6"/>
    </row>
    <row r="417" spans="2:2" ht="14.25" customHeight="1" x14ac:dyDescent="0.55000000000000004">
      <c r="B417" s="6"/>
    </row>
    <row r="418" spans="2:2" ht="14.25" customHeight="1" x14ac:dyDescent="0.55000000000000004">
      <c r="B418" s="6"/>
    </row>
    <row r="419" spans="2:2" ht="14.25" customHeight="1" x14ac:dyDescent="0.55000000000000004">
      <c r="B419" s="6"/>
    </row>
    <row r="420" spans="2:2" ht="14.25" customHeight="1" x14ac:dyDescent="0.55000000000000004">
      <c r="B420" s="6"/>
    </row>
    <row r="421" spans="2:2" ht="14.25" customHeight="1" x14ac:dyDescent="0.55000000000000004">
      <c r="B421" s="6"/>
    </row>
    <row r="422" spans="2:2" ht="14.25" customHeight="1" x14ac:dyDescent="0.55000000000000004">
      <c r="B422" s="6"/>
    </row>
    <row r="423" spans="2:2" ht="14.25" customHeight="1" x14ac:dyDescent="0.55000000000000004">
      <c r="B423" s="6"/>
    </row>
    <row r="424" spans="2:2" ht="14.25" customHeight="1" x14ac:dyDescent="0.55000000000000004">
      <c r="B424" s="6"/>
    </row>
    <row r="425" spans="2:2" ht="14.25" customHeight="1" x14ac:dyDescent="0.55000000000000004">
      <c r="B425" s="6"/>
    </row>
    <row r="426" spans="2:2" ht="14.25" customHeight="1" x14ac:dyDescent="0.55000000000000004">
      <c r="B426" s="6"/>
    </row>
    <row r="427" spans="2:2" ht="14.25" customHeight="1" x14ac:dyDescent="0.55000000000000004">
      <c r="B427" s="6"/>
    </row>
    <row r="428" spans="2:2" ht="14.25" customHeight="1" x14ac:dyDescent="0.55000000000000004">
      <c r="B428" s="6"/>
    </row>
    <row r="429" spans="2:2" ht="14.25" customHeight="1" x14ac:dyDescent="0.55000000000000004">
      <c r="B429" s="6"/>
    </row>
    <row r="430" spans="2:2" ht="14.25" customHeight="1" x14ac:dyDescent="0.55000000000000004">
      <c r="B430" s="6"/>
    </row>
    <row r="431" spans="2:2" ht="14.25" customHeight="1" x14ac:dyDescent="0.55000000000000004">
      <c r="B431" s="6"/>
    </row>
    <row r="432" spans="2:2" ht="14.25" customHeight="1" x14ac:dyDescent="0.55000000000000004">
      <c r="B432" s="6"/>
    </row>
    <row r="433" spans="2:2" ht="14.25" customHeight="1" x14ac:dyDescent="0.55000000000000004">
      <c r="B433" s="6"/>
    </row>
    <row r="434" spans="2:2" ht="14.25" customHeight="1" x14ac:dyDescent="0.55000000000000004">
      <c r="B434" s="6"/>
    </row>
    <row r="435" spans="2:2" ht="14.25" customHeight="1" x14ac:dyDescent="0.55000000000000004">
      <c r="B435" s="6"/>
    </row>
    <row r="436" spans="2:2" ht="14.25" customHeight="1" x14ac:dyDescent="0.55000000000000004">
      <c r="B436" s="6"/>
    </row>
    <row r="437" spans="2:2" ht="14.25" customHeight="1" x14ac:dyDescent="0.55000000000000004">
      <c r="B437" s="6"/>
    </row>
    <row r="438" spans="2:2" ht="14.25" customHeight="1" x14ac:dyDescent="0.55000000000000004">
      <c r="B438" s="6"/>
    </row>
    <row r="439" spans="2:2" ht="14.25" customHeight="1" x14ac:dyDescent="0.55000000000000004">
      <c r="B439" s="6"/>
    </row>
    <row r="440" spans="2:2" ht="14.25" customHeight="1" x14ac:dyDescent="0.55000000000000004">
      <c r="B440" s="6"/>
    </row>
    <row r="441" spans="2:2" ht="14.25" customHeight="1" x14ac:dyDescent="0.55000000000000004">
      <c r="B441" s="6"/>
    </row>
    <row r="442" spans="2:2" ht="14.25" customHeight="1" x14ac:dyDescent="0.55000000000000004">
      <c r="B442" s="6"/>
    </row>
    <row r="443" spans="2:2" ht="14.25" customHeight="1" x14ac:dyDescent="0.55000000000000004">
      <c r="B443" s="6"/>
    </row>
    <row r="444" spans="2:2" ht="14.25" customHeight="1" x14ac:dyDescent="0.55000000000000004">
      <c r="B444" s="6"/>
    </row>
    <row r="445" spans="2:2" ht="14.25" customHeight="1" x14ac:dyDescent="0.55000000000000004">
      <c r="B445" s="6"/>
    </row>
    <row r="446" spans="2:2" ht="14.25" customHeight="1" x14ac:dyDescent="0.55000000000000004">
      <c r="B446" s="6"/>
    </row>
    <row r="447" spans="2:2" ht="14.25" customHeight="1" x14ac:dyDescent="0.55000000000000004">
      <c r="B447" s="6"/>
    </row>
    <row r="448" spans="2:2" ht="14.25" customHeight="1" x14ac:dyDescent="0.55000000000000004">
      <c r="B448" s="6"/>
    </row>
    <row r="449" spans="2:2" ht="14.25" customHeight="1" x14ac:dyDescent="0.55000000000000004">
      <c r="B449" s="6"/>
    </row>
    <row r="450" spans="2:2" ht="14.25" customHeight="1" x14ac:dyDescent="0.55000000000000004">
      <c r="B450" s="6"/>
    </row>
    <row r="451" spans="2:2" ht="14.25" customHeight="1" x14ac:dyDescent="0.55000000000000004">
      <c r="B451" s="6"/>
    </row>
    <row r="452" spans="2:2" ht="14.25" customHeight="1" x14ac:dyDescent="0.55000000000000004">
      <c r="B452" s="6"/>
    </row>
    <row r="453" spans="2:2" ht="14.25" customHeight="1" x14ac:dyDescent="0.55000000000000004">
      <c r="B453" s="6"/>
    </row>
    <row r="454" spans="2:2" ht="14.25" customHeight="1" x14ac:dyDescent="0.55000000000000004">
      <c r="B454" s="6"/>
    </row>
    <row r="455" spans="2:2" ht="14.25" customHeight="1" x14ac:dyDescent="0.55000000000000004">
      <c r="B455" s="6"/>
    </row>
    <row r="456" spans="2:2" ht="14.25" customHeight="1" x14ac:dyDescent="0.55000000000000004">
      <c r="B456" s="6"/>
    </row>
    <row r="457" spans="2:2" ht="14.25" customHeight="1" x14ac:dyDescent="0.55000000000000004">
      <c r="B457" s="6"/>
    </row>
    <row r="458" spans="2:2" ht="14.25" customHeight="1" x14ac:dyDescent="0.55000000000000004">
      <c r="B458" s="6"/>
    </row>
    <row r="459" spans="2:2" ht="14.25" customHeight="1" x14ac:dyDescent="0.55000000000000004">
      <c r="B459" s="6"/>
    </row>
    <row r="460" spans="2:2" ht="14.25" customHeight="1" x14ac:dyDescent="0.55000000000000004">
      <c r="B460" s="6"/>
    </row>
    <row r="461" spans="2:2" ht="14.25" customHeight="1" x14ac:dyDescent="0.55000000000000004">
      <c r="B461" s="6"/>
    </row>
    <row r="462" spans="2:2" ht="14.25" customHeight="1" x14ac:dyDescent="0.55000000000000004">
      <c r="B462" s="6"/>
    </row>
    <row r="463" spans="2:2" ht="14.25" customHeight="1" x14ac:dyDescent="0.55000000000000004">
      <c r="B463" s="6"/>
    </row>
    <row r="464" spans="2:2" ht="14.25" customHeight="1" x14ac:dyDescent="0.55000000000000004">
      <c r="B464" s="6"/>
    </row>
    <row r="465" spans="2:2" ht="14.25" customHeight="1" x14ac:dyDescent="0.55000000000000004">
      <c r="B465" s="6"/>
    </row>
    <row r="466" spans="2:2" ht="14.25" customHeight="1" x14ac:dyDescent="0.55000000000000004">
      <c r="B466" s="6"/>
    </row>
    <row r="467" spans="2:2" ht="14.25" customHeight="1" x14ac:dyDescent="0.55000000000000004">
      <c r="B467" s="6"/>
    </row>
    <row r="468" spans="2:2" ht="14.25" customHeight="1" x14ac:dyDescent="0.55000000000000004">
      <c r="B468" s="6"/>
    </row>
    <row r="469" spans="2:2" ht="14.25" customHeight="1" x14ac:dyDescent="0.55000000000000004">
      <c r="B469" s="6"/>
    </row>
    <row r="470" spans="2:2" ht="14.25" customHeight="1" x14ac:dyDescent="0.55000000000000004">
      <c r="B470" s="6"/>
    </row>
    <row r="471" spans="2:2" ht="14.25" customHeight="1" x14ac:dyDescent="0.55000000000000004">
      <c r="B471" s="6"/>
    </row>
    <row r="472" spans="2:2" ht="14.25" customHeight="1" x14ac:dyDescent="0.55000000000000004">
      <c r="B472" s="6"/>
    </row>
    <row r="473" spans="2:2" ht="14.25" customHeight="1" x14ac:dyDescent="0.55000000000000004">
      <c r="B473" s="6"/>
    </row>
    <row r="474" spans="2:2" ht="14.25" customHeight="1" x14ac:dyDescent="0.55000000000000004">
      <c r="B474" s="6"/>
    </row>
    <row r="475" spans="2:2" ht="14.25" customHeight="1" x14ac:dyDescent="0.55000000000000004">
      <c r="B475" s="6"/>
    </row>
    <row r="476" spans="2:2" ht="14.25" customHeight="1" x14ac:dyDescent="0.55000000000000004">
      <c r="B476" s="6"/>
    </row>
    <row r="477" spans="2:2" ht="14.25" customHeight="1" x14ac:dyDescent="0.55000000000000004">
      <c r="B477" s="6"/>
    </row>
    <row r="478" spans="2:2" ht="14.25" customHeight="1" x14ac:dyDescent="0.55000000000000004">
      <c r="B478" s="6"/>
    </row>
    <row r="479" spans="2:2" ht="14.25" customHeight="1" x14ac:dyDescent="0.55000000000000004">
      <c r="B479" s="6"/>
    </row>
    <row r="480" spans="2:2" ht="14.25" customHeight="1" x14ac:dyDescent="0.55000000000000004">
      <c r="B480" s="6"/>
    </row>
    <row r="481" spans="2:2" ht="14.25" customHeight="1" x14ac:dyDescent="0.55000000000000004">
      <c r="B481" s="6"/>
    </row>
    <row r="482" spans="2:2" ht="14.25" customHeight="1" x14ac:dyDescent="0.55000000000000004">
      <c r="B482" s="6"/>
    </row>
    <row r="483" spans="2:2" ht="14.25" customHeight="1" x14ac:dyDescent="0.55000000000000004">
      <c r="B483" s="6"/>
    </row>
    <row r="484" spans="2:2" ht="14.25" customHeight="1" x14ac:dyDescent="0.55000000000000004">
      <c r="B484" s="6"/>
    </row>
    <row r="485" spans="2:2" ht="14.25" customHeight="1" x14ac:dyDescent="0.55000000000000004">
      <c r="B485" s="6"/>
    </row>
    <row r="486" spans="2:2" ht="14.25" customHeight="1" x14ac:dyDescent="0.55000000000000004">
      <c r="B486" s="6"/>
    </row>
    <row r="487" spans="2:2" ht="14.25" customHeight="1" x14ac:dyDescent="0.55000000000000004">
      <c r="B487" s="6"/>
    </row>
    <row r="488" spans="2:2" ht="14.25" customHeight="1" x14ac:dyDescent="0.55000000000000004">
      <c r="B488" s="6"/>
    </row>
    <row r="489" spans="2:2" ht="14.25" customHeight="1" x14ac:dyDescent="0.55000000000000004">
      <c r="B489" s="6"/>
    </row>
    <row r="490" spans="2:2" ht="14.25" customHeight="1" x14ac:dyDescent="0.55000000000000004">
      <c r="B490" s="6"/>
    </row>
    <row r="491" spans="2:2" ht="14.25" customHeight="1" x14ac:dyDescent="0.55000000000000004">
      <c r="B491" s="6"/>
    </row>
    <row r="492" spans="2:2" ht="14.25" customHeight="1" x14ac:dyDescent="0.55000000000000004">
      <c r="B492" s="6"/>
    </row>
    <row r="493" spans="2:2" ht="14.25" customHeight="1" x14ac:dyDescent="0.55000000000000004">
      <c r="B493" s="6"/>
    </row>
    <row r="494" spans="2:2" ht="14.25" customHeight="1" x14ac:dyDescent="0.55000000000000004">
      <c r="B494" s="6"/>
    </row>
    <row r="495" spans="2:2" ht="14.25" customHeight="1" x14ac:dyDescent="0.55000000000000004">
      <c r="B495" s="6"/>
    </row>
    <row r="496" spans="2:2" ht="14.25" customHeight="1" x14ac:dyDescent="0.55000000000000004">
      <c r="B496" s="6"/>
    </row>
    <row r="497" spans="2:2" ht="14.25" customHeight="1" x14ac:dyDescent="0.55000000000000004">
      <c r="B497" s="6"/>
    </row>
    <row r="498" spans="2:2" ht="14.25" customHeight="1" x14ac:dyDescent="0.55000000000000004">
      <c r="B498" s="6"/>
    </row>
    <row r="499" spans="2:2" ht="14.25" customHeight="1" x14ac:dyDescent="0.55000000000000004">
      <c r="B499" s="6"/>
    </row>
    <row r="500" spans="2:2" ht="14.25" customHeight="1" x14ac:dyDescent="0.55000000000000004">
      <c r="B500" s="6"/>
    </row>
    <row r="501" spans="2:2" ht="14.25" customHeight="1" x14ac:dyDescent="0.55000000000000004">
      <c r="B501" s="6"/>
    </row>
    <row r="502" spans="2:2" ht="14.25" customHeight="1" x14ac:dyDescent="0.55000000000000004">
      <c r="B502" s="6"/>
    </row>
    <row r="503" spans="2:2" ht="14.25" customHeight="1" x14ac:dyDescent="0.55000000000000004">
      <c r="B503" s="6"/>
    </row>
    <row r="504" spans="2:2" ht="14.25" customHeight="1" x14ac:dyDescent="0.55000000000000004">
      <c r="B504" s="6"/>
    </row>
    <row r="505" spans="2:2" ht="14.25" customHeight="1" x14ac:dyDescent="0.55000000000000004">
      <c r="B505" s="6"/>
    </row>
    <row r="506" spans="2:2" ht="14.25" customHeight="1" x14ac:dyDescent="0.55000000000000004">
      <c r="B506" s="6"/>
    </row>
    <row r="507" spans="2:2" ht="14.25" customHeight="1" x14ac:dyDescent="0.55000000000000004">
      <c r="B507" s="6"/>
    </row>
    <row r="508" spans="2:2" ht="14.25" customHeight="1" x14ac:dyDescent="0.55000000000000004">
      <c r="B508" s="6"/>
    </row>
    <row r="509" spans="2:2" ht="14.25" customHeight="1" x14ac:dyDescent="0.55000000000000004">
      <c r="B509" s="6"/>
    </row>
    <row r="510" spans="2:2" ht="14.25" customHeight="1" x14ac:dyDescent="0.55000000000000004">
      <c r="B510" s="6"/>
    </row>
    <row r="511" spans="2:2" ht="14.25" customHeight="1" x14ac:dyDescent="0.55000000000000004">
      <c r="B511" s="6"/>
    </row>
    <row r="512" spans="2:2" ht="14.25" customHeight="1" x14ac:dyDescent="0.55000000000000004">
      <c r="B512" s="6"/>
    </row>
    <row r="513" spans="2:2" ht="14.25" customHeight="1" x14ac:dyDescent="0.55000000000000004">
      <c r="B513" s="6"/>
    </row>
    <row r="514" spans="2:2" ht="14.25" customHeight="1" x14ac:dyDescent="0.55000000000000004">
      <c r="B514" s="6"/>
    </row>
    <row r="515" spans="2:2" ht="14.25" customHeight="1" x14ac:dyDescent="0.55000000000000004">
      <c r="B515" s="6"/>
    </row>
    <row r="516" spans="2:2" ht="14.25" customHeight="1" x14ac:dyDescent="0.55000000000000004">
      <c r="B516" s="6"/>
    </row>
    <row r="517" spans="2:2" ht="14.25" customHeight="1" x14ac:dyDescent="0.55000000000000004">
      <c r="B517" s="6"/>
    </row>
    <row r="518" spans="2:2" ht="14.25" customHeight="1" x14ac:dyDescent="0.55000000000000004">
      <c r="B518" s="6"/>
    </row>
    <row r="519" spans="2:2" ht="14.25" customHeight="1" x14ac:dyDescent="0.55000000000000004">
      <c r="B519" s="6"/>
    </row>
    <row r="520" spans="2:2" ht="14.25" customHeight="1" x14ac:dyDescent="0.55000000000000004">
      <c r="B520" s="6"/>
    </row>
    <row r="521" spans="2:2" ht="14.25" customHeight="1" x14ac:dyDescent="0.55000000000000004">
      <c r="B521" s="6"/>
    </row>
    <row r="522" spans="2:2" ht="14.25" customHeight="1" x14ac:dyDescent="0.55000000000000004">
      <c r="B522" s="6"/>
    </row>
    <row r="523" spans="2:2" ht="14.25" customHeight="1" x14ac:dyDescent="0.55000000000000004">
      <c r="B523" s="6"/>
    </row>
    <row r="524" spans="2:2" ht="14.25" customHeight="1" x14ac:dyDescent="0.55000000000000004">
      <c r="B524" s="6"/>
    </row>
    <row r="525" spans="2:2" ht="14.25" customHeight="1" x14ac:dyDescent="0.55000000000000004">
      <c r="B525" s="6"/>
    </row>
    <row r="526" spans="2:2" ht="14.25" customHeight="1" x14ac:dyDescent="0.55000000000000004">
      <c r="B526" s="6"/>
    </row>
    <row r="527" spans="2:2" ht="14.25" customHeight="1" x14ac:dyDescent="0.55000000000000004">
      <c r="B527" s="6"/>
    </row>
    <row r="528" spans="2:2" ht="14.25" customHeight="1" x14ac:dyDescent="0.55000000000000004">
      <c r="B528" s="6"/>
    </row>
    <row r="529" spans="2:2" ht="14.25" customHeight="1" x14ac:dyDescent="0.55000000000000004">
      <c r="B529" s="6"/>
    </row>
    <row r="530" spans="2:2" ht="14.25" customHeight="1" x14ac:dyDescent="0.55000000000000004">
      <c r="B530" s="6"/>
    </row>
    <row r="531" spans="2:2" ht="14.25" customHeight="1" x14ac:dyDescent="0.55000000000000004">
      <c r="B531" s="6"/>
    </row>
    <row r="532" spans="2:2" ht="14.25" customHeight="1" x14ac:dyDescent="0.55000000000000004">
      <c r="B532" s="6"/>
    </row>
    <row r="533" spans="2:2" ht="14.25" customHeight="1" x14ac:dyDescent="0.55000000000000004">
      <c r="B533" s="6"/>
    </row>
    <row r="534" spans="2:2" ht="14.25" customHeight="1" x14ac:dyDescent="0.55000000000000004">
      <c r="B534" s="6"/>
    </row>
    <row r="535" spans="2:2" ht="14.25" customHeight="1" x14ac:dyDescent="0.55000000000000004">
      <c r="B535" s="6"/>
    </row>
    <row r="536" spans="2:2" ht="14.25" customHeight="1" x14ac:dyDescent="0.55000000000000004">
      <c r="B536" s="6"/>
    </row>
    <row r="537" spans="2:2" ht="14.25" customHeight="1" x14ac:dyDescent="0.55000000000000004">
      <c r="B537" s="6"/>
    </row>
    <row r="538" spans="2:2" ht="14.25" customHeight="1" x14ac:dyDescent="0.55000000000000004">
      <c r="B538" s="6"/>
    </row>
    <row r="539" spans="2:2" ht="14.25" customHeight="1" x14ac:dyDescent="0.55000000000000004">
      <c r="B539" s="6"/>
    </row>
    <row r="540" spans="2:2" ht="14.25" customHeight="1" x14ac:dyDescent="0.55000000000000004">
      <c r="B540" s="6"/>
    </row>
    <row r="541" spans="2:2" ht="14.25" customHeight="1" x14ac:dyDescent="0.55000000000000004">
      <c r="B541" s="6"/>
    </row>
    <row r="542" spans="2:2" ht="14.25" customHeight="1" x14ac:dyDescent="0.55000000000000004">
      <c r="B542" s="6"/>
    </row>
    <row r="543" spans="2:2" ht="14.25" customHeight="1" x14ac:dyDescent="0.55000000000000004">
      <c r="B543" s="6"/>
    </row>
    <row r="544" spans="2:2" ht="14.25" customHeight="1" x14ac:dyDescent="0.55000000000000004">
      <c r="B544" s="6"/>
    </row>
    <row r="545" spans="2:2" ht="14.25" customHeight="1" x14ac:dyDescent="0.55000000000000004">
      <c r="B545" s="6"/>
    </row>
    <row r="546" spans="2:2" ht="14.25" customHeight="1" x14ac:dyDescent="0.55000000000000004">
      <c r="B546" s="6"/>
    </row>
    <row r="547" spans="2:2" ht="14.25" customHeight="1" x14ac:dyDescent="0.55000000000000004">
      <c r="B547" s="6"/>
    </row>
    <row r="548" spans="2:2" ht="14.25" customHeight="1" x14ac:dyDescent="0.55000000000000004">
      <c r="B548" s="6"/>
    </row>
    <row r="549" spans="2:2" ht="14.25" customHeight="1" x14ac:dyDescent="0.55000000000000004">
      <c r="B549" s="6"/>
    </row>
    <row r="550" spans="2:2" ht="14.25" customHeight="1" x14ac:dyDescent="0.55000000000000004">
      <c r="B550" s="6"/>
    </row>
    <row r="551" spans="2:2" ht="14.25" customHeight="1" x14ac:dyDescent="0.55000000000000004">
      <c r="B551" s="6"/>
    </row>
    <row r="552" spans="2:2" ht="14.25" customHeight="1" x14ac:dyDescent="0.55000000000000004">
      <c r="B552" s="6"/>
    </row>
    <row r="553" spans="2:2" ht="14.25" customHeight="1" x14ac:dyDescent="0.55000000000000004">
      <c r="B553" s="6"/>
    </row>
    <row r="554" spans="2:2" ht="14.25" customHeight="1" x14ac:dyDescent="0.55000000000000004">
      <c r="B554" s="6"/>
    </row>
    <row r="555" spans="2:2" ht="14.25" customHeight="1" x14ac:dyDescent="0.55000000000000004">
      <c r="B555" s="6"/>
    </row>
    <row r="556" spans="2:2" ht="14.25" customHeight="1" x14ac:dyDescent="0.55000000000000004">
      <c r="B556" s="6"/>
    </row>
    <row r="557" spans="2:2" ht="14.25" customHeight="1" x14ac:dyDescent="0.55000000000000004">
      <c r="B557" s="6"/>
    </row>
    <row r="558" spans="2:2" ht="14.25" customHeight="1" x14ac:dyDescent="0.55000000000000004">
      <c r="B558" s="6"/>
    </row>
    <row r="559" spans="2:2" ht="14.25" customHeight="1" x14ac:dyDescent="0.55000000000000004">
      <c r="B559" s="6"/>
    </row>
    <row r="560" spans="2:2" ht="14.25" customHeight="1" x14ac:dyDescent="0.55000000000000004">
      <c r="B560" s="6"/>
    </row>
    <row r="561" spans="2:2" ht="14.25" customHeight="1" x14ac:dyDescent="0.55000000000000004">
      <c r="B561" s="6"/>
    </row>
    <row r="562" spans="2:2" ht="14.25" customHeight="1" x14ac:dyDescent="0.55000000000000004">
      <c r="B562" s="6"/>
    </row>
    <row r="563" spans="2:2" ht="14.25" customHeight="1" x14ac:dyDescent="0.55000000000000004">
      <c r="B563" s="6"/>
    </row>
    <row r="564" spans="2:2" ht="14.25" customHeight="1" x14ac:dyDescent="0.55000000000000004">
      <c r="B564" s="6"/>
    </row>
    <row r="565" spans="2:2" ht="14.25" customHeight="1" x14ac:dyDescent="0.55000000000000004">
      <c r="B565" s="6"/>
    </row>
    <row r="566" spans="2:2" ht="14.25" customHeight="1" x14ac:dyDescent="0.55000000000000004">
      <c r="B566" s="6"/>
    </row>
    <row r="567" spans="2:2" ht="14.25" customHeight="1" x14ac:dyDescent="0.55000000000000004">
      <c r="B567" s="6"/>
    </row>
    <row r="568" spans="2:2" ht="14.25" customHeight="1" x14ac:dyDescent="0.55000000000000004">
      <c r="B568" s="6"/>
    </row>
    <row r="569" spans="2:2" ht="14.25" customHeight="1" x14ac:dyDescent="0.55000000000000004">
      <c r="B569" s="6"/>
    </row>
    <row r="570" spans="2:2" ht="14.25" customHeight="1" x14ac:dyDescent="0.55000000000000004">
      <c r="B570" s="6"/>
    </row>
    <row r="571" spans="2:2" ht="14.25" customHeight="1" x14ac:dyDescent="0.55000000000000004">
      <c r="B571" s="6"/>
    </row>
    <row r="572" spans="2:2" ht="14.25" customHeight="1" x14ac:dyDescent="0.55000000000000004">
      <c r="B572" s="6"/>
    </row>
    <row r="573" spans="2:2" ht="14.25" customHeight="1" x14ac:dyDescent="0.55000000000000004">
      <c r="B573" s="6"/>
    </row>
    <row r="574" spans="2:2" ht="14.25" customHeight="1" x14ac:dyDescent="0.55000000000000004">
      <c r="B574" s="6"/>
    </row>
    <row r="575" spans="2:2" ht="14.25" customHeight="1" x14ac:dyDescent="0.55000000000000004">
      <c r="B575" s="6"/>
    </row>
    <row r="576" spans="2:2" ht="14.25" customHeight="1" x14ac:dyDescent="0.55000000000000004">
      <c r="B576" s="6"/>
    </row>
    <row r="577" spans="2:2" ht="14.25" customHeight="1" x14ac:dyDescent="0.55000000000000004">
      <c r="B577" s="6"/>
    </row>
    <row r="578" spans="2:2" ht="14.25" customHeight="1" x14ac:dyDescent="0.55000000000000004">
      <c r="B578" s="6"/>
    </row>
    <row r="579" spans="2:2" ht="14.25" customHeight="1" x14ac:dyDescent="0.55000000000000004">
      <c r="B579" s="6"/>
    </row>
    <row r="580" spans="2:2" ht="14.25" customHeight="1" x14ac:dyDescent="0.55000000000000004">
      <c r="B580" s="6"/>
    </row>
    <row r="581" spans="2:2" ht="14.25" customHeight="1" x14ac:dyDescent="0.55000000000000004">
      <c r="B581" s="6"/>
    </row>
    <row r="582" spans="2:2" ht="14.25" customHeight="1" x14ac:dyDescent="0.55000000000000004">
      <c r="B582" s="6"/>
    </row>
    <row r="583" spans="2:2" ht="14.25" customHeight="1" x14ac:dyDescent="0.55000000000000004">
      <c r="B583" s="6"/>
    </row>
    <row r="584" spans="2:2" ht="14.25" customHeight="1" x14ac:dyDescent="0.55000000000000004">
      <c r="B584" s="6"/>
    </row>
    <row r="585" spans="2:2" ht="14.25" customHeight="1" x14ac:dyDescent="0.55000000000000004">
      <c r="B585" s="6"/>
    </row>
    <row r="586" spans="2:2" ht="14.25" customHeight="1" x14ac:dyDescent="0.55000000000000004">
      <c r="B586" s="6"/>
    </row>
    <row r="587" spans="2:2" ht="14.25" customHeight="1" x14ac:dyDescent="0.55000000000000004">
      <c r="B587" s="6"/>
    </row>
    <row r="588" spans="2:2" ht="14.25" customHeight="1" x14ac:dyDescent="0.55000000000000004">
      <c r="B588" s="6"/>
    </row>
    <row r="589" spans="2:2" ht="14.25" customHeight="1" x14ac:dyDescent="0.55000000000000004">
      <c r="B589" s="6"/>
    </row>
    <row r="590" spans="2:2" ht="14.25" customHeight="1" x14ac:dyDescent="0.55000000000000004">
      <c r="B590" s="6"/>
    </row>
    <row r="591" spans="2:2" ht="14.25" customHeight="1" x14ac:dyDescent="0.55000000000000004">
      <c r="B591" s="6"/>
    </row>
    <row r="592" spans="2:2" ht="14.25" customHeight="1" x14ac:dyDescent="0.55000000000000004">
      <c r="B592" s="6"/>
    </row>
    <row r="593" spans="2:2" ht="14.25" customHeight="1" x14ac:dyDescent="0.55000000000000004">
      <c r="B593" s="6"/>
    </row>
    <row r="594" spans="2:2" ht="14.25" customHeight="1" x14ac:dyDescent="0.55000000000000004">
      <c r="B594" s="6"/>
    </row>
    <row r="595" spans="2:2" ht="14.25" customHeight="1" x14ac:dyDescent="0.55000000000000004">
      <c r="B595" s="6"/>
    </row>
    <row r="596" spans="2:2" ht="14.25" customHeight="1" x14ac:dyDescent="0.55000000000000004">
      <c r="B596" s="6"/>
    </row>
    <row r="597" spans="2:2" ht="14.25" customHeight="1" x14ac:dyDescent="0.55000000000000004">
      <c r="B597" s="6"/>
    </row>
    <row r="598" spans="2:2" ht="14.25" customHeight="1" x14ac:dyDescent="0.55000000000000004">
      <c r="B598" s="6"/>
    </row>
    <row r="599" spans="2:2" ht="14.25" customHeight="1" x14ac:dyDescent="0.55000000000000004">
      <c r="B599" s="6"/>
    </row>
    <row r="600" spans="2:2" ht="14.25" customHeight="1" x14ac:dyDescent="0.55000000000000004">
      <c r="B600" s="6"/>
    </row>
    <row r="601" spans="2:2" ht="14.25" customHeight="1" x14ac:dyDescent="0.55000000000000004">
      <c r="B601" s="6"/>
    </row>
    <row r="602" spans="2:2" ht="14.25" customHeight="1" x14ac:dyDescent="0.55000000000000004">
      <c r="B602" s="6"/>
    </row>
    <row r="603" spans="2:2" ht="14.25" customHeight="1" x14ac:dyDescent="0.55000000000000004">
      <c r="B603" s="6"/>
    </row>
    <row r="604" spans="2:2" ht="14.25" customHeight="1" x14ac:dyDescent="0.55000000000000004">
      <c r="B604" s="6"/>
    </row>
    <row r="605" spans="2:2" ht="14.25" customHeight="1" x14ac:dyDescent="0.55000000000000004">
      <c r="B605" s="6"/>
    </row>
    <row r="606" spans="2:2" ht="14.25" customHeight="1" x14ac:dyDescent="0.55000000000000004">
      <c r="B606" s="6"/>
    </row>
    <row r="607" spans="2:2" ht="14.25" customHeight="1" x14ac:dyDescent="0.55000000000000004">
      <c r="B607" s="6"/>
    </row>
    <row r="608" spans="2:2" ht="14.25" customHeight="1" x14ac:dyDescent="0.55000000000000004">
      <c r="B608" s="6"/>
    </row>
    <row r="609" spans="2:2" ht="14.25" customHeight="1" x14ac:dyDescent="0.55000000000000004">
      <c r="B609" s="6"/>
    </row>
    <row r="610" spans="2:2" ht="14.25" customHeight="1" x14ac:dyDescent="0.55000000000000004">
      <c r="B610" s="6"/>
    </row>
    <row r="611" spans="2:2" ht="14.25" customHeight="1" x14ac:dyDescent="0.55000000000000004">
      <c r="B611" s="6"/>
    </row>
    <row r="612" spans="2:2" ht="14.25" customHeight="1" x14ac:dyDescent="0.55000000000000004">
      <c r="B612" s="6"/>
    </row>
    <row r="613" spans="2:2" ht="14.25" customHeight="1" x14ac:dyDescent="0.55000000000000004">
      <c r="B613" s="6"/>
    </row>
    <row r="614" spans="2:2" ht="14.25" customHeight="1" x14ac:dyDescent="0.55000000000000004">
      <c r="B614" s="6"/>
    </row>
    <row r="615" spans="2:2" ht="14.25" customHeight="1" x14ac:dyDescent="0.55000000000000004">
      <c r="B615" s="6"/>
    </row>
    <row r="616" spans="2:2" ht="14.25" customHeight="1" x14ac:dyDescent="0.55000000000000004">
      <c r="B616" s="6"/>
    </row>
    <row r="617" spans="2:2" ht="14.25" customHeight="1" x14ac:dyDescent="0.55000000000000004">
      <c r="B617" s="6"/>
    </row>
    <row r="618" spans="2:2" ht="14.25" customHeight="1" x14ac:dyDescent="0.55000000000000004">
      <c r="B618" s="6"/>
    </row>
    <row r="619" spans="2:2" ht="14.25" customHeight="1" x14ac:dyDescent="0.55000000000000004">
      <c r="B619" s="6"/>
    </row>
    <row r="620" spans="2:2" ht="14.25" customHeight="1" x14ac:dyDescent="0.55000000000000004">
      <c r="B620" s="6"/>
    </row>
    <row r="621" spans="2:2" ht="14.25" customHeight="1" x14ac:dyDescent="0.55000000000000004">
      <c r="B621" s="6"/>
    </row>
    <row r="622" spans="2:2" ht="14.25" customHeight="1" x14ac:dyDescent="0.55000000000000004">
      <c r="B622" s="6"/>
    </row>
    <row r="623" spans="2:2" ht="14.25" customHeight="1" x14ac:dyDescent="0.55000000000000004">
      <c r="B623" s="6"/>
    </row>
    <row r="624" spans="2:2" ht="14.25" customHeight="1" x14ac:dyDescent="0.55000000000000004">
      <c r="B624" s="6"/>
    </row>
    <row r="625" spans="2:2" ht="14.25" customHeight="1" x14ac:dyDescent="0.55000000000000004">
      <c r="B625" s="6"/>
    </row>
    <row r="626" spans="2:2" ht="14.25" customHeight="1" x14ac:dyDescent="0.55000000000000004">
      <c r="B626" s="6"/>
    </row>
    <row r="627" spans="2:2" ht="14.25" customHeight="1" x14ac:dyDescent="0.55000000000000004">
      <c r="B627" s="6"/>
    </row>
    <row r="628" spans="2:2" ht="14.25" customHeight="1" x14ac:dyDescent="0.55000000000000004">
      <c r="B628" s="6"/>
    </row>
    <row r="629" spans="2:2" ht="14.25" customHeight="1" x14ac:dyDescent="0.55000000000000004">
      <c r="B629" s="6"/>
    </row>
    <row r="630" spans="2:2" ht="14.25" customHeight="1" x14ac:dyDescent="0.55000000000000004">
      <c r="B630" s="6"/>
    </row>
    <row r="631" spans="2:2" ht="14.25" customHeight="1" x14ac:dyDescent="0.55000000000000004">
      <c r="B631" s="6"/>
    </row>
    <row r="632" spans="2:2" ht="14.25" customHeight="1" x14ac:dyDescent="0.55000000000000004">
      <c r="B632" s="6"/>
    </row>
    <row r="633" spans="2:2" ht="14.25" customHeight="1" x14ac:dyDescent="0.55000000000000004">
      <c r="B633" s="6"/>
    </row>
    <row r="634" spans="2:2" ht="14.25" customHeight="1" x14ac:dyDescent="0.55000000000000004">
      <c r="B634" s="6"/>
    </row>
    <row r="635" spans="2:2" ht="14.25" customHeight="1" x14ac:dyDescent="0.55000000000000004">
      <c r="B635" s="6"/>
    </row>
    <row r="636" spans="2:2" ht="14.25" customHeight="1" x14ac:dyDescent="0.55000000000000004">
      <c r="B636" s="6"/>
    </row>
    <row r="637" spans="2:2" ht="14.25" customHeight="1" x14ac:dyDescent="0.55000000000000004">
      <c r="B637" s="6"/>
    </row>
    <row r="638" spans="2:2" ht="14.25" customHeight="1" x14ac:dyDescent="0.55000000000000004">
      <c r="B638" s="6"/>
    </row>
    <row r="639" spans="2:2" ht="14.25" customHeight="1" x14ac:dyDescent="0.55000000000000004">
      <c r="B639" s="6"/>
    </row>
    <row r="640" spans="2:2" ht="14.25" customHeight="1" x14ac:dyDescent="0.55000000000000004">
      <c r="B640" s="6"/>
    </row>
    <row r="641" spans="2:2" ht="14.25" customHeight="1" x14ac:dyDescent="0.55000000000000004">
      <c r="B641" s="6"/>
    </row>
    <row r="642" spans="2:2" ht="14.25" customHeight="1" x14ac:dyDescent="0.55000000000000004">
      <c r="B642" s="6"/>
    </row>
    <row r="643" spans="2:2" ht="14.25" customHeight="1" x14ac:dyDescent="0.55000000000000004">
      <c r="B643" s="6"/>
    </row>
    <row r="644" spans="2:2" ht="14.25" customHeight="1" x14ac:dyDescent="0.55000000000000004">
      <c r="B644" s="6"/>
    </row>
    <row r="645" spans="2:2" ht="14.25" customHeight="1" x14ac:dyDescent="0.55000000000000004">
      <c r="B645" s="6"/>
    </row>
    <row r="646" spans="2:2" ht="14.25" customHeight="1" x14ac:dyDescent="0.55000000000000004">
      <c r="B646" s="6"/>
    </row>
    <row r="647" spans="2:2" ht="14.25" customHeight="1" x14ac:dyDescent="0.55000000000000004">
      <c r="B647" s="6"/>
    </row>
    <row r="648" spans="2:2" ht="14.25" customHeight="1" x14ac:dyDescent="0.55000000000000004">
      <c r="B648" s="6"/>
    </row>
    <row r="649" spans="2:2" ht="14.25" customHeight="1" x14ac:dyDescent="0.55000000000000004">
      <c r="B649" s="6"/>
    </row>
    <row r="650" spans="2:2" ht="14.25" customHeight="1" x14ac:dyDescent="0.55000000000000004">
      <c r="B650" s="6"/>
    </row>
    <row r="651" spans="2:2" ht="14.25" customHeight="1" x14ac:dyDescent="0.55000000000000004">
      <c r="B651" s="6"/>
    </row>
    <row r="652" spans="2:2" ht="14.25" customHeight="1" x14ac:dyDescent="0.55000000000000004">
      <c r="B652" s="6"/>
    </row>
    <row r="653" spans="2:2" ht="14.25" customHeight="1" x14ac:dyDescent="0.55000000000000004">
      <c r="B653" s="6"/>
    </row>
    <row r="654" spans="2:2" ht="14.25" customHeight="1" x14ac:dyDescent="0.55000000000000004">
      <c r="B654" s="6"/>
    </row>
    <row r="655" spans="2:2" ht="14.25" customHeight="1" x14ac:dyDescent="0.55000000000000004">
      <c r="B655" s="6"/>
    </row>
    <row r="656" spans="2:2" ht="14.25" customHeight="1" x14ac:dyDescent="0.55000000000000004">
      <c r="B656" s="6"/>
    </row>
    <row r="657" spans="2:2" ht="14.25" customHeight="1" x14ac:dyDescent="0.55000000000000004">
      <c r="B657" s="6"/>
    </row>
    <row r="658" spans="2:2" ht="14.25" customHeight="1" x14ac:dyDescent="0.55000000000000004">
      <c r="B658" s="6"/>
    </row>
    <row r="659" spans="2:2" ht="14.25" customHeight="1" x14ac:dyDescent="0.55000000000000004">
      <c r="B659" s="6"/>
    </row>
    <row r="660" spans="2:2" ht="14.25" customHeight="1" x14ac:dyDescent="0.55000000000000004">
      <c r="B660" s="6"/>
    </row>
    <row r="661" spans="2:2" ht="14.25" customHeight="1" x14ac:dyDescent="0.55000000000000004">
      <c r="B661" s="6"/>
    </row>
    <row r="662" spans="2:2" ht="14.25" customHeight="1" x14ac:dyDescent="0.55000000000000004">
      <c r="B662" s="6"/>
    </row>
    <row r="663" spans="2:2" ht="14.25" customHeight="1" x14ac:dyDescent="0.55000000000000004">
      <c r="B663" s="6"/>
    </row>
    <row r="664" spans="2:2" ht="14.25" customHeight="1" x14ac:dyDescent="0.55000000000000004">
      <c r="B664" s="6"/>
    </row>
    <row r="665" spans="2:2" ht="14.25" customHeight="1" x14ac:dyDescent="0.55000000000000004">
      <c r="B665" s="6"/>
    </row>
    <row r="666" spans="2:2" ht="14.25" customHeight="1" x14ac:dyDescent="0.55000000000000004">
      <c r="B666" s="6"/>
    </row>
    <row r="667" spans="2:2" ht="14.25" customHeight="1" x14ac:dyDescent="0.55000000000000004">
      <c r="B667" s="6"/>
    </row>
    <row r="668" spans="2:2" ht="14.25" customHeight="1" x14ac:dyDescent="0.55000000000000004">
      <c r="B668" s="6"/>
    </row>
    <row r="669" spans="2:2" ht="14.25" customHeight="1" x14ac:dyDescent="0.55000000000000004">
      <c r="B669" s="6"/>
    </row>
    <row r="670" spans="2:2" ht="14.25" customHeight="1" x14ac:dyDescent="0.55000000000000004">
      <c r="B670" s="6"/>
    </row>
    <row r="671" spans="2:2" ht="14.25" customHeight="1" x14ac:dyDescent="0.55000000000000004">
      <c r="B671" s="6"/>
    </row>
    <row r="672" spans="2:2" ht="14.25" customHeight="1" x14ac:dyDescent="0.55000000000000004">
      <c r="B672" s="6"/>
    </row>
    <row r="673" spans="2:2" ht="14.25" customHeight="1" x14ac:dyDescent="0.55000000000000004">
      <c r="B673" s="6"/>
    </row>
    <row r="674" spans="2:2" ht="14.25" customHeight="1" x14ac:dyDescent="0.55000000000000004">
      <c r="B674" s="6"/>
    </row>
    <row r="675" spans="2:2" ht="14.25" customHeight="1" x14ac:dyDescent="0.55000000000000004">
      <c r="B675" s="6"/>
    </row>
    <row r="676" spans="2:2" ht="14.25" customHeight="1" x14ac:dyDescent="0.55000000000000004">
      <c r="B676" s="6"/>
    </row>
    <row r="677" spans="2:2" ht="14.25" customHeight="1" x14ac:dyDescent="0.55000000000000004">
      <c r="B677" s="6"/>
    </row>
    <row r="678" spans="2:2" ht="14.25" customHeight="1" x14ac:dyDescent="0.55000000000000004">
      <c r="B678" s="6"/>
    </row>
    <row r="679" spans="2:2" ht="14.25" customHeight="1" x14ac:dyDescent="0.55000000000000004">
      <c r="B679" s="6"/>
    </row>
    <row r="680" spans="2:2" ht="14.25" customHeight="1" x14ac:dyDescent="0.55000000000000004">
      <c r="B680" s="6"/>
    </row>
    <row r="681" spans="2:2" ht="14.25" customHeight="1" x14ac:dyDescent="0.55000000000000004">
      <c r="B681" s="6"/>
    </row>
    <row r="682" spans="2:2" ht="14.25" customHeight="1" x14ac:dyDescent="0.55000000000000004">
      <c r="B682" s="6"/>
    </row>
    <row r="683" spans="2:2" ht="14.25" customHeight="1" x14ac:dyDescent="0.55000000000000004">
      <c r="B683" s="6"/>
    </row>
    <row r="684" spans="2:2" ht="14.25" customHeight="1" x14ac:dyDescent="0.55000000000000004">
      <c r="B684" s="6"/>
    </row>
    <row r="685" spans="2:2" ht="14.25" customHeight="1" x14ac:dyDescent="0.55000000000000004">
      <c r="B685" s="6"/>
    </row>
    <row r="686" spans="2:2" ht="14.25" customHeight="1" x14ac:dyDescent="0.55000000000000004">
      <c r="B686" s="6"/>
    </row>
    <row r="687" spans="2:2" ht="14.25" customHeight="1" x14ac:dyDescent="0.55000000000000004">
      <c r="B687" s="6"/>
    </row>
    <row r="688" spans="2:2" ht="14.25" customHeight="1" x14ac:dyDescent="0.55000000000000004">
      <c r="B688" s="6"/>
    </row>
    <row r="689" spans="2:2" ht="14.25" customHeight="1" x14ac:dyDescent="0.55000000000000004">
      <c r="B689" s="6"/>
    </row>
    <row r="690" spans="2:2" ht="14.25" customHeight="1" x14ac:dyDescent="0.55000000000000004">
      <c r="B690" s="6"/>
    </row>
    <row r="691" spans="2:2" ht="14.25" customHeight="1" x14ac:dyDescent="0.55000000000000004">
      <c r="B691" s="6"/>
    </row>
    <row r="692" spans="2:2" ht="14.25" customHeight="1" x14ac:dyDescent="0.55000000000000004">
      <c r="B692" s="6"/>
    </row>
    <row r="693" spans="2:2" ht="14.25" customHeight="1" x14ac:dyDescent="0.55000000000000004">
      <c r="B693" s="6"/>
    </row>
    <row r="694" spans="2:2" ht="14.25" customHeight="1" x14ac:dyDescent="0.55000000000000004">
      <c r="B694" s="6"/>
    </row>
    <row r="695" spans="2:2" ht="14.25" customHeight="1" x14ac:dyDescent="0.55000000000000004">
      <c r="B695" s="6"/>
    </row>
    <row r="696" spans="2:2" ht="14.25" customHeight="1" x14ac:dyDescent="0.55000000000000004">
      <c r="B696" s="6"/>
    </row>
    <row r="697" spans="2:2" ht="14.25" customHeight="1" x14ac:dyDescent="0.55000000000000004">
      <c r="B697" s="6"/>
    </row>
    <row r="698" spans="2:2" ht="14.25" customHeight="1" x14ac:dyDescent="0.55000000000000004">
      <c r="B698" s="6"/>
    </row>
    <row r="699" spans="2:2" ht="14.25" customHeight="1" x14ac:dyDescent="0.55000000000000004">
      <c r="B699" s="6"/>
    </row>
    <row r="700" spans="2:2" ht="14.25" customHeight="1" x14ac:dyDescent="0.55000000000000004">
      <c r="B700" s="6"/>
    </row>
    <row r="701" spans="2:2" ht="14.25" customHeight="1" x14ac:dyDescent="0.55000000000000004">
      <c r="B701" s="6"/>
    </row>
    <row r="702" spans="2:2" ht="14.25" customHeight="1" x14ac:dyDescent="0.55000000000000004">
      <c r="B702" s="6"/>
    </row>
    <row r="703" spans="2:2" ht="14.25" customHeight="1" x14ac:dyDescent="0.55000000000000004">
      <c r="B703" s="6"/>
    </row>
    <row r="704" spans="2:2" ht="14.25" customHeight="1" x14ac:dyDescent="0.55000000000000004">
      <c r="B704" s="6"/>
    </row>
    <row r="705" spans="2:2" ht="14.25" customHeight="1" x14ac:dyDescent="0.55000000000000004">
      <c r="B705" s="6"/>
    </row>
    <row r="706" spans="2:2" ht="14.25" customHeight="1" x14ac:dyDescent="0.55000000000000004">
      <c r="B706" s="6"/>
    </row>
    <row r="707" spans="2:2" ht="14.25" customHeight="1" x14ac:dyDescent="0.55000000000000004">
      <c r="B707" s="6"/>
    </row>
    <row r="708" spans="2:2" ht="14.25" customHeight="1" x14ac:dyDescent="0.55000000000000004">
      <c r="B708" s="6"/>
    </row>
    <row r="709" spans="2:2" ht="14.25" customHeight="1" x14ac:dyDescent="0.55000000000000004">
      <c r="B709" s="6"/>
    </row>
    <row r="710" spans="2:2" ht="14.25" customHeight="1" x14ac:dyDescent="0.55000000000000004">
      <c r="B710" s="6"/>
    </row>
    <row r="711" spans="2:2" ht="14.25" customHeight="1" x14ac:dyDescent="0.55000000000000004">
      <c r="B711" s="6"/>
    </row>
    <row r="712" spans="2:2" ht="14.25" customHeight="1" x14ac:dyDescent="0.55000000000000004">
      <c r="B712" s="6"/>
    </row>
    <row r="713" spans="2:2" ht="14.25" customHeight="1" x14ac:dyDescent="0.55000000000000004">
      <c r="B713" s="6"/>
    </row>
    <row r="714" spans="2:2" ht="14.25" customHeight="1" x14ac:dyDescent="0.55000000000000004">
      <c r="B714" s="6"/>
    </row>
    <row r="715" spans="2:2" ht="14.25" customHeight="1" x14ac:dyDescent="0.55000000000000004">
      <c r="B715" s="6"/>
    </row>
    <row r="716" spans="2:2" ht="14.25" customHeight="1" x14ac:dyDescent="0.55000000000000004">
      <c r="B716" s="6"/>
    </row>
    <row r="717" spans="2:2" ht="14.25" customHeight="1" x14ac:dyDescent="0.55000000000000004">
      <c r="B717" s="6"/>
    </row>
    <row r="718" spans="2:2" ht="14.25" customHeight="1" x14ac:dyDescent="0.55000000000000004">
      <c r="B718" s="6"/>
    </row>
    <row r="719" spans="2:2" ht="14.25" customHeight="1" x14ac:dyDescent="0.55000000000000004">
      <c r="B719" s="6"/>
    </row>
    <row r="720" spans="2:2" ht="14.25" customHeight="1" x14ac:dyDescent="0.55000000000000004">
      <c r="B720" s="6"/>
    </row>
    <row r="721" spans="2:2" ht="14.25" customHeight="1" x14ac:dyDescent="0.55000000000000004">
      <c r="B721" s="6"/>
    </row>
    <row r="722" spans="2:2" ht="14.25" customHeight="1" x14ac:dyDescent="0.55000000000000004">
      <c r="B722" s="6"/>
    </row>
    <row r="723" spans="2:2" ht="14.25" customHeight="1" x14ac:dyDescent="0.55000000000000004">
      <c r="B723" s="6"/>
    </row>
    <row r="724" spans="2:2" ht="14.25" customHeight="1" x14ac:dyDescent="0.55000000000000004">
      <c r="B724" s="6"/>
    </row>
    <row r="725" spans="2:2" ht="14.25" customHeight="1" x14ac:dyDescent="0.55000000000000004">
      <c r="B725" s="6"/>
    </row>
    <row r="726" spans="2:2" ht="14.25" customHeight="1" x14ac:dyDescent="0.55000000000000004">
      <c r="B726" s="6"/>
    </row>
    <row r="727" spans="2:2" ht="14.25" customHeight="1" x14ac:dyDescent="0.55000000000000004">
      <c r="B727" s="6"/>
    </row>
    <row r="728" spans="2:2" ht="14.25" customHeight="1" x14ac:dyDescent="0.55000000000000004">
      <c r="B728" s="6"/>
    </row>
    <row r="729" spans="2:2" ht="14.25" customHeight="1" x14ac:dyDescent="0.55000000000000004">
      <c r="B729" s="6"/>
    </row>
    <row r="730" spans="2:2" ht="14.25" customHeight="1" x14ac:dyDescent="0.55000000000000004">
      <c r="B730" s="6"/>
    </row>
    <row r="731" spans="2:2" ht="14.25" customHeight="1" x14ac:dyDescent="0.55000000000000004">
      <c r="B731" s="6"/>
    </row>
    <row r="732" spans="2:2" ht="14.25" customHeight="1" x14ac:dyDescent="0.55000000000000004">
      <c r="B732" s="6"/>
    </row>
    <row r="733" spans="2:2" ht="14.25" customHeight="1" x14ac:dyDescent="0.55000000000000004">
      <c r="B733" s="6"/>
    </row>
    <row r="734" spans="2:2" ht="14.25" customHeight="1" x14ac:dyDescent="0.55000000000000004">
      <c r="B734" s="6"/>
    </row>
    <row r="735" spans="2:2" ht="14.25" customHeight="1" x14ac:dyDescent="0.55000000000000004">
      <c r="B735" s="6"/>
    </row>
    <row r="736" spans="2:2" ht="14.25" customHeight="1" x14ac:dyDescent="0.55000000000000004">
      <c r="B736" s="6"/>
    </row>
    <row r="737" spans="2:2" ht="14.25" customHeight="1" x14ac:dyDescent="0.55000000000000004">
      <c r="B737" s="6"/>
    </row>
    <row r="738" spans="2:2" ht="14.25" customHeight="1" x14ac:dyDescent="0.55000000000000004">
      <c r="B738" s="6"/>
    </row>
    <row r="739" spans="2:2" ht="14.25" customHeight="1" x14ac:dyDescent="0.55000000000000004">
      <c r="B739" s="6"/>
    </row>
    <row r="740" spans="2:2" ht="14.25" customHeight="1" x14ac:dyDescent="0.55000000000000004">
      <c r="B740" s="6"/>
    </row>
    <row r="741" spans="2:2" ht="14.25" customHeight="1" x14ac:dyDescent="0.55000000000000004">
      <c r="B741" s="6"/>
    </row>
    <row r="742" spans="2:2" ht="14.25" customHeight="1" x14ac:dyDescent="0.55000000000000004">
      <c r="B742" s="6"/>
    </row>
    <row r="743" spans="2:2" ht="14.25" customHeight="1" x14ac:dyDescent="0.55000000000000004">
      <c r="B743" s="6"/>
    </row>
    <row r="744" spans="2:2" ht="14.25" customHeight="1" x14ac:dyDescent="0.55000000000000004">
      <c r="B744" s="6"/>
    </row>
    <row r="745" spans="2:2" ht="14.25" customHeight="1" x14ac:dyDescent="0.55000000000000004">
      <c r="B745" s="6"/>
    </row>
    <row r="746" spans="2:2" ht="14.25" customHeight="1" x14ac:dyDescent="0.55000000000000004">
      <c r="B746" s="6"/>
    </row>
    <row r="747" spans="2:2" ht="14.25" customHeight="1" x14ac:dyDescent="0.55000000000000004">
      <c r="B747" s="6"/>
    </row>
    <row r="748" spans="2:2" ht="14.25" customHeight="1" x14ac:dyDescent="0.55000000000000004">
      <c r="B748" s="6"/>
    </row>
    <row r="749" spans="2:2" ht="14.25" customHeight="1" x14ac:dyDescent="0.55000000000000004">
      <c r="B749" s="6"/>
    </row>
    <row r="750" spans="2:2" ht="14.25" customHeight="1" x14ac:dyDescent="0.55000000000000004">
      <c r="B750" s="6"/>
    </row>
    <row r="751" spans="2:2" ht="14.25" customHeight="1" x14ac:dyDescent="0.55000000000000004">
      <c r="B751" s="6"/>
    </row>
    <row r="752" spans="2:2" ht="14.25" customHeight="1" x14ac:dyDescent="0.55000000000000004">
      <c r="B752" s="6"/>
    </row>
    <row r="753" spans="2:2" ht="14.25" customHeight="1" x14ac:dyDescent="0.55000000000000004">
      <c r="B753" s="6"/>
    </row>
    <row r="754" spans="2:2" ht="14.25" customHeight="1" x14ac:dyDescent="0.55000000000000004">
      <c r="B754" s="6"/>
    </row>
    <row r="755" spans="2:2" ht="14.25" customHeight="1" x14ac:dyDescent="0.55000000000000004">
      <c r="B755" s="6"/>
    </row>
    <row r="756" spans="2:2" ht="14.25" customHeight="1" x14ac:dyDescent="0.55000000000000004">
      <c r="B756" s="6"/>
    </row>
    <row r="757" spans="2:2" ht="14.25" customHeight="1" x14ac:dyDescent="0.55000000000000004">
      <c r="B757" s="6"/>
    </row>
    <row r="758" spans="2:2" ht="14.25" customHeight="1" x14ac:dyDescent="0.55000000000000004">
      <c r="B758" s="6"/>
    </row>
    <row r="759" spans="2:2" ht="14.25" customHeight="1" x14ac:dyDescent="0.55000000000000004">
      <c r="B759" s="6"/>
    </row>
    <row r="760" spans="2:2" ht="14.25" customHeight="1" x14ac:dyDescent="0.55000000000000004">
      <c r="B760" s="6"/>
    </row>
    <row r="761" spans="2:2" ht="14.25" customHeight="1" x14ac:dyDescent="0.55000000000000004">
      <c r="B761" s="6"/>
    </row>
    <row r="762" spans="2:2" ht="14.25" customHeight="1" x14ac:dyDescent="0.55000000000000004">
      <c r="B762" s="6"/>
    </row>
    <row r="763" spans="2:2" ht="14.25" customHeight="1" x14ac:dyDescent="0.55000000000000004">
      <c r="B763" s="6"/>
    </row>
    <row r="764" spans="2:2" ht="14.25" customHeight="1" x14ac:dyDescent="0.55000000000000004">
      <c r="B764" s="6"/>
    </row>
    <row r="765" spans="2:2" ht="14.25" customHeight="1" x14ac:dyDescent="0.55000000000000004">
      <c r="B765" s="6"/>
    </row>
    <row r="766" spans="2:2" ht="14.25" customHeight="1" x14ac:dyDescent="0.55000000000000004">
      <c r="B766" s="6"/>
    </row>
    <row r="767" spans="2:2" ht="14.25" customHeight="1" x14ac:dyDescent="0.55000000000000004">
      <c r="B767" s="6"/>
    </row>
    <row r="768" spans="2:2" ht="14.25" customHeight="1" x14ac:dyDescent="0.55000000000000004">
      <c r="B768" s="6"/>
    </row>
    <row r="769" spans="2:2" ht="14.25" customHeight="1" x14ac:dyDescent="0.55000000000000004">
      <c r="B769" s="6"/>
    </row>
    <row r="770" spans="2:2" ht="14.25" customHeight="1" x14ac:dyDescent="0.55000000000000004">
      <c r="B770" s="6"/>
    </row>
    <row r="771" spans="2:2" ht="14.25" customHeight="1" x14ac:dyDescent="0.55000000000000004">
      <c r="B771" s="6"/>
    </row>
    <row r="772" spans="2:2" ht="14.25" customHeight="1" x14ac:dyDescent="0.55000000000000004">
      <c r="B772" s="6"/>
    </row>
    <row r="773" spans="2:2" ht="14.25" customHeight="1" x14ac:dyDescent="0.55000000000000004">
      <c r="B773" s="6"/>
    </row>
    <row r="774" spans="2:2" ht="14.25" customHeight="1" x14ac:dyDescent="0.55000000000000004">
      <c r="B774" s="6"/>
    </row>
    <row r="775" spans="2:2" ht="14.25" customHeight="1" x14ac:dyDescent="0.55000000000000004">
      <c r="B775" s="6"/>
    </row>
    <row r="776" spans="2:2" ht="14.25" customHeight="1" x14ac:dyDescent="0.55000000000000004">
      <c r="B776" s="6"/>
    </row>
    <row r="777" spans="2:2" ht="14.25" customHeight="1" x14ac:dyDescent="0.55000000000000004">
      <c r="B777" s="6"/>
    </row>
    <row r="778" spans="2:2" ht="14.25" customHeight="1" x14ac:dyDescent="0.55000000000000004">
      <c r="B778" s="6"/>
    </row>
    <row r="779" spans="2:2" ht="14.25" customHeight="1" x14ac:dyDescent="0.55000000000000004">
      <c r="B779" s="6"/>
    </row>
    <row r="780" spans="2:2" ht="14.25" customHeight="1" x14ac:dyDescent="0.55000000000000004">
      <c r="B780" s="6"/>
    </row>
    <row r="781" spans="2:2" ht="14.25" customHeight="1" x14ac:dyDescent="0.55000000000000004">
      <c r="B781" s="6"/>
    </row>
    <row r="782" spans="2:2" ht="14.25" customHeight="1" x14ac:dyDescent="0.55000000000000004">
      <c r="B782" s="6"/>
    </row>
    <row r="783" spans="2:2" ht="14.25" customHeight="1" x14ac:dyDescent="0.55000000000000004">
      <c r="B783" s="6"/>
    </row>
    <row r="784" spans="2:2" ht="14.25" customHeight="1" x14ac:dyDescent="0.55000000000000004">
      <c r="B784" s="6"/>
    </row>
    <row r="785" spans="2:2" ht="14.25" customHeight="1" x14ac:dyDescent="0.55000000000000004">
      <c r="B785" s="6"/>
    </row>
    <row r="786" spans="2:2" ht="14.25" customHeight="1" x14ac:dyDescent="0.55000000000000004">
      <c r="B786" s="6"/>
    </row>
    <row r="787" spans="2:2" ht="14.25" customHeight="1" x14ac:dyDescent="0.55000000000000004">
      <c r="B787" s="6"/>
    </row>
    <row r="788" spans="2:2" ht="14.25" customHeight="1" x14ac:dyDescent="0.55000000000000004">
      <c r="B788" s="6"/>
    </row>
    <row r="789" spans="2:2" ht="14.25" customHeight="1" x14ac:dyDescent="0.55000000000000004">
      <c r="B789" s="6"/>
    </row>
    <row r="790" spans="2:2" ht="14.25" customHeight="1" x14ac:dyDescent="0.55000000000000004">
      <c r="B790" s="6"/>
    </row>
    <row r="791" spans="2:2" ht="14.25" customHeight="1" x14ac:dyDescent="0.55000000000000004">
      <c r="B791" s="6"/>
    </row>
    <row r="792" spans="2:2" ht="14.25" customHeight="1" x14ac:dyDescent="0.55000000000000004">
      <c r="B792" s="6"/>
    </row>
    <row r="793" spans="2:2" ht="14.25" customHeight="1" x14ac:dyDescent="0.55000000000000004">
      <c r="B793" s="6"/>
    </row>
    <row r="794" spans="2:2" ht="14.25" customHeight="1" x14ac:dyDescent="0.55000000000000004">
      <c r="B794" s="6"/>
    </row>
    <row r="795" spans="2:2" ht="14.25" customHeight="1" x14ac:dyDescent="0.55000000000000004">
      <c r="B795" s="6"/>
    </row>
    <row r="796" spans="2:2" ht="14.25" customHeight="1" x14ac:dyDescent="0.55000000000000004">
      <c r="B796" s="6"/>
    </row>
    <row r="797" spans="2:2" ht="14.25" customHeight="1" x14ac:dyDescent="0.55000000000000004">
      <c r="B797" s="6"/>
    </row>
    <row r="798" spans="2:2" ht="14.25" customHeight="1" x14ac:dyDescent="0.55000000000000004">
      <c r="B798" s="6"/>
    </row>
    <row r="799" spans="2:2" ht="14.25" customHeight="1" x14ac:dyDescent="0.55000000000000004">
      <c r="B799" s="6"/>
    </row>
    <row r="800" spans="2:2" ht="14.25" customHeight="1" x14ac:dyDescent="0.55000000000000004">
      <c r="B800" s="6"/>
    </row>
    <row r="801" spans="2:2" ht="14.25" customHeight="1" x14ac:dyDescent="0.55000000000000004">
      <c r="B801" s="6"/>
    </row>
    <row r="802" spans="2:2" ht="14.25" customHeight="1" x14ac:dyDescent="0.55000000000000004">
      <c r="B802" s="6"/>
    </row>
    <row r="803" spans="2:2" ht="14.25" customHeight="1" x14ac:dyDescent="0.55000000000000004">
      <c r="B803" s="6"/>
    </row>
    <row r="804" spans="2:2" ht="14.25" customHeight="1" x14ac:dyDescent="0.55000000000000004">
      <c r="B804" s="6"/>
    </row>
    <row r="805" spans="2:2" ht="14.25" customHeight="1" x14ac:dyDescent="0.55000000000000004">
      <c r="B805" s="6"/>
    </row>
    <row r="806" spans="2:2" ht="14.25" customHeight="1" x14ac:dyDescent="0.55000000000000004">
      <c r="B806" s="6"/>
    </row>
    <row r="807" spans="2:2" ht="14.25" customHeight="1" x14ac:dyDescent="0.55000000000000004">
      <c r="B807" s="6"/>
    </row>
    <row r="808" spans="2:2" ht="14.25" customHeight="1" x14ac:dyDescent="0.55000000000000004">
      <c r="B808" s="6"/>
    </row>
    <row r="809" spans="2:2" ht="14.25" customHeight="1" x14ac:dyDescent="0.55000000000000004">
      <c r="B809" s="6"/>
    </row>
    <row r="810" spans="2:2" ht="14.25" customHeight="1" x14ac:dyDescent="0.55000000000000004">
      <c r="B810" s="6"/>
    </row>
    <row r="811" spans="2:2" ht="14.25" customHeight="1" x14ac:dyDescent="0.55000000000000004">
      <c r="B811" s="6"/>
    </row>
    <row r="812" spans="2:2" ht="14.25" customHeight="1" x14ac:dyDescent="0.55000000000000004">
      <c r="B812" s="6"/>
    </row>
    <row r="813" spans="2:2" ht="14.25" customHeight="1" x14ac:dyDescent="0.55000000000000004">
      <c r="B813" s="6"/>
    </row>
    <row r="814" spans="2:2" ht="14.25" customHeight="1" x14ac:dyDescent="0.55000000000000004">
      <c r="B814" s="6"/>
    </row>
    <row r="815" spans="2:2" ht="14.25" customHeight="1" x14ac:dyDescent="0.55000000000000004">
      <c r="B815" s="6"/>
    </row>
    <row r="816" spans="2:2" ht="14.25" customHeight="1" x14ac:dyDescent="0.55000000000000004">
      <c r="B816" s="6"/>
    </row>
    <row r="817" spans="2:2" ht="14.25" customHeight="1" x14ac:dyDescent="0.55000000000000004">
      <c r="B817" s="6"/>
    </row>
    <row r="818" spans="2:2" ht="14.25" customHeight="1" x14ac:dyDescent="0.55000000000000004">
      <c r="B818" s="6"/>
    </row>
    <row r="819" spans="2:2" ht="14.25" customHeight="1" x14ac:dyDescent="0.55000000000000004">
      <c r="B819" s="6"/>
    </row>
    <row r="820" spans="2:2" ht="14.25" customHeight="1" x14ac:dyDescent="0.55000000000000004">
      <c r="B820" s="6"/>
    </row>
    <row r="821" spans="2:2" ht="14.25" customHeight="1" x14ac:dyDescent="0.55000000000000004">
      <c r="B821" s="6"/>
    </row>
    <row r="822" spans="2:2" ht="14.25" customHeight="1" x14ac:dyDescent="0.55000000000000004">
      <c r="B822" s="6"/>
    </row>
    <row r="823" spans="2:2" ht="14.25" customHeight="1" x14ac:dyDescent="0.55000000000000004">
      <c r="B823" s="6"/>
    </row>
    <row r="824" spans="2:2" ht="14.25" customHeight="1" x14ac:dyDescent="0.55000000000000004">
      <c r="B824" s="6"/>
    </row>
    <row r="825" spans="2:2" ht="14.25" customHeight="1" x14ac:dyDescent="0.55000000000000004">
      <c r="B825" s="6"/>
    </row>
    <row r="826" spans="2:2" ht="14.25" customHeight="1" x14ac:dyDescent="0.55000000000000004">
      <c r="B826" s="6"/>
    </row>
    <row r="827" spans="2:2" ht="14.25" customHeight="1" x14ac:dyDescent="0.55000000000000004">
      <c r="B827" s="6"/>
    </row>
    <row r="828" spans="2:2" ht="14.25" customHeight="1" x14ac:dyDescent="0.55000000000000004">
      <c r="B828" s="6"/>
    </row>
    <row r="829" spans="2:2" ht="14.25" customHeight="1" x14ac:dyDescent="0.55000000000000004">
      <c r="B829" s="6"/>
    </row>
    <row r="830" spans="2:2" ht="14.25" customHeight="1" x14ac:dyDescent="0.55000000000000004">
      <c r="B830" s="6"/>
    </row>
    <row r="831" spans="2:2" ht="14.25" customHeight="1" x14ac:dyDescent="0.55000000000000004">
      <c r="B831" s="6"/>
    </row>
    <row r="832" spans="2:2" ht="14.25" customHeight="1" x14ac:dyDescent="0.55000000000000004">
      <c r="B832" s="6"/>
    </row>
    <row r="833" spans="2:2" ht="14.25" customHeight="1" x14ac:dyDescent="0.55000000000000004">
      <c r="B833" s="6"/>
    </row>
    <row r="834" spans="2:2" ht="14.25" customHeight="1" x14ac:dyDescent="0.55000000000000004">
      <c r="B834" s="6"/>
    </row>
    <row r="835" spans="2:2" ht="14.25" customHeight="1" x14ac:dyDescent="0.55000000000000004">
      <c r="B835" s="6"/>
    </row>
    <row r="836" spans="2:2" ht="14.25" customHeight="1" x14ac:dyDescent="0.55000000000000004">
      <c r="B836" s="6"/>
    </row>
    <row r="837" spans="2:2" ht="14.25" customHeight="1" x14ac:dyDescent="0.55000000000000004">
      <c r="B837" s="6"/>
    </row>
    <row r="838" spans="2:2" ht="14.25" customHeight="1" x14ac:dyDescent="0.55000000000000004">
      <c r="B838" s="6"/>
    </row>
    <row r="839" spans="2:2" ht="14.25" customHeight="1" x14ac:dyDescent="0.55000000000000004">
      <c r="B839" s="6"/>
    </row>
    <row r="840" spans="2:2" ht="14.25" customHeight="1" x14ac:dyDescent="0.55000000000000004">
      <c r="B840" s="6"/>
    </row>
    <row r="841" spans="2:2" ht="14.25" customHeight="1" x14ac:dyDescent="0.55000000000000004">
      <c r="B841" s="6"/>
    </row>
    <row r="842" spans="2:2" ht="14.25" customHeight="1" x14ac:dyDescent="0.55000000000000004">
      <c r="B842" s="6"/>
    </row>
    <row r="843" spans="2:2" ht="14.25" customHeight="1" x14ac:dyDescent="0.55000000000000004">
      <c r="B843" s="6"/>
    </row>
    <row r="844" spans="2:2" ht="14.25" customHeight="1" x14ac:dyDescent="0.55000000000000004">
      <c r="B844" s="6"/>
    </row>
    <row r="845" spans="2:2" ht="14.25" customHeight="1" x14ac:dyDescent="0.55000000000000004">
      <c r="B845" s="6"/>
    </row>
    <row r="846" spans="2:2" ht="14.25" customHeight="1" x14ac:dyDescent="0.55000000000000004">
      <c r="B846" s="6"/>
    </row>
    <row r="847" spans="2:2" ht="14.25" customHeight="1" x14ac:dyDescent="0.55000000000000004">
      <c r="B847" s="6"/>
    </row>
    <row r="848" spans="2:2" ht="14.25" customHeight="1" x14ac:dyDescent="0.55000000000000004">
      <c r="B848" s="6"/>
    </row>
    <row r="849" spans="2:2" ht="14.25" customHeight="1" x14ac:dyDescent="0.55000000000000004">
      <c r="B849" s="6"/>
    </row>
    <row r="850" spans="2:2" ht="14.25" customHeight="1" x14ac:dyDescent="0.55000000000000004">
      <c r="B850" s="6"/>
    </row>
    <row r="851" spans="2:2" ht="14.25" customHeight="1" x14ac:dyDescent="0.55000000000000004">
      <c r="B851" s="6"/>
    </row>
    <row r="852" spans="2:2" ht="14.25" customHeight="1" x14ac:dyDescent="0.55000000000000004">
      <c r="B852" s="6"/>
    </row>
    <row r="853" spans="2:2" ht="14.25" customHeight="1" x14ac:dyDescent="0.55000000000000004">
      <c r="B853" s="6"/>
    </row>
    <row r="854" spans="2:2" ht="14.25" customHeight="1" x14ac:dyDescent="0.55000000000000004">
      <c r="B854" s="6"/>
    </row>
    <row r="855" spans="2:2" ht="14.25" customHeight="1" x14ac:dyDescent="0.55000000000000004">
      <c r="B855" s="6"/>
    </row>
    <row r="856" spans="2:2" ht="14.25" customHeight="1" x14ac:dyDescent="0.55000000000000004">
      <c r="B856" s="6"/>
    </row>
    <row r="857" spans="2:2" ht="14.25" customHeight="1" x14ac:dyDescent="0.55000000000000004">
      <c r="B857" s="6"/>
    </row>
    <row r="858" spans="2:2" ht="14.25" customHeight="1" x14ac:dyDescent="0.55000000000000004">
      <c r="B858" s="6"/>
    </row>
    <row r="859" spans="2:2" ht="14.25" customHeight="1" x14ac:dyDescent="0.55000000000000004">
      <c r="B859" s="6"/>
    </row>
    <row r="860" spans="2:2" ht="14.25" customHeight="1" x14ac:dyDescent="0.55000000000000004">
      <c r="B860" s="6"/>
    </row>
    <row r="861" spans="2:2" ht="14.25" customHeight="1" x14ac:dyDescent="0.55000000000000004">
      <c r="B861" s="6"/>
    </row>
    <row r="862" spans="2:2" ht="14.25" customHeight="1" x14ac:dyDescent="0.55000000000000004">
      <c r="B862" s="6"/>
    </row>
    <row r="863" spans="2:2" ht="14.25" customHeight="1" x14ac:dyDescent="0.55000000000000004">
      <c r="B863" s="6"/>
    </row>
    <row r="864" spans="2:2" ht="14.25" customHeight="1" x14ac:dyDescent="0.55000000000000004">
      <c r="B864" s="6"/>
    </row>
    <row r="865" spans="2:2" ht="14.25" customHeight="1" x14ac:dyDescent="0.55000000000000004">
      <c r="B865" s="6"/>
    </row>
    <row r="866" spans="2:2" ht="14.25" customHeight="1" x14ac:dyDescent="0.55000000000000004">
      <c r="B866" s="6"/>
    </row>
    <row r="867" spans="2:2" ht="14.25" customHeight="1" x14ac:dyDescent="0.55000000000000004">
      <c r="B867" s="6"/>
    </row>
    <row r="868" spans="2:2" ht="14.25" customHeight="1" x14ac:dyDescent="0.55000000000000004">
      <c r="B868" s="6"/>
    </row>
    <row r="869" spans="2:2" ht="14.25" customHeight="1" x14ac:dyDescent="0.55000000000000004">
      <c r="B869" s="6"/>
    </row>
    <row r="870" spans="2:2" ht="14.25" customHeight="1" x14ac:dyDescent="0.55000000000000004">
      <c r="B870" s="6"/>
    </row>
    <row r="871" spans="2:2" ht="14.25" customHeight="1" x14ac:dyDescent="0.55000000000000004">
      <c r="B871" s="6"/>
    </row>
    <row r="872" spans="2:2" ht="14.25" customHeight="1" x14ac:dyDescent="0.55000000000000004">
      <c r="B872" s="6"/>
    </row>
    <row r="873" spans="2:2" ht="14.25" customHeight="1" x14ac:dyDescent="0.55000000000000004">
      <c r="B873" s="6"/>
    </row>
    <row r="874" spans="2:2" ht="14.25" customHeight="1" x14ac:dyDescent="0.55000000000000004">
      <c r="B874" s="6"/>
    </row>
    <row r="875" spans="2:2" ht="14.25" customHeight="1" x14ac:dyDescent="0.55000000000000004">
      <c r="B875" s="6"/>
    </row>
    <row r="876" spans="2:2" ht="14.25" customHeight="1" x14ac:dyDescent="0.55000000000000004">
      <c r="B876" s="6"/>
    </row>
    <row r="877" spans="2:2" ht="14.25" customHeight="1" x14ac:dyDescent="0.55000000000000004">
      <c r="B877" s="6"/>
    </row>
    <row r="878" spans="2:2" ht="14.25" customHeight="1" x14ac:dyDescent="0.55000000000000004">
      <c r="B878" s="6"/>
    </row>
    <row r="879" spans="2:2" ht="14.25" customHeight="1" x14ac:dyDescent="0.55000000000000004">
      <c r="B879" s="6"/>
    </row>
    <row r="880" spans="2:2" ht="14.25" customHeight="1" x14ac:dyDescent="0.55000000000000004">
      <c r="B880" s="6"/>
    </row>
    <row r="881" spans="2:2" ht="14.25" customHeight="1" x14ac:dyDescent="0.55000000000000004">
      <c r="B881" s="6"/>
    </row>
    <row r="882" spans="2:2" ht="14.25" customHeight="1" x14ac:dyDescent="0.55000000000000004">
      <c r="B882" s="6"/>
    </row>
    <row r="883" spans="2:2" ht="14.25" customHeight="1" x14ac:dyDescent="0.55000000000000004">
      <c r="B883" s="6"/>
    </row>
    <row r="884" spans="2:2" ht="14.25" customHeight="1" x14ac:dyDescent="0.55000000000000004">
      <c r="B884" s="6"/>
    </row>
    <row r="885" spans="2:2" ht="14.25" customHeight="1" x14ac:dyDescent="0.55000000000000004">
      <c r="B885" s="6"/>
    </row>
    <row r="886" spans="2:2" ht="14.25" customHeight="1" x14ac:dyDescent="0.55000000000000004">
      <c r="B886" s="6"/>
    </row>
    <row r="887" spans="2:2" ht="14.25" customHeight="1" x14ac:dyDescent="0.55000000000000004">
      <c r="B887" s="6"/>
    </row>
    <row r="888" spans="2:2" ht="14.25" customHeight="1" x14ac:dyDescent="0.55000000000000004">
      <c r="B888" s="6"/>
    </row>
    <row r="889" spans="2:2" ht="14.25" customHeight="1" x14ac:dyDescent="0.55000000000000004">
      <c r="B889" s="6"/>
    </row>
    <row r="890" spans="2:2" ht="14.25" customHeight="1" x14ac:dyDescent="0.55000000000000004">
      <c r="B890" s="6"/>
    </row>
    <row r="891" spans="2:2" ht="14.25" customHeight="1" x14ac:dyDescent="0.55000000000000004">
      <c r="B891" s="6"/>
    </row>
    <row r="892" spans="2:2" ht="14.25" customHeight="1" x14ac:dyDescent="0.55000000000000004">
      <c r="B892" s="6"/>
    </row>
    <row r="893" spans="2:2" ht="14.25" customHeight="1" x14ac:dyDescent="0.55000000000000004">
      <c r="B893" s="6"/>
    </row>
    <row r="894" spans="2:2" ht="14.25" customHeight="1" x14ac:dyDescent="0.55000000000000004">
      <c r="B894" s="6"/>
    </row>
    <row r="895" spans="2:2" ht="14.25" customHeight="1" x14ac:dyDescent="0.55000000000000004">
      <c r="B895" s="6"/>
    </row>
    <row r="896" spans="2:2" ht="14.25" customHeight="1" x14ac:dyDescent="0.55000000000000004">
      <c r="B896" s="6"/>
    </row>
    <row r="897" spans="2:2" ht="14.25" customHeight="1" x14ac:dyDescent="0.55000000000000004">
      <c r="B897" s="6"/>
    </row>
    <row r="898" spans="2:2" ht="14.25" customHeight="1" x14ac:dyDescent="0.55000000000000004">
      <c r="B898" s="6"/>
    </row>
    <row r="899" spans="2:2" ht="14.25" customHeight="1" x14ac:dyDescent="0.55000000000000004">
      <c r="B899" s="6"/>
    </row>
    <row r="900" spans="2:2" ht="14.25" customHeight="1" x14ac:dyDescent="0.55000000000000004">
      <c r="B900" s="6"/>
    </row>
    <row r="901" spans="2:2" ht="14.25" customHeight="1" x14ac:dyDescent="0.55000000000000004">
      <c r="B901" s="6"/>
    </row>
    <row r="902" spans="2:2" ht="14.25" customHeight="1" x14ac:dyDescent="0.55000000000000004">
      <c r="B902" s="6"/>
    </row>
    <row r="903" spans="2:2" ht="14.25" customHeight="1" x14ac:dyDescent="0.55000000000000004">
      <c r="B903" s="6"/>
    </row>
    <row r="904" spans="2:2" ht="14.25" customHeight="1" x14ac:dyDescent="0.55000000000000004">
      <c r="B904" s="6"/>
    </row>
    <row r="905" spans="2:2" ht="14.25" customHeight="1" x14ac:dyDescent="0.55000000000000004">
      <c r="B905" s="6"/>
    </row>
    <row r="906" spans="2:2" ht="14.25" customHeight="1" x14ac:dyDescent="0.55000000000000004">
      <c r="B906" s="6"/>
    </row>
    <row r="907" spans="2:2" ht="14.25" customHeight="1" x14ac:dyDescent="0.55000000000000004">
      <c r="B907" s="6"/>
    </row>
    <row r="908" spans="2:2" ht="14.25" customHeight="1" x14ac:dyDescent="0.55000000000000004">
      <c r="B908" s="6"/>
    </row>
    <row r="909" spans="2:2" ht="14.25" customHeight="1" x14ac:dyDescent="0.55000000000000004">
      <c r="B909" s="6"/>
    </row>
    <row r="910" spans="2:2" ht="14.25" customHeight="1" x14ac:dyDescent="0.55000000000000004">
      <c r="B910" s="6"/>
    </row>
    <row r="911" spans="2:2" ht="14.25" customHeight="1" x14ac:dyDescent="0.55000000000000004">
      <c r="B911" s="6"/>
    </row>
    <row r="912" spans="2:2" ht="14.25" customHeight="1" x14ac:dyDescent="0.55000000000000004">
      <c r="B912" s="6"/>
    </row>
    <row r="913" spans="2:2" ht="14.25" customHeight="1" x14ac:dyDescent="0.55000000000000004">
      <c r="B913" s="6"/>
    </row>
    <row r="914" spans="2:2" ht="14.25" customHeight="1" x14ac:dyDescent="0.55000000000000004">
      <c r="B914" s="6"/>
    </row>
    <row r="915" spans="2:2" ht="14.25" customHeight="1" x14ac:dyDescent="0.55000000000000004">
      <c r="B915" s="6"/>
    </row>
    <row r="916" spans="2:2" ht="14.25" customHeight="1" x14ac:dyDescent="0.55000000000000004">
      <c r="B916" s="6"/>
    </row>
    <row r="917" spans="2:2" ht="14.25" customHeight="1" x14ac:dyDescent="0.55000000000000004">
      <c r="B917" s="6"/>
    </row>
    <row r="918" spans="2:2" ht="14.25" customHeight="1" x14ac:dyDescent="0.55000000000000004">
      <c r="B918" s="6"/>
    </row>
    <row r="919" spans="2:2" ht="14.25" customHeight="1" x14ac:dyDescent="0.55000000000000004">
      <c r="B919" s="6"/>
    </row>
    <row r="920" spans="2:2" ht="14.25" customHeight="1" x14ac:dyDescent="0.55000000000000004">
      <c r="B920" s="6"/>
    </row>
    <row r="921" spans="2:2" ht="14.25" customHeight="1" x14ac:dyDescent="0.55000000000000004">
      <c r="B921" s="6"/>
    </row>
    <row r="922" spans="2:2" ht="14.25" customHeight="1" x14ac:dyDescent="0.55000000000000004">
      <c r="B922" s="6"/>
    </row>
    <row r="923" spans="2:2" ht="14.25" customHeight="1" x14ac:dyDescent="0.55000000000000004">
      <c r="B923" s="6"/>
    </row>
    <row r="924" spans="2:2" ht="14.25" customHeight="1" x14ac:dyDescent="0.55000000000000004">
      <c r="B924" s="6"/>
    </row>
    <row r="925" spans="2:2" ht="14.25" customHeight="1" x14ac:dyDescent="0.55000000000000004">
      <c r="B925" s="6"/>
    </row>
    <row r="926" spans="2:2" ht="14.25" customHeight="1" x14ac:dyDescent="0.55000000000000004">
      <c r="B926" s="6"/>
    </row>
    <row r="927" spans="2:2" ht="14.25" customHeight="1" x14ac:dyDescent="0.55000000000000004">
      <c r="B927" s="6"/>
    </row>
    <row r="928" spans="2:2" ht="14.25" customHeight="1" x14ac:dyDescent="0.55000000000000004">
      <c r="B928" s="6"/>
    </row>
    <row r="929" spans="2:2" ht="14.25" customHeight="1" x14ac:dyDescent="0.55000000000000004">
      <c r="B929" s="6"/>
    </row>
    <row r="930" spans="2:2" ht="14.25" customHeight="1" x14ac:dyDescent="0.55000000000000004">
      <c r="B930" s="6"/>
    </row>
    <row r="931" spans="2:2" ht="14.25" customHeight="1" x14ac:dyDescent="0.55000000000000004">
      <c r="B931" s="6"/>
    </row>
    <row r="932" spans="2:2" ht="14.25" customHeight="1" x14ac:dyDescent="0.55000000000000004">
      <c r="B932" s="6"/>
    </row>
    <row r="933" spans="2:2" ht="14.25" customHeight="1" x14ac:dyDescent="0.55000000000000004">
      <c r="B933" s="6"/>
    </row>
    <row r="934" spans="2:2" ht="14.25" customHeight="1" x14ac:dyDescent="0.55000000000000004">
      <c r="B934" s="6"/>
    </row>
    <row r="935" spans="2:2" ht="14.25" customHeight="1" x14ac:dyDescent="0.55000000000000004">
      <c r="B935" s="6"/>
    </row>
    <row r="936" spans="2:2" ht="14.25" customHeight="1" x14ac:dyDescent="0.55000000000000004">
      <c r="B936" s="6"/>
    </row>
    <row r="937" spans="2:2" ht="14.25" customHeight="1" x14ac:dyDescent="0.55000000000000004">
      <c r="B937" s="6"/>
    </row>
    <row r="938" spans="2:2" ht="14.25" customHeight="1" x14ac:dyDescent="0.55000000000000004">
      <c r="B938" s="6"/>
    </row>
    <row r="939" spans="2:2" ht="14.25" customHeight="1" x14ac:dyDescent="0.55000000000000004">
      <c r="B939" s="6"/>
    </row>
    <row r="940" spans="2:2" ht="14.25" customHeight="1" x14ac:dyDescent="0.55000000000000004">
      <c r="B940" s="6"/>
    </row>
    <row r="941" spans="2:2" ht="14.25" customHeight="1" x14ac:dyDescent="0.55000000000000004">
      <c r="B941" s="6"/>
    </row>
    <row r="942" spans="2:2" ht="14.25" customHeight="1" x14ac:dyDescent="0.55000000000000004">
      <c r="B942" s="6"/>
    </row>
    <row r="943" spans="2:2" ht="14.25" customHeight="1" x14ac:dyDescent="0.55000000000000004">
      <c r="B943" s="6"/>
    </row>
    <row r="944" spans="2:2" ht="14.25" customHeight="1" x14ac:dyDescent="0.55000000000000004">
      <c r="B944" s="6"/>
    </row>
    <row r="945" spans="2:2" ht="14.25" customHeight="1" x14ac:dyDescent="0.55000000000000004">
      <c r="B945" s="6"/>
    </row>
    <row r="946" spans="2:2" ht="14.25" customHeight="1" x14ac:dyDescent="0.55000000000000004">
      <c r="B946" s="6"/>
    </row>
    <row r="947" spans="2:2" ht="14.25" customHeight="1" x14ac:dyDescent="0.55000000000000004">
      <c r="B947" s="6"/>
    </row>
    <row r="948" spans="2:2" ht="14.25" customHeight="1" x14ac:dyDescent="0.55000000000000004">
      <c r="B948" s="6"/>
    </row>
    <row r="949" spans="2:2" ht="14.25" customHeight="1" x14ac:dyDescent="0.55000000000000004">
      <c r="B949" s="6"/>
    </row>
    <row r="950" spans="2:2" ht="14.25" customHeight="1" x14ac:dyDescent="0.55000000000000004">
      <c r="B950" s="6"/>
    </row>
    <row r="951" spans="2:2" ht="14.25" customHeight="1" x14ac:dyDescent="0.55000000000000004">
      <c r="B951" s="6"/>
    </row>
    <row r="952" spans="2:2" ht="14.25" customHeight="1" x14ac:dyDescent="0.55000000000000004">
      <c r="B952" s="6"/>
    </row>
    <row r="953" spans="2:2" ht="14.25" customHeight="1" x14ac:dyDescent="0.55000000000000004">
      <c r="B953" s="6"/>
    </row>
    <row r="954" spans="2:2" ht="14.25" customHeight="1" x14ac:dyDescent="0.55000000000000004">
      <c r="B954" s="6"/>
    </row>
    <row r="955" spans="2:2" ht="14.25" customHeight="1" x14ac:dyDescent="0.55000000000000004">
      <c r="B955" s="6"/>
    </row>
    <row r="956" spans="2:2" ht="14.25" customHeight="1" x14ac:dyDescent="0.55000000000000004">
      <c r="B956" s="6"/>
    </row>
    <row r="957" spans="2:2" ht="14.25" customHeight="1" x14ac:dyDescent="0.55000000000000004">
      <c r="B957" s="6"/>
    </row>
    <row r="958" spans="2:2" ht="14.25" customHeight="1" x14ac:dyDescent="0.55000000000000004">
      <c r="B958" s="6"/>
    </row>
    <row r="959" spans="2:2" ht="14.25" customHeight="1" x14ac:dyDescent="0.55000000000000004">
      <c r="B959" s="6"/>
    </row>
    <row r="960" spans="2:2" ht="14.25" customHeight="1" x14ac:dyDescent="0.55000000000000004">
      <c r="B960" s="6"/>
    </row>
    <row r="961" spans="2:2" ht="14.25" customHeight="1" x14ac:dyDescent="0.55000000000000004">
      <c r="B961" s="6"/>
    </row>
    <row r="962" spans="2:2" ht="14.25" customHeight="1" x14ac:dyDescent="0.55000000000000004">
      <c r="B962" s="6"/>
    </row>
    <row r="963" spans="2:2" ht="14.25" customHeight="1" x14ac:dyDescent="0.55000000000000004">
      <c r="B963" s="6"/>
    </row>
    <row r="964" spans="2:2" ht="14.25" customHeight="1" x14ac:dyDescent="0.55000000000000004">
      <c r="B964" s="6"/>
    </row>
    <row r="965" spans="2:2" ht="14.25" customHeight="1" x14ac:dyDescent="0.55000000000000004">
      <c r="B965" s="6"/>
    </row>
    <row r="966" spans="2:2" ht="14.25" customHeight="1" x14ac:dyDescent="0.55000000000000004">
      <c r="B966" s="6"/>
    </row>
    <row r="967" spans="2:2" ht="14.25" customHeight="1" x14ac:dyDescent="0.55000000000000004">
      <c r="B967" s="6"/>
    </row>
    <row r="968" spans="2:2" ht="14.25" customHeight="1" x14ac:dyDescent="0.55000000000000004">
      <c r="B968" s="6"/>
    </row>
    <row r="969" spans="2:2" ht="14.25" customHeight="1" x14ac:dyDescent="0.55000000000000004">
      <c r="B969" s="6"/>
    </row>
    <row r="970" spans="2:2" ht="14.25" customHeight="1" x14ac:dyDescent="0.55000000000000004">
      <c r="B970" s="6"/>
    </row>
    <row r="971" spans="2:2" ht="14.25" customHeight="1" x14ac:dyDescent="0.55000000000000004">
      <c r="B971" s="6"/>
    </row>
    <row r="972" spans="2:2" ht="14.25" customHeight="1" x14ac:dyDescent="0.55000000000000004">
      <c r="B972" s="6"/>
    </row>
  </sheetData>
  <mergeCells count="2">
    <mergeCell ref="A1:I1"/>
    <mergeCell ref="A19:I19"/>
  </mergeCells>
  <pageMargins left="0.7" right="0.7" top="0.75" bottom="0.75" header="0" footer="0"/>
  <pageSetup scale="72"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M1000"/>
  <sheetViews>
    <sheetView workbookViewId="0"/>
  </sheetViews>
  <sheetFormatPr defaultColWidth="14.41796875" defaultRowHeight="15" customHeight="1" x14ac:dyDescent="0.55000000000000004"/>
  <cols>
    <col min="1" max="1" width="4.15625" customWidth="1"/>
    <col min="2" max="2" width="19.26171875" customWidth="1"/>
    <col min="3" max="3" width="28.15625" customWidth="1"/>
    <col min="4" max="4" width="9.68359375" customWidth="1"/>
    <col min="5" max="5" width="8.578125" customWidth="1"/>
    <col min="6" max="6" width="9.15625" customWidth="1"/>
    <col min="7" max="7" width="13.15625" customWidth="1"/>
    <col min="8" max="8" width="3.26171875" customWidth="1"/>
    <col min="9" max="9" width="10.26171875" customWidth="1"/>
    <col min="10" max="12" width="7.68359375" customWidth="1"/>
    <col min="13" max="13" width="9.15625" customWidth="1"/>
  </cols>
  <sheetData>
    <row r="1" spans="1:13" ht="14.25" customHeight="1" x14ac:dyDescent="0.55000000000000004">
      <c r="A1" s="6"/>
      <c r="C1" s="13" t="s">
        <v>47</v>
      </c>
      <c r="D1" s="14" t="s">
        <v>48</v>
      </c>
      <c r="E1" s="14" t="s">
        <v>48</v>
      </c>
      <c r="F1" s="6"/>
      <c r="G1" s="6"/>
      <c r="L1" s="6"/>
      <c r="M1" s="6"/>
    </row>
    <row r="2" spans="1:13" ht="32.25" customHeight="1" x14ac:dyDescent="0.55000000000000004">
      <c r="A2" s="165" t="s">
        <v>49</v>
      </c>
      <c r="B2" s="166" t="s">
        <v>50</v>
      </c>
      <c r="C2" s="166" t="s">
        <v>9</v>
      </c>
      <c r="D2" s="15" t="s">
        <v>62</v>
      </c>
      <c r="E2" s="15" t="s">
        <v>63</v>
      </c>
      <c r="F2" s="167" t="s">
        <v>51</v>
      </c>
      <c r="G2" s="167" t="s">
        <v>52</v>
      </c>
      <c r="I2" s="16"/>
      <c r="J2" s="164"/>
      <c r="K2" s="114"/>
      <c r="L2" s="115"/>
    </row>
    <row r="3" spans="1:13" ht="14.25" customHeight="1" x14ac:dyDescent="0.55000000000000004">
      <c r="A3" s="150"/>
      <c r="B3" s="150"/>
      <c r="C3" s="150"/>
      <c r="D3" s="17">
        <v>1</v>
      </c>
      <c r="E3" s="17">
        <v>1</v>
      </c>
      <c r="F3" s="150"/>
      <c r="G3" s="150"/>
      <c r="I3" s="16" t="s">
        <v>48</v>
      </c>
      <c r="J3" s="164" t="s">
        <v>53</v>
      </c>
      <c r="K3" s="114"/>
      <c r="L3" s="115"/>
    </row>
    <row r="4" spans="1:13" ht="15.75" customHeight="1" x14ac:dyDescent="0.55000000000000004">
      <c r="A4" s="18">
        <v>1</v>
      </c>
      <c r="B4" s="19" t="e">
        <f>IF(#REF!="","",#REF!)</f>
        <v>#REF!</v>
      </c>
      <c r="C4" s="19" t="e">
        <f>IF(#REF!="","",#REF!)</f>
        <v>#REF!</v>
      </c>
      <c r="D4" s="36" t="e">
        <f t="array" ref="D4">IF(#REF!="","", INDEX('SO4 Rubric'!$H$4:$ZZ$4, 1, (ROW()-4)*2+1))</f>
        <v>#REF!</v>
      </c>
      <c r="E4" s="20" t="e">
        <f t="array" ref="E4">IF(#REF!="","", INDEX('SO4 Rubric'!$H$8:$ZZ$8, 1, (ROW()-4)*2+1))</f>
        <v>#REF!</v>
      </c>
      <c r="F4" s="21" t="e">
        <f t="shared" ref="F4:F23" si="0">IF(SUMPRODUCT(--(D4:E4&lt;&gt;""))=0,"",ROUND(SUMPRODUCT($D$3:$E$3,D4:E4)/COUNTIF($D$3:$E$3,1),0))</f>
        <v>#REF!</v>
      </c>
      <c r="G4" s="20" t="e">
        <f>IF(F4=""," ",VLOOKUP(F4,'Lookup Tables'!$D$9:$E$12,2))</f>
        <v>#REF!</v>
      </c>
    </row>
    <row r="5" spans="1:13" ht="17.25" customHeight="1" x14ac:dyDescent="0.55000000000000004">
      <c r="A5" s="18">
        <v>2</v>
      </c>
      <c r="B5" s="19" t="e">
        <f>IF(#REF!="","",#REF!)</f>
        <v>#REF!</v>
      </c>
      <c r="C5" s="19" t="e">
        <f>IF(#REF!="","",#REF!)</f>
        <v>#REF!</v>
      </c>
      <c r="D5" s="36" t="e">
        <f t="array" ref="D5">IF(#REF!="","", INDEX('SO4 Rubric'!$H$4:$ZZ$4, 1, (ROW()-4)*2+1))</f>
        <v>#REF!</v>
      </c>
      <c r="E5" s="20" t="e">
        <f t="array" ref="E5">IF(#REF!="","", INDEX('SO4 Rubric'!$H$8:$ZZ$8, 1, (ROW()-4)*2+1))</f>
        <v>#REF!</v>
      </c>
      <c r="F5" s="21" t="e">
        <f t="shared" si="0"/>
        <v>#REF!</v>
      </c>
      <c r="G5" s="20" t="e">
        <f>IF(F5=""," ",VLOOKUP(F5,'Lookup Tables'!$D$9:$E$12,2))</f>
        <v>#REF!</v>
      </c>
      <c r="I5" s="22"/>
      <c r="J5" s="22"/>
      <c r="K5" s="22"/>
      <c r="L5" s="22"/>
      <c r="M5" s="22"/>
    </row>
    <row r="6" spans="1:13" ht="17.25" customHeight="1" x14ac:dyDescent="0.55000000000000004">
      <c r="A6" s="18">
        <v>3</v>
      </c>
      <c r="B6" s="19" t="e">
        <f>IF(#REF!="","",#REF!)</f>
        <v>#REF!</v>
      </c>
      <c r="C6" s="19" t="e">
        <f>IF(#REF!="","",#REF!)</f>
        <v>#REF!</v>
      </c>
      <c r="D6" s="36" t="e">
        <f t="array" ref="D6">IF(#REF!="","", INDEX('SO4 Rubric'!$H$4:$ZZ$4, 1, (ROW()-4)*2+1))</f>
        <v>#REF!</v>
      </c>
      <c r="E6" s="20" t="e">
        <f t="array" ref="E6">IF(#REF!="","", INDEX('SO4 Rubric'!$H$8:$ZZ$8, 1, (ROW()-4)*2+1))</f>
        <v>#REF!</v>
      </c>
      <c r="F6" s="21" t="e">
        <f t="shared" si="0"/>
        <v>#REF!</v>
      </c>
      <c r="G6" s="20" t="e">
        <f>IF(F6=""," ",VLOOKUP(F6,'Lookup Tables'!$D$9:$E$12,2))</f>
        <v>#REF!</v>
      </c>
      <c r="I6" s="22"/>
      <c r="J6" s="22"/>
      <c r="K6" s="22"/>
      <c r="L6" s="22"/>
      <c r="M6" s="22"/>
    </row>
    <row r="7" spans="1:13" ht="17.25" customHeight="1" x14ac:dyDescent="0.55000000000000004">
      <c r="A7" s="18">
        <v>4</v>
      </c>
      <c r="B7" s="19" t="e">
        <f>IF(#REF!="","",#REF!)</f>
        <v>#REF!</v>
      </c>
      <c r="C7" s="19" t="e">
        <f>IF(#REF!="","",#REF!)</f>
        <v>#REF!</v>
      </c>
      <c r="D7" s="36" t="e">
        <f t="array" ref="D7">IF(#REF!="","", INDEX('SO4 Rubric'!$H$4:$ZZ$4, 1, (ROW()-4)*2+1))</f>
        <v>#REF!</v>
      </c>
      <c r="E7" s="20" t="e">
        <f t="array" ref="E7">IF(#REF!="","", INDEX('SO4 Rubric'!$H$8:$ZZ$8, 1, (ROW()-4)*2+1))</f>
        <v>#REF!</v>
      </c>
      <c r="F7" s="21" t="e">
        <f t="shared" si="0"/>
        <v>#REF!</v>
      </c>
      <c r="G7" s="20" t="e">
        <f>IF(F7=""," ",VLOOKUP(F7,'Lookup Tables'!$D$9:$E$12,2))</f>
        <v>#REF!</v>
      </c>
      <c r="I7" s="22"/>
      <c r="J7" s="22"/>
      <c r="K7" s="22"/>
      <c r="L7" s="22"/>
      <c r="M7" s="22"/>
    </row>
    <row r="8" spans="1:13" ht="17.25" customHeight="1" x14ac:dyDescent="0.55000000000000004">
      <c r="A8" s="18">
        <v>5</v>
      </c>
      <c r="B8" s="19" t="e">
        <f>IF(#REF!="","",#REF!)</f>
        <v>#REF!</v>
      </c>
      <c r="C8" s="19" t="e">
        <f>IF(#REF!="","",#REF!)</f>
        <v>#REF!</v>
      </c>
      <c r="D8" s="36" t="e">
        <f t="array" ref="D8">IF(#REF!="","", INDEX('SO4 Rubric'!$H$4:$ZZ$4, 1, (ROW()-4)*2+1))</f>
        <v>#REF!</v>
      </c>
      <c r="E8" s="20" t="e">
        <f t="array" ref="E8">IF(#REF!="","", INDEX('SO4 Rubric'!$H$8:$ZZ$8, 1, (ROW()-4)*2+1))</f>
        <v>#REF!</v>
      </c>
      <c r="F8" s="21" t="e">
        <f t="shared" si="0"/>
        <v>#REF!</v>
      </c>
      <c r="G8" s="20" t="e">
        <f>IF(F8=""," ",VLOOKUP(F8,'Lookup Tables'!$D$9:$E$12,2))</f>
        <v>#REF!</v>
      </c>
      <c r="I8" s="22"/>
      <c r="J8" s="22"/>
      <c r="K8" s="22"/>
      <c r="L8" s="22"/>
      <c r="M8" s="22"/>
    </row>
    <row r="9" spans="1:13" ht="17.25" customHeight="1" x14ac:dyDescent="0.55000000000000004">
      <c r="A9" s="18">
        <v>6</v>
      </c>
      <c r="B9" s="19" t="e">
        <f>IF(#REF!="","",#REF!)</f>
        <v>#REF!</v>
      </c>
      <c r="C9" s="19" t="e">
        <f>IF(#REF!="","",#REF!)</f>
        <v>#REF!</v>
      </c>
      <c r="D9" s="36" t="e">
        <f t="array" ref="D9">IF(#REF!="","", INDEX('SO4 Rubric'!$H$4:$ZZ$4, 1, (ROW()-4)*2+1))</f>
        <v>#REF!</v>
      </c>
      <c r="E9" s="20" t="e">
        <f t="array" ref="E9">IF(#REF!="","", INDEX('SO4 Rubric'!$H$8:$ZZ$8, 1, (ROW()-4)*2+1))</f>
        <v>#REF!</v>
      </c>
      <c r="F9" s="21" t="e">
        <f t="shared" si="0"/>
        <v>#REF!</v>
      </c>
      <c r="G9" s="20" t="e">
        <f>IF(F9=""," ",VLOOKUP(F9,'Lookup Tables'!$D$9:$E$12,2))</f>
        <v>#REF!</v>
      </c>
      <c r="I9" s="22"/>
      <c r="J9" s="22"/>
      <c r="K9" s="22"/>
      <c r="L9" s="22"/>
      <c r="M9" s="22"/>
    </row>
    <row r="10" spans="1:13" ht="17.25" customHeight="1" x14ac:dyDescent="0.55000000000000004">
      <c r="A10" s="18">
        <v>7</v>
      </c>
      <c r="B10" s="19" t="e">
        <f>IF(#REF!="","",#REF!)</f>
        <v>#REF!</v>
      </c>
      <c r="C10" s="19" t="e">
        <f>IF(#REF!="","",#REF!)</f>
        <v>#REF!</v>
      </c>
      <c r="D10" s="36" t="e">
        <f t="array" ref="D10">IF(#REF!="","", INDEX('SO4 Rubric'!$H$4:$ZZ$4, 1, (ROW()-4)*2+1))</f>
        <v>#REF!</v>
      </c>
      <c r="E10" s="20" t="e">
        <f t="array" ref="E10">IF(#REF!="","", INDEX('SO4 Rubric'!$H$8:$ZZ$8, 1, (ROW()-4)*2+1))</f>
        <v>#REF!</v>
      </c>
      <c r="F10" s="21" t="e">
        <f t="shared" si="0"/>
        <v>#REF!</v>
      </c>
      <c r="G10" s="20" t="e">
        <f>IF(F10=""," ",VLOOKUP(F10,'Lookup Tables'!$D$9:$E$12,2))</f>
        <v>#REF!</v>
      </c>
    </row>
    <row r="11" spans="1:13" ht="17.25" customHeight="1" x14ac:dyDescent="0.55000000000000004">
      <c r="A11" s="18">
        <v>8</v>
      </c>
      <c r="B11" s="19" t="e">
        <f>IF(#REF!="","",#REF!)</f>
        <v>#REF!</v>
      </c>
      <c r="C11" s="19" t="e">
        <f>IF(#REF!="","",#REF!)</f>
        <v>#REF!</v>
      </c>
      <c r="D11" s="36" t="e">
        <f t="array" ref="D11">IF(#REF!="","", INDEX('SO4 Rubric'!$H$4:$ZZ$4, 1, (ROW()-4)*2+1))</f>
        <v>#REF!</v>
      </c>
      <c r="E11" s="20" t="e">
        <f t="array" ref="E11">IF(#REF!="","", INDEX('SO4 Rubric'!$H$8:$ZZ$8, 1, (ROW()-4)*2+1))</f>
        <v>#REF!</v>
      </c>
      <c r="F11" s="21" t="e">
        <f t="shared" si="0"/>
        <v>#REF!</v>
      </c>
      <c r="G11" s="20" t="e">
        <f>IF(F11=""," ",VLOOKUP(F11,'Lookup Tables'!$D$9:$E$12,2))</f>
        <v>#REF!</v>
      </c>
      <c r="H11" s="23" t="str">
        <f t="shared" ref="H11:K11" si="1">IF(ISBLANK(#REF!),"",IFERROR(ROUND(3*(#REF!/#REF!),0),""))</f>
        <v/>
      </c>
      <c r="I11" s="6" t="str">
        <f t="shared" si="1"/>
        <v/>
      </c>
      <c r="J11" s="6" t="str">
        <f t="shared" si="1"/>
        <v/>
      </c>
      <c r="K11" s="6" t="str">
        <f t="shared" si="1"/>
        <v/>
      </c>
      <c r="L11" s="24" t="str">
        <f t="shared" ref="L11:L23" si="2">IF(SUMPRODUCT(--(H11:K11&lt;&gt;""))=0,"",SUMPRODUCT(#REF!,H11:K11)/COUNTIF(#REF!,1))</f>
        <v/>
      </c>
      <c r="M11" s="25" t="str">
        <f t="shared" ref="M11:M23" si="3">IF(L11="","",L11/3)</f>
        <v/>
      </c>
    </row>
    <row r="12" spans="1:13" ht="17.25" customHeight="1" x14ac:dyDescent="0.55000000000000004">
      <c r="A12" s="18">
        <v>9</v>
      </c>
      <c r="B12" s="19" t="e">
        <f>IF(#REF!="","",#REF!)</f>
        <v>#REF!</v>
      </c>
      <c r="C12" s="19" t="e">
        <f>IF(#REF!="","",#REF!)</f>
        <v>#REF!</v>
      </c>
      <c r="D12" s="36" t="e">
        <f t="array" ref="D12">IF(#REF!="","", INDEX('SO4 Rubric'!$H$4:$ZZ$4, 1, (ROW()-4)*2+1))</f>
        <v>#REF!</v>
      </c>
      <c r="E12" s="20" t="e">
        <f t="array" ref="E12">IF(#REF!="","", INDEX('SO4 Rubric'!$H$8:$ZZ$8, 1, (ROW()-4)*2+1))</f>
        <v>#REF!</v>
      </c>
      <c r="F12" s="21" t="e">
        <f t="shared" si="0"/>
        <v>#REF!</v>
      </c>
      <c r="G12" s="20" t="e">
        <f>IF(F12=""," ",VLOOKUP(F12,'Lookup Tables'!$D$9:$E$12,2))</f>
        <v>#REF!</v>
      </c>
      <c r="H12" s="23" t="str">
        <f t="shared" ref="H12:K12" si="4">IF(ISBLANK(#REF!),"",IFERROR(ROUND(3*(#REF!/#REF!),0),""))</f>
        <v/>
      </c>
      <c r="I12" s="6" t="str">
        <f t="shared" si="4"/>
        <v/>
      </c>
      <c r="J12" s="6" t="str">
        <f t="shared" si="4"/>
        <v/>
      </c>
      <c r="K12" s="6" t="str">
        <f t="shared" si="4"/>
        <v/>
      </c>
      <c r="L12" s="24" t="str">
        <f t="shared" si="2"/>
        <v/>
      </c>
      <c r="M12" s="25" t="str">
        <f t="shared" si="3"/>
        <v/>
      </c>
    </row>
    <row r="13" spans="1:13" ht="17.25" customHeight="1" x14ac:dyDescent="0.55000000000000004">
      <c r="A13" s="18">
        <v>10</v>
      </c>
      <c r="B13" s="19" t="e">
        <f>IF(#REF!="","",#REF!)</f>
        <v>#REF!</v>
      </c>
      <c r="C13" s="19" t="e">
        <f>IF(#REF!="","",#REF!)</f>
        <v>#REF!</v>
      </c>
      <c r="D13" s="36" t="e">
        <f t="array" ref="D13">IF(#REF!="","", INDEX('SO4 Rubric'!$H$4:$ZZ$4, 1, (ROW()-4)*2+1))</f>
        <v>#REF!</v>
      </c>
      <c r="E13" s="20" t="e">
        <f t="array" ref="E13">IF(#REF!="","", INDEX('SO4 Rubric'!$H$8:$ZZ$8, 1, (ROW()-4)*2+1))</f>
        <v>#REF!</v>
      </c>
      <c r="F13" s="21" t="e">
        <f t="shared" si="0"/>
        <v>#REF!</v>
      </c>
      <c r="G13" s="20" t="e">
        <f>IF(F13=""," ",VLOOKUP(F13,'Lookup Tables'!$D$9:$E$12,2))</f>
        <v>#REF!</v>
      </c>
      <c r="H13" s="26" t="str">
        <f t="shared" ref="H13:K13" si="5">IF(ISBLANK(#REF!),"",IFERROR(ROUND(3*(#REF!/#REF!),0),""))</f>
        <v/>
      </c>
      <c r="I13" s="6" t="str">
        <f t="shared" si="5"/>
        <v/>
      </c>
      <c r="J13" s="6" t="str">
        <f t="shared" si="5"/>
        <v/>
      </c>
      <c r="K13" s="6" t="str">
        <f t="shared" si="5"/>
        <v/>
      </c>
      <c r="L13" s="24" t="str">
        <f t="shared" si="2"/>
        <v/>
      </c>
      <c r="M13" s="25" t="str">
        <f t="shared" si="3"/>
        <v/>
      </c>
    </row>
    <row r="14" spans="1:13" ht="17.25" customHeight="1" x14ac:dyDescent="0.55000000000000004">
      <c r="A14" s="18">
        <v>11</v>
      </c>
      <c r="B14" s="19" t="e">
        <f>IF(#REF!="","",#REF!)</f>
        <v>#REF!</v>
      </c>
      <c r="C14" s="19" t="e">
        <f>IF(#REF!="","",#REF!)</f>
        <v>#REF!</v>
      </c>
      <c r="D14" s="36" t="e">
        <f t="array" ref="D14">IF(#REF!="","", INDEX('SO4 Rubric'!$H$4:$ZZ$4, 1, (ROW()-4)*2+1))</f>
        <v>#REF!</v>
      </c>
      <c r="E14" s="20" t="e">
        <f t="array" ref="E14">IF(#REF!="","", INDEX('SO4 Rubric'!$H$8:$ZZ$8, 1, (ROW()-4)*2+1))</f>
        <v>#REF!</v>
      </c>
      <c r="F14" s="21" t="e">
        <f t="shared" si="0"/>
        <v>#REF!</v>
      </c>
      <c r="G14" s="20" t="e">
        <f>IF(F14=""," ",VLOOKUP(F14,'Lookup Tables'!$D$9:$E$12,2))</f>
        <v>#REF!</v>
      </c>
      <c r="H14" s="6" t="str">
        <f t="shared" ref="H14:K14" si="6">IF(ISBLANK(#REF!),"",IFERROR(ROUND(3*(#REF!/#REF!),0),""))</f>
        <v/>
      </c>
      <c r="I14" s="6" t="str">
        <f t="shared" si="6"/>
        <v/>
      </c>
      <c r="J14" s="6" t="str">
        <f t="shared" si="6"/>
        <v/>
      </c>
      <c r="K14" s="6" t="str">
        <f t="shared" si="6"/>
        <v/>
      </c>
      <c r="L14" s="24" t="str">
        <f t="shared" si="2"/>
        <v/>
      </c>
      <c r="M14" s="25" t="str">
        <f t="shared" si="3"/>
        <v/>
      </c>
    </row>
    <row r="15" spans="1:13" ht="17.25" customHeight="1" x14ac:dyDescent="0.55000000000000004">
      <c r="A15" s="18">
        <v>12</v>
      </c>
      <c r="B15" s="19" t="e">
        <f>IF(#REF!="","",#REF!)</f>
        <v>#REF!</v>
      </c>
      <c r="C15" s="19" t="e">
        <f>IF(#REF!="","",#REF!)</f>
        <v>#REF!</v>
      </c>
      <c r="D15" s="36" t="e">
        <f t="array" ref="D15">IF(#REF!="","", INDEX('SO4 Rubric'!$H$4:$ZZ$4, 1, (ROW()-4)*2+1))</f>
        <v>#REF!</v>
      </c>
      <c r="E15" s="20" t="e">
        <f t="array" ref="E15">IF(#REF!="","", INDEX('SO4 Rubric'!$H$8:$ZZ$8, 1, (ROW()-4)*2+1))</f>
        <v>#REF!</v>
      </c>
      <c r="F15" s="21" t="e">
        <f t="shared" si="0"/>
        <v>#REF!</v>
      </c>
      <c r="G15" s="20" t="e">
        <f>IF(F15=""," ",VLOOKUP(F15,'Lookup Tables'!$D$9:$E$12,2))</f>
        <v>#REF!</v>
      </c>
      <c r="H15" s="6" t="str">
        <f t="shared" ref="H15:K15" si="7">IF(ISBLANK(#REF!),"",IFERROR(ROUND(3*(#REF!/#REF!),0),""))</f>
        <v/>
      </c>
      <c r="I15" s="6" t="str">
        <f t="shared" si="7"/>
        <v/>
      </c>
      <c r="J15" s="6" t="str">
        <f t="shared" si="7"/>
        <v/>
      </c>
      <c r="K15" s="6" t="str">
        <f t="shared" si="7"/>
        <v/>
      </c>
      <c r="L15" s="24" t="str">
        <f t="shared" si="2"/>
        <v/>
      </c>
      <c r="M15" s="25" t="str">
        <f t="shared" si="3"/>
        <v/>
      </c>
    </row>
    <row r="16" spans="1:13" ht="14.25" customHeight="1" x14ac:dyDescent="0.55000000000000004">
      <c r="A16" s="18">
        <v>13</v>
      </c>
      <c r="B16" s="19" t="e">
        <f>IF(#REF!="","",#REF!)</f>
        <v>#REF!</v>
      </c>
      <c r="C16" s="19" t="e">
        <f>IF(#REF!="","",#REF!)</f>
        <v>#REF!</v>
      </c>
      <c r="D16" s="36" t="e">
        <f t="array" ref="D16">IF(#REF!="","", INDEX('SO4 Rubric'!$H$4:$ZZ$4, 1, (ROW()-4)*2+1))</f>
        <v>#REF!</v>
      </c>
      <c r="E16" s="20" t="e">
        <f t="array" ref="E16">IF(#REF!="","", INDEX('SO4 Rubric'!$H$8:$ZZ$8, 1, (ROW()-4)*2+1))</f>
        <v>#REF!</v>
      </c>
      <c r="F16" s="21" t="e">
        <f t="shared" si="0"/>
        <v>#REF!</v>
      </c>
      <c r="G16" s="20" t="e">
        <f>IF(F16=""," ",VLOOKUP(F16,'Lookup Tables'!$D$9:$E$12,2))</f>
        <v>#REF!</v>
      </c>
      <c r="H16" s="6" t="str">
        <f t="shared" ref="H16:K16" si="8">IF(ISBLANK(#REF!),"",IFERROR(ROUND(3*(#REF!/#REF!),0),""))</f>
        <v/>
      </c>
      <c r="I16" s="6" t="str">
        <f t="shared" si="8"/>
        <v/>
      </c>
      <c r="J16" s="6" t="str">
        <f t="shared" si="8"/>
        <v/>
      </c>
      <c r="K16" s="6" t="str">
        <f t="shared" si="8"/>
        <v/>
      </c>
      <c r="L16" s="24" t="str">
        <f t="shared" si="2"/>
        <v/>
      </c>
      <c r="M16" s="25" t="str">
        <f t="shared" si="3"/>
        <v/>
      </c>
    </row>
    <row r="17" spans="1:13" ht="14.25" customHeight="1" x14ac:dyDescent="0.55000000000000004">
      <c r="A17" s="18">
        <v>14</v>
      </c>
      <c r="B17" s="19" t="e">
        <f>IF(#REF!="","",#REF!)</f>
        <v>#REF!</v>
      </c>
      <c r="C17" s="19" t="e">
        <f>IF(#REF!="","",#REF!)</f>
        <v>#REF!</v>
      </c>
      <c r="D17" s="36" t="e">
        <f t="array" ref="D17">IF(#REF!="","", INDEX('SO4 Rubric'!$H$4:$ZZ$4, 1, (ROW()-4)*2+1))</f>
        <v>#REF!</v>
      </c>
      <c r="E17" s="20" t="e">
        <f t="array" ref="E17">IF(#REF!="","", INDEX('SO4 Rubric'!$H$8:$ZZ$8, 1, (ROW()-4)*2+1))</f>
        <v>#REF!</v>
      </c>
      <c r="F17" s="21" t="e">
        <f t="shared" si="0"/>
        <v>#REF!</v>
      </c>
      <c r="G17" s="20" t="e">
        <f>IF(F17=""," ",VLOOKUP(F17,'Lookup Tables'!$D$9:$E$12,2))</f>
        <v>#REF!</v>
      </c>
      <c r="H17" s="6" t="str">
        <f t="shared" ref="H17:K17" si="9">IF(ISBLANK(#REF!),"",IFERROR(ROUND(3*(#REF!/#REF!),0),""))</f>
        <v/>
      </c>
      <c r="I17" s="6" t="str">
        <f t="shared" si="9"/>
        <v/>
      </c>
      <c r="J17" s="6" t="str">
        <f t="shared" si="9"/>
        <v/>
      </c>
      <c r="K17" s="6" t="str">
        <f t="shared" si="9"/>
        <v/>
      </c>
      <c r="L17" s="24" t="str">
        <f t="shared" si="2"/>
        <v/>
      </c>
      <c r="M17" s="25" t="str">
        <f t="shared" si="3"/>
        <v/>
      </c>
    </row>
    <row r="18" spans="1:13" ht="14.25" customHeight="1" x14ac:dyDescent="0.55000000000000004">
      <c r="A18" s="18">
        <v>15</v>
      </c>
      <c r="B18" s="19" t="e">
        <f>IF(#REF!="","",#REF!)</f>
        <v>#REF!</v>
      </c>
      <c r="C18" s="19" t="e">
        <f>IF(#REF!="","",#REF!)</f>
        <v>#REF!</v>
      </c>
      <c r="D18" s="36" t="e">
        <f t="array" ref="D18">IF(#REF!="","", INDEX('SO4 Rubric'!$H$4:$ZZ$4, 1, (ROW()-4)*2+1))</f>
        <v>#REF!</v>
      </c>
      <c r="E18" s="20" t="e">
        <f t="array" ref="E18">IF(#REF!="","", INDEX('SO4 Rubric'!$H$8:$ZZ$8, 1, (ROW()-4)*2+1))</f>
        <v>#REF!</v>
      </c>
      <c r="F18" s="21" t="e">
        <f t="shared" si="0"/>
        <v>#REF!</v>
      </c>
      <c r="G18" s="20" t="e">
        <f>IF(F18=""," ",VLOOKUP(F18,'Lookup Tables'!$D$9:$E$12,2))</f>
        <v>#REF!</v>
      </c>
      <c r="H18" s="6" t="str">
        <f t="shared" ref="H18:K18" si="10">IF(ISBLANK(#REF!),"",IFERROR(ROUND(3*(#REF!/#REF!),0),""))</f>
        <v/>
      </c>
      <c r="I18" s="6" t="str">
        <f t="shared" si="10"/>
        <v/>
      </c>
      <c r="J18" s="6" t="str">
        <f t="shared" si="10"/>
        <v/>
      </c>
      <c r="K18" s="6" t="str">
        <f t="shared" si="10"/>
        <v/>
      </c>
      <c r="L18" s="24" t="str">
        <f t="shared" si="2"/>
        <v/>
      </c>
      <c r="M18" s="25" t="str">
        <f t="shared" si="3"/>
        <v/>
      </c>
    </row>
    <row r="19" spans="1:13" ht="14.25" customHeight="1" x14ac:dyDescent="0.55000000000000004">
      <c r="A19" s="18">
        <v>16</v>
      </c>
      <c r="B19" s="19" t="e">
        <f>IF(#REF!="","",#REF!)</f>
        <v>#REF!</v>
      </c>
      <c r="C19" s="19" t="e">
        <f>IF(#REF!="","",#REF!)</f>
        <v>#REF!</v>
      </c>
      <c r="D19" s="36" t="e">
        <f t="array" ref="D19">IF(#REF!="","", INDEX('SO4 Rubric'!$H$4:$ZZ$4, 1, (ROW()-4)*2+1))</f>
        <v>#REF!</v>
      </c>
      <c r="E19" s="20" t="e">
        <f t="array" ref="E19">IF(#REF!="","", INDEX('SO4 Rubric'!$H$8:$ZZ$8, 1, (ROW()-4)*2+1))</f>
        <v>#REF!</v>
      </c>
      <c r="F19" s="21" t="e">
        <f t="shared" si="0"/>
        <v>#REF!</v>
      </c>
      <c r="G19" s="20" t="e">
        <f>IF(F19=""," ",VLOOKUP(F19,'Lookup Tables'!$D$9:$E$12,2))</f>
        <v>#REF!</v>
      </c>
      <c r="H19" s="6" t="str">
        <f t="shared" ref="H19:K19" si="11">IF(ISBLANK(#REF!),"",IFERROR(ROUND(3*(#REF!/#REF!),0),""))</f>
        <v/>
      </c>
      <c r="I19" s="6" t="str">
        <f t="shared" si="11"/>
        <v/>
      </c>
      <c r="J19" s="6" t="str">
        <f t="shared" si="11"/>
        <v/>
      </c>
      <c r="K19" s="6" t="str">
        <f t="shared" si="11"/>
        <v/>
      </c>
      <c r="L19" s="24" t="str">
        <f t="shared" si="2"/>
        <v/>
      </c>
      <c r="M19" s="25" t="str">
        <f t="shared" si="3"/>
        <v/>
      </c>
    </row>
    <row r="20" spans="1:13" ht="14.25" customHeight="1" x14ac:dyDescent="0.55000000000000004">
      <c r="A20" s="18">
        <v>17</v>
      </c>
      <c r="B20" s="19" t="e">
        <f>IF(#REF!="","",#REF!)</f>
        <v>#REF!</v>
      </c>
      <c r="C20" s="19" t="e">
        <f>IF(#REF!="","",#REF!)</f>
        <v>#REF!</v>
      </c>
      <c r="D20" s="36" t="e">
        <f t="array" ref="D20">IF(#REF!="","", INDEX('SO4 Rubric'!$H$4:$ZZ$4, 1, (ROW()-4)*2+1))</f>
        <v>#REF!</v>
      </c>
      <c r="E20" s="20" t="e">
        <f t="array" ref="E20">IF(#REF!="","", INDEX('SO4 Rubric'!$H$8:$ZZ$8, 1, (ROW()-4)*2+1))</f>
        <v>#REF!</v>
      </c>
      <c r="F20" s="21" t="e">
        <f t="shared" si="0"/>
        <v>#REF!</v>
      </c>
      <c r="G20" s="20" t="e">
        <f>IF(F20=""," ",VLOOKUP(F20,'Lookup Tables'!$D$9:$E$12,2))</f>
        <v>#REF!</v>
      </c>
      <c r="H20" s="6" t="str">
        <f t="shared" ref="H20:K20" si="12">IF(ISBLANK(#REF!),"",IFERROR(ROUND(3*(#REF!/#REF!),0),""))</f>
        <v/>
      </c>
      <c r="I20" s="6" t="str">
        <f t="shared" si="12"/>
        <v/>
      </c>
      <c r="J20" s="6" t="str">
        <f t="shared" si="12"/>
        <v/>
      </c>
      <c r="K20" s="6" t="str">
        <f t="shared" si="12"/>
        <v/>
      </c>
      <c r="L20" s="24" t="str">
        <f t="shared" si="2"/>
        <v/>
      </c>
      <c r="M20" s="25" t="str">
        <f t="shared" si="3"/>
        <v/>
      </c>
    </row>
    <row r="21" spans="1:13" ht="14.25" customHeight="1" x14ac:dyDescent="0.55000000000000004">
      <c r="A21" s="18">
        <v>18</v>
      </c>
      <c r="B21" s="19" t="e">
        <f>IF(#REF!="","",#REF!)</f>
        <v>#REF!</v>
      </c>
      <c r="C21" s="19" t="e">
        <f>IF(#REF!="","",#REF!)</f>
        <v>#REF!</v>
      </c>
      <c r="D21" s="36" t="e">
        <f t="array" ref="D21">IF(#REF!="","", INDEX('SO4 Rubric'!$H$4:$ZZ$4, 1, (ROW()-4)*2+1))</f>
        <v>#REF!</v>
      </c>
      <c r="E21" s="20" t="e">
        <f t="array" ref="E21">IF(#REF!="","", INDEX('SO4 Rubric'!$H$8:$ZZ$8, 1, (ROW()-4)*2+1))</f>
        <v>#REF!</v>
      </c>
      <c r="F21" s="21" t="e">
        <f t="shared" si="0"/>
        <v>#REF!</v>
      </c>
      <c r="G21" s="20" t="e">
        <f>IF(F21=""," ",VLOOKUP(F21,'Lookup Tables'!$D$9:$E$12,2))</f>
        <v>#REF!</v>
      </c>
      <c r="H21" s="6" t="str">
        <f t="shared" ref="H21:K21" si="13">IF(ISBLANK(#REF!),"",IFERROR(ROUND(3*(#REF!/#REF!),0),""))</f>
        <v/>
      </c>
      <c r="I21" s="6" t="str">
        <f t="shared" si="13"/>
        <v/>
      </c>
      <c r="J21" s="6" t="str">
        <f t="shared" si="13"/>
        <v/>
      </c>
      <c r="K21" s="6" t="str">
        <f t="shared" si="13"/>
        <v/>
      </c>
      <c r="L21" s="24" t="str">
        <f t="shared" si="2"/>
        <v/>
      </c>
      <c r="M21" s="25" t="str">
        <f t="shared" si="3"/>
        <v/>
      </c>
    </row>
    <row r="22" spans="1:13" ht="14.25" customHeight="1" x14ac:dyDescent="0.55000000000000004">
      <c r="A22" s="18">
        <v>19</v>
      </c>
      <c r="B22" s="19" t="e">
        <f>IF(#REF!="","",#REF!)</f>
        <v>#REF!</v>
      </c>
      <c r="C22" s="19" t="e">
        <f>IF(#REF!="","",#REF!)</f>
        <v>#REF!</v>
      </c>
      <c r="D22" s="36" t="e">
        <f t="array" ref="D22">IF(#REF!="","", INDEX('SO4 Rubric'!$H$4:$ZZ$4, 1, (ROW()-4)*2+1))</f>
        <v>#REF!</v>
      </c>
      <c r="E22" s="20" t="e">
        <f t="array" ref="E22">IF(#REF!="","", INDEX('SO4 Rubric'!$H$8:$ZZ$8, 1, (ROW()-4)*2+1))</f>
        <v>#REF!</v>
      </c>
      <c r="F22" s="21" t="e">
        <f t="shared" si="0"/>
        <v>#REF!</v>
      </c>
      <c r="G22" s="20" t="e">
        <f>IF(F22=""," ",VLOOKUP(F22,'Lookup Tables'!$D$9:$E$12,2))</f>
        <v>#REF!</v>
      </c>
      <c r="H22" s="6" t="str">
        <f t="shared" ref="H22:K22" si="14">IF(ISBLANK(#REF!),"",IFERROR(ROUND(3*(#REF!/#REF!),0),""))</f>
        <v/>
      </c>
      <c r="I22" s="6" t="str">
        <f t="shared" si="14"/>
        <v/>
      </c>
      <c r="J22" s="6" t="str">
        <f t="shared" si="14"/>
        <v/>
      </c>
      <c r="K22" s="6" t="str">
        <f t="shared" si="14"/>
        <v/>
      </c>
      <c r="L22" s="24" t="str">
        <f t="shared" si="2"/>
        <v/>
      </c>
      <c r="M22" s="25" t="str">
        <f t="shared" si="3"/>
        <v/>
      </c>
    </row>
    <row r="23" spans="1:13" ht="14.25" customHeight="1" x14ac:dyDescent="0.55000000000000004">
      <c r="A23" s="18">
        <v>20</v>
      </c>
      <c r="B23" s="19" t="e">
        <f>IF(#REF!="","",#REF!)</f>
        <v>#REF!</v>
      </c>
      <c r="C23" s="19" t="e">
        <f>IF(#REF!="","",#REF!)</f>
        <v>#REF!</v>
      </c>
      <c r="D23" s="36" t="e">
        <f t="array" ref="D23">IF(#REF!="","", INDEX('SO4 Rubric'!$H$4:$ZZ$4, 1, (ROW()-4)*2+1))</f>
        <v>#REF!</v>
      </c>
      <c r="E23" s="20" t="e">
        <f t="array" ref="E23">IF(#REF!="","", INDEX('SO4 Rubric'!$H$8:$ZZ$8, 1, (ROW()-4)*2+1))</f>
        <v>#REF!</v>
      </c>
      <c r="F23" s="21" t="e">
        <f t="shared" si="0"/>
        <v>#REF!</v>
      </c>
      <c r="G23" s="20" t="e">
        <f>IF(F23=""," ",VLOOKUP(F23,'Lookup Tables'!$D$9:$E$12,2))</f>
        <v>#REF!</v>
      </c>
      <c r="H23" s="6" t="str">
        <f t="shared" ref="H23:K23" si="15">IF(ISBLANK(#REF!),"",IFERROR(ROUND(3*(#REF!/#REF!),0),""))</f>
        <v/>
      </c>
      <c r="I23" s="6" t="str">
        <f t="shared" si="15"/>
        <v/>
      </c>
      <c r="J23" s="6" t="str">
        <f t="shared" si="15"/>
        <v/>
      </c>
      <c r="K23" s="6" t="str">
        <f t="shared" si="15"/>
        <v/>
      </c>
      <c r="L23" s="24" t="str">
        <f t="shared" si="2"/>
        <v/>
      </c>
      <c r="M23" s="25" t="str">
        <f t="shared" si="3"/>
        <v/>
      </c>
    </row>
    <row r="24" spans="1:13" ht="14.25" customHeight="1" x14ac:dyDescent="0.6">
      <c r="A24" s="27"/>
      <c r="B24" s="28"/>
      <c r="C24" s="28"/>
      <c r="D24" s="168" t="s">
        <v>54</v>
      </c>
      <c r="E24" s="169"/>
      <c r="F24" s="170" t="s">
        <v>55</v>
      </c>
      <c r="G24" s="29" t="s">
        <v>56</v>
      </c>
      <c r="H24" s="30">
        <f>COUNTIF('SO4 Assessment Results'!$G$4:$G$23,G24)</f>
        <v>0</v>
      </c>
      <c r="I24" s="171" t="str">
        <f>IFERROR(TEXT(((H26+H27)/SUM(H24:H27)),"0%"),"")</f>
        <v/>
      </c>
      <c r="J24" s="172"/>
      <c r="K24" s="6"/>
      <c r="L24" s="24"/>
      <c r="M24" s="25"/>
    </row>
    <row r="25" spans="1:13" ht="14.25" customHeight="1" x14ac:dyDescent="0.6">
      <c r="A25" s="27"/>
      <c r="B25" s="28"/>
      <c r="C25" s="28"/>
      <c r="D25" s="31" t="s">
        <v>62</v>
      </c>
      <c r="E25" s="31" t="s">
        <v>63</v>
      </c>
      <c r="F25" s="149"/>
      <c r="G25" s="29" t="s">
        <v>57</v>
      </c>
      <c r="H25" s="32">
        <f>COUNTIF('SO4 Assessment Results'!$G$4:$G$23,G25)</f>
        <v>0</v>
      </c>
      <c r="I25" s="173"/>
      <c r="J25" s="174"/>
      <c r="K25" s="6"/>
      <c r="L25" s="24"/>
      <c r="M25" s="25"/>
    </row>
    <row r="26" spans="1:13" ht="14.25" customHeight="1" x14ac:dyDescent="0.6">
      <c r="A26" s="6"/>
      <c r="C26" s="33"/>
      <c r="D26" s="34" t="str">
        <f t="shared" ref="D26:E26" si="16">IFERROR(AVERAGE(D4:D20),"")</f>
        <v/>
      </c>
      <c r="E26" s="34" t="str">
        <f t="shared" si="16"/>
        <v/>
      </c>
      <c r="F26" s="149"/>
      <c r="G26" s="29" t="s">
        <v>58</v>
      </c>
      <c r="H26" s="32">
        <f>COUNTIF('SO4 Assessment Results'!$G$4:$G$23,G26)</f>
        <v>0</v>
      </c>
      <c r="I26" s="173"/>
      <c r="J26" s="174"/>
      <c r="K26" s="1" t="str">
        <f>IFERROR(AVERAGE(K11:K23),"")</f>
        <v/>
      </c>
      <c r="L26" s="6"/>
      <c r="M26" s="6"/>
    </row>
    <row r="27" spans="1:13" ht="14.25" customHeight="1" x14ac:dyDescent="0.6">
      <c r="A27" s="6"/>
      <c r="C27" s="35"/>
      <c r="D27" s="20" t="str">
        <f t="shared" ref="D27:E27" si="17">IFERROR(TEXT((COUNTIF(D4:D23,2) + COUNTIF(D4:D23,3)) / COUNT(D4:D23),"0%"),"")</f>
        <v/>
      </c>
      <c r="E27" s="20" t="str">
        <f t="shared" si="17"/>
        <v/>
      </c>
      <c r="F27" s="150"/>
      <c r="G27" s="29" t="s">
        <v>59</v>
      </c>
      <c r="H27" s="32">
        <f>COUNTIF('SO4 Assessment Results'!$G$4:$G$23,G27)</f>
        <v>0</v>
      </c>
      <c r="I27" s="175"/>
      <c r="J27" s="176"/>
      <c r="M27" s="6"/>
    </row>
    <row r="28" spans="1:13" ht="14.25" customHeight="1" x14ac:dyDescent="0.55000000000000004">
      <c r="A28" s="6"/>
      <c r="C28" s="35"/>
      <c r="D28" s="6"/>
      <c r="E28" s="6"/>
      <c r="H28" s="6"/>
    </row>
    <row r="29" spans="1:13" ht="14.25" customHeight="1" x14ac:dyDescent="0.55000000000000004">
      <c r="A29" s="6"/>
      <c r="C29" s="35"/>
      <c r="D29" s="6"/>
      <c r="E29" s="6"/>
      <c r="F29" s="6"/>
      <c r="G29" s="6"/>
      <c r="H29" s="6"/>
      <c r="M29" s="6"/>
    </row>
    <row r="30" spans="1:13" ht="14.25" customHeight="1" x14ac:dyDescent="0.55000000000000004">
      <c r="A30" s="6"/>
      <c r="B30" s="177" t="s">
        <v>60</v>
      </c>
      <c r="C30" s="114"/>
      <c r="D30" s="114"/>
      <c r="E30" s="169"/>
      <c r="F30" s="6"/>
      <c r="G30" s="6"/>
      <c r="H30" s="6"/>
      <c r="M30" s="6"/>
    </row>
    <row r="31" spans="1:13" ht="14.25" customHeight="1" x14ac:dyDescent="0.55000000000000004">
      <c r="A31" s="6"/>
      <c r="B31" s="178" t="s">
        <v>61</v>
      </c>
      <c r="C31" s="179"/>
      <c r="D31" s="179"/>
      <c r="E31" s="180"/>
      <c r="F31" s="6"/>
      <c r="G31" s="6"/>
      <c r="H31" s="6"/>
      <c r="M31" s="6"/>
    </row>
    <row r="32" spans="1:13" ht="14.25" customHeight="1" x14ac:dyDescent="0.55000000000000004">
      <c r="B32" s="173"/>
      <c r="C32" s="134"/>
      <c r="D32" s="134"/>
      <c r="E32" s="174"/>
      <c r="F32" s="6"/>
      <c r="G32" s="6"/>
      <c r="H32" s="6"/>
      <c r="M32" s="6"/>
    </row>
    <row r="33" spans="1:13" ht="14.25" customHeight="1" x14ac:dyDescent="0.55000000000000004">
      <c r="A33" s="6"/>
      <c r="B33" s="173"/>
      <c r="C33" s="134"/>
      <c r="D33" s="134"/>
      <c r="E33" s="174"/>
      <c r="F33" s="6"/>
      <c r="G33" s="6"/>
      <c r="H33" s="6"/>
      <c r="M33" s="6"/>
    </row>
    <row r="34" spans="1:13" ht="14.25" customHeight="1" x14ac:dyDescent="0.55000000000000004">
      <c r="A34" s="6"/>
      <c r="B34" s="181"/>
      <c r="C34" s="182"/>
      <c r="D34" s="182"/>
      <c r="E34" s="183"/>
      <c r="F34" s="6"/>
      <c r="G34" s="6"/>
      <c r="H34" s="6"/>
      <c r="M34" s="6"/>
    </row>
    <row r="35" spans="1:13" ht="14.25" customHeight="1" x14ac:dyDescent="0.55000000000000004">
      <c r="A35" s="6"/>
      <c r="F35" s="6"/>
      <c r="G35" s="6"/>
      <c r="H35" s="6"/>
      <c r="M35" s="6"/>
    </row>
    <row r="36" spans="1:13" ht="14.25" customHeight="1" x14ac:dyDescent="0.55000000000000004">
      <c r="A36" s="6"/>
      <c r="F36" s="6"/>
      <c r="G36" s="6"/>
      <c r="H36" s="6"/>
      <c r="M36" s="6"/>
    </row>
    <row r="37" spans="1:13" ht="14.25" customHeight="1" x14ac:dyDescent="0.55000000000000004">
      <c r="A37" s="6"/>
      <c r="F37" s="6"/>
      <c r="G37" s="6"/>
      <c r="H37" s="6"/>
      <c r="M37" s="6"/>
    </row>
    <row r="38" spans="1:13" ht="14.25" customHeight="1" x14ac:dyDescent="0.55000000000000004">
      <c r="A38" s="6"/>
      <c r="F38" s="6"/>
      <c r="G38" s="6"/>
      <c r="H38" s="6"/>
      <c r="M38" s="6"/>
    </row>
    <row r="39" spans="1:13" ht="14.25" customHeight="1" x14ac:dyDescent="0.55000000000000004">
      <c r="A39" s="6"/>
      <c r="F39" s="6"/>
      <c r="G39" s="6"/>
      <c r="H39" s="6"/>
      <c r="M39" s="6"/>
    </row>
    <row r="40" spans="1:13" ht="14.25" customHeight="1" x14ac:dyDescent="0.55000000000000004">
      <c r="A40" s="6"/>
      <c r="F40" s="6"/>
      <c r="G40" s="6"/>
      <c r="H40" s="6"/>
      <c r="M40" s="6"/>
    </row>
    <row r="41" spans="1:13" ht="14.25" customHeight="1" x14ac:dyDescent="0.55000000000000004">
      <c r="A41" s="6"/>
      <c r="F41" s="6"/>
      <c r="G41" s="6"/>
      <c r="H41" s="6"/>
      <c r="M41" s="6"/>
    </row>
    <row r="42" spans="1:13" ht="14.25" customHeight="1" x14ac:dyDescent="0.55000000000000004">
      <c r="A42" s="6"/>
      <c r="F42" s="6"/>
      <c r="G42" s="6"/>
      <c r="H42" s="6"/>
      <c r="M42" s="6"/>
    </row>
    <row r="43" spans="1:13" ht="14.25" customHeight="1" x14ac:dyDescent="0.55000000000000004">
      <c r="A43" s="6"/>
      <c r="F43" s="6"/>
      <c r="G43" s="6"/>
      <c r="H43" s="6"/>
      <c r="M43" s="6"/>
    </row>
    <row r="44" spans="1:13" ht="14.25" customHeight="1" x14ac:dyDescent="0.55000000000000004">
      <c r="A44" s="6"/>
      <c r="F44" s="6"/>
      <c r="G44" s="6"/>
      <c r="H44" s="6"/>
      <c r="M44" s="6"/>
    </row>
    <row r="45" spans="1:13" ht="14.25" customHeight="1" x14ac:dyDescent="0.55000000000000004">
      <c r="A45" s="6"/>
      <c r="F45" s="6"/>
      <c r="G45" s="6"/>
      <c r="H45" s="6"/>
      <c r="M45" s="6"/>
    </row>
    <row r="46" spans="1:13" ht="14.25" customHeight="1" x14ac:dyDescent="0.55000000000000004">
      <c r="A46" s="6"/>
      <c r="F46" s="6"/>
      <c r="G46" s="6"/>
      <c r="H46" s="6"/>
      <c r="M46" s="6"/>
    </row>
    <row r="47" spans="1:13" ht="14.25" customHeight="1" x14ac:dyDescent="0.55000000000000004">
      <c r="A47" s="6"/>
      <c r="F47" s="6"/>
      <c r="G47" s="6"/>
      <c r="H47" s="6"/>
      <c r="M47" s="6"/>
    </row>
    <row r="48" spans="1:13" ht="14.25" customHeight="1" x14ac:dyDescent="0.55000000000000004">
      <c r="A48" s="6"/>
      <c r="F48" s="6"/>
      <c r="G48" s="6"/>
      <c r="H48" s="6"/>
      <c r="M48" s="6"/>
    </row>
    <row r="49" spans="1:13" ht="14.25" customHeight="1" x14ac:dyDescent="0.55000000000000004">
      <c r="A49" s="6"/>
      <c r="F49" s="6"/>
      <c r="G49" s="6"/>
      <c r="H49" s="6"/>
      <c r="M49" s="6"/>
    </row>
    <row r="50" spans="1:13" ht="14.25" customHeight="1" x14ac:dyDescent="0.55000000000000004">
      <c r="A50" s="6"/>
      <c r="F50" s="6"/>
      <c r="G50" s="6"/>
      <c r="H50" s="6"/>
      <c r="M50" s="6"/>
    </row>
    <row r="51" spans="1:13" ht="14.25" customHeight="1" x14ac:dyDescent="0.55000000000000004">
      <c r="A51" s="6"/>
      <c r="F51" s="6"/>
      <c r="G51" s="6"/>
      <c r="H51" s="6"/>
      <c r="M51" s="6"/>
    </row>
    <row r="52" spans="1:13" ht="14.25" customHeight="1" x14ac:dyDescent="0.55000000000000004">
      <c r="A52" s="6"/>
      <c r="F52" s="6"/>
      <c r="G52" s="6"/>
      <c r="H52" s="6"/>
      <c r="M52" s="6"/>
    </row>
    <row r="53" spans="1:13" ht="14.25" customHeight="1" x14ac:dyDescent="0.55000000000000004">
      <c r="A53" s="6"/>
      <c r="F53" s="6"/>
      <c r="G53" s="6"/>
      <c r="H53" s="6"/>
      <c r="M53" s="6"/>
    </row>
    <row r="54" spans="1:13" ht="14.25" customHeight="1" x14ac:dyDescent="0.55000000000000004">
      <c r="A54" s="6"/>
      <c r="F54" s="6"/>
      <c r="G54" s="6"/>
      <c r="H54" s="6"/>
      <c r="M54" s="6"/>
    </row>
    <row r="55" spans="1:13" ht="14.25" customHeight="1" x14ac:dyDescent="0.55000000000000004">
      <c r="A55" s="6"/>
      <c r="F55" s="6"/>
      <c r="G55" s="6"/>
      <c r="H55" s="6"/>
      <c r="M55" s="6"/>
    </row>
    <row r="56" spans="1:13" ht="14.25" customHeight="1" x14ac:dyDescent="0.55000000000000004">
      <c r="A56" s="6"/>
      <c r="F56" s="6"/>
      <c r="G56" s="6"/>
      <c r="H56" s="6"/>
      <c r="M56" s="6"/>
    </row>
    <row r="57" spans="1:13" ht="14.25" customHeight="1" x14ac:dyDescent="0.55000000000000004">
      <c r="A57" s="6"/>
      <c r="F57" s="6"/>
      <c r="G57" s="6"/>
      <c r="H57" s="6"/>
      <c r="M57" s="6"/>
    </row>
    <row r="58" spans="1:13" ht="14.25" customHeight="1" x14ac:dyDescent="0.55000000000000004">
      <c r="A58" s="6"/>
      <c r="F58" s="6"/>
      <c r="G58" s="6"/>
      <c r="H58" s="6"/>
      <c r="M58" s="6"/>
    </row>
    <row r="59" spans="1:13" ht="14.25" customHeight="1" x14ac:dyDescent="0.55000000000000004">
      <c r="A59" s="6"/>
      <c r="F59" s="6"/>
      <c r="G59" s="6"/>
      <c r="H59" s="6"/>
      <c r="M59" s="6"/>
    </row>
    <row r="60" spans="1:13" ht="14.25" customHeight="1" x14ac:dyDescent="0.55000000000000004">
      <c r="A60" s="6"/>
      <c r="F60" s="6"/>
      <c r="G60" s="6"/>
      <c r="H60" s="6"/>
      <c r="M60" s="6"/>
    </row>
    <row r="61" spans="1:13" ht="14.25" customHeight="1" x14ac:dyDescent="0.55000000000000004">
      <c r="A61" s="6"/>
      <c r="F61" s="6"/>
      <c r="G61" s="6"/>
      <c r="H61" s="6"/>
      <c r="M61" s="6"/>
    </row>
    <row r="62" spans="1:13" ht="14.25" customHeight="1" x14ac:dyDescent="0.55000000000000004">
      <c r="A62" s="6"/>
      <c r="F62" s="6"/>
      <c r="G62" s="6"/>
      <c r="H62" s="6"/>
      <c r="M62" s="6"/>
    </row>
    <row r="63" spans="1:13" ht="14.25" customHeight="1" x14ac:dyDescent="0.55000000000000004">
      <c r="A63" s="6"/>
      <c r="F63" s="6"/>
      <c r="G63" s="6"/>
      <c r="H63" s="6"/>
      <c r="M63" s="6"/>
    </row>
    <row r="64" spans="1:13" ht="14.25" customHeight="1" x14ac:dyDescent="0.55000000000000004">
      <c r="A64" s="6"/>
      <c r="F64" s="6"/>
      <c r="G64" s="6"/>
      <c r="H64" s="6"/>
      <c r="M64" s="6"/>
    </row>
    <row r="65" spans="1:13" ht="14.25" customHeight="1" x14ac:dyDescent="0.55000000000000004">
      <c r="A65" s="6"/>
      <c r="F65" s="6"/>
      <c r="G65" s="6"/>
      <c r="H65" s="6"/>
      <c r="M65" s="6"/>
    </row>
    <row r="66" spans="1:13" ht="14.25" customHeight="1" x14ac:dyDescent="0.55000000000000004">
      <c r="A66" s="6"/>
      <c r="F66" s="6"/>
      <c r="G66" s="6"/>
      <c r="H66" s="6"/>
      <c r="M66" s="6"/>
    </row>
    <row r="67" spans="1:13" ht="14.25" customHeight="1" x14ac:dyDescent="0.55000000000000004">
      <c r="A67" s="6"/>
      <c r="F67" s="6"/>
      <c r="G67" s="6"/>
      <c r="H67" s="6"/>
      <c r="M67" s="6"/>
    </row>
    <row r="68" spans="1:13" ht="14.25" customHeight="1" x14ac:dyDescent="0.55000000000000004">
      <c r="A68" s="6"/>
      <c r="F68" s="6"/>
      <c r="G68" s="6"/>
      <c r="H68" s="6"/>
      <c r="M68" s="6"/>
    </row>
    <row r="69" spans="1:13" ht="14.25" customHeight="1" x14ac:dyDescent="0.55000000000000004">
      <c r="A69" s="6"/>
      <c r="F69" s="6"/>
      <c r="G69" s="6"/>
      <c r="H69" s="6"/>
      <c r="M69" s="6"/>
    </row>
    <row r="70" spans="1:13" ht="14.25" customHeight="1" x14ac:dyDescent="0.55000000000000004">
      <c r="A70" s="6"/>
      <c r="F70" s="6"/>
      <c r="G70" s="6"/>
      <c r="H70" s="6"/>
      <c r="M70" s="6"/>
    </row>
    <row r="71" spans="1:13" ht="14.25" customHeight="1" x14ac:dyDescent="0.55000000000000004">
      <c r="A71" s="6"/>
      <c r="F71" s="6"/>
      <c r="G71" s="6"/>
      <c r="H71" s="6"/>
      <c r="M71" s="6"/>
    </row>
    <row r="72" spans="1:13" ht="14.25" customHeight="1" x14ac:dyDescent="0.55000000000000004">
      <c r="A72" s="6"/>
      <c r="F72" s="6"/>
      <c r="G72" s="6"/>
      <c r="H72" s="6"/>
      <c r="M72" s="6"/>
    </row>
    <row r="73" spans="1:13" ht="14.25" customHeight="1" x14ac:dyDescent="0.55000000000000004">
      <c r="A73" s="6"/>
      <c r="F73" s="6"/>
      <c r="G73" s="6"/>
      <c r="H73" s="6"/>
      <c r="M73" s="6"/>
    </row>
    <row r="74" spans="1:13" ht="14.25" customHeight="1" x14ac:dyDescent="0.55000000000000004">
      <c r="A74" s="6"/>
      <c r="F74" s="6"/>
      <c r="G74" s="6"/>
      <c r="H74" s="6"/>
      <c r="M74" s="6"/>
    </row>
    <row r="75" spans="1:13" ht="14.25" customHeight="1" x14ac:dyDescent="0.55000000000000004">
      <c r="A75" s="6"/>
      <c r="F75" s="6"/>
      <c r="G75" s="6"/>
      <c r="H75" s="6"/>
      <c r="M75" s="6"/>
    </row>
    <row r="76" spans="1:13" ht="14.25" customHeight="1" x14ac:dyDescent="0.55000000000000004">
      <c r="A76" s="6"/>
      <c r="F76" s="6"/>
      <c r="G76" s="6"/>
      <c r="H76" s="6"/>
      <c r="M76" s="6"/>
    </row>
    <row r="77" spans="1:13" ht="14.25" customHeight="1" x14ac:dyDescent="0.55000000000000004">
      <c r="A77" s="6"/>
      <c r="F77" s="6"/>
      <c r="G77" s="6"/>
      <c r="H77" s="6"/>
      <c r="M77" s="6"/>
    </row>
    <row r="78" spans="1:13" ht="14.25" customHeight="1" x14ac:dyDescent="0.55000000000000004">
      <c r="A78" s="6"/>
      <c r="F78" s="6"/>
      <c r="G78" s="6"/>
      <c r="H78" s="6"/>
      <c r="M78" s="6"/>
    </row>
    <row r="79" spans="1:13" ht="14.25" customHeight="1" x14ac:dyDescent="0.55000000000000004">
      <c r="A79" s="6"/>
      <c r="F79" s="6"/>
      <c r="G79" s="6"/>
      <c r="H79" s="6"/>
      <c r="M79" s="6"/>
    </row>
    <row r="80" spans="1:13" ht="14.25" customHeight="1" x14ac:dyDescent="0.55000000000000004">
      <c r="A80" s="6"/>
      <c r="F80" s="6"/>
      <c r="G80" s="6"/>
      <c r="H80" s="6"/>
      <c r="M80" s="6"/>
    </row>
    <row r="81" spans="1:13" ht="14.25" customHeight="1" x14ac:dyDescent="0.55000000000000004">
      <c r="A81" s="6"/>
      <c r="F81" s="6"/>
      <c r="G81" s="6"/>
      <c r="H81" s="6"/>
      <c r="M81" s="6"/>
    </row>
    <row r="82" spans="1:13" ht="14.25" customHeight="1" x14ac:dyDescent="0.55000000000000004">
      <c r="A82" s="6"/>
      <c r="F82" s="6"/>
      <c r="G82" s="6"/>
      <c r="H82" s="6"/>
      <c r="M82" s="6"/>
    </row>
    <row r="83" spans="1:13" ht="14.25" customHeight="1" x14ac:dyDescent="0.55000000000000004">
      <c r="A83" s="6"/>
      <c r="F83" s="6"/>
      <c r="G83" s="6"/>
      <c r="H83" s="6"/>
      <c r="M83" s="6"/>
    </row>
    <row r="84" spans="1:13" ht="14.25" customHeight="1" x14ac:dyDescent="0.55000000000000004">
      <c r="A84" s="6"/>
      <c r="F84" s="6"/>
      <c r="G84" s="6"/>
      <c r="H84" s="6"/>
      <c r="M84" s="6"/>
    </row>
    <row r="85" spans="1:13" ht="14.25" customHeight="1" x14ac:dyDescent="0.55000000000000004">
      <c r="A85" s="6"/>
      <c r="F85" s="6"/>
      <c r="G85" s="6"/>
      <c r="H85" s="6"/>
      <c r="M85" s="6"/>
    </row>
    <row r="86" spans="1:13" ht="14.25" customHeight="1" x14ac:dyDescent="0.55000000000000004">
      <c r="A86" s="6"/>
      <c r="F86" s="6"/>
      <c r="G86" s="6"/>
      <c r="H86" s="6"/>
      <c r="M86" s="6"/>
    </row>
    <row r="87" spans="1:13" ht="14.25" customHeight="1" x14ac:dyDescent="0.55000000000000004">
      <c r="A87" s="6"/>
      <c r="F87" s="6"/>
      <c r="G87" s="6"/>
      <c r="H87" s="6"/>
      <c r="M87" s="6"/>
    </row>
    <row r="88" spans="1:13" ht="14.25" customHeight="1" x14ac:dyDescent="0.55000000000000004">
      <c r="A88" s="6"/>
      <c r="F88" s="6"/>
      <c r="G88" s="6"/>
      <c r="H88" s="6"/>
      <c r="M88" s="6"/>
    </row>
    <row r="89" spans="1:13" ht="14.25" customHeight="1" x14ac:dyDescent="0.55000000000000004">
      <c r="A89" s="6"/>
      <c r="F89" s="6"/>
      <c r="G89" s="6"/>
      <c r="H89" s="6"/>
      <c r="M89" s="6"/>
    </row>
    <row r="90" spans="1:13" ht="14.25" customHeight="1" x14ac:dyDescent="0.55000000000000004">
      <c r="A90" s="6"/>
      <c r="F90" s="6"/>
      <c r="G90" s="6"/>
      <c r="H90" s="6"/>
      <c r="M90" s="6"/>
    </row>
    <row r="91" spans="1:13" ht="14.25" customHeight="1" x14ac:dyDescent="0.55000000000000004">
      <c r="A91" s="6"/>
      <c r="F91" s="6"/>
      <c r="G91" s="6"/>
      <c r="H91" s="6"/>
      <c r="M91" s="6"/>
    </row>
    <row r="92" spans="1:13" ht="14.25" customHeight="1" x14ac:dyDescent="0.55000000000000004">
      <c r="A92" s="6"/>
      <c r="F92" s="6"/>
      <c r="G92" s="6"/>
      <c r="H92" s="6"/>
      <c r="M92" s="6"/>
    </row>
    <row r="93" spans="1:13" ht="14.25" customHeight="1" x14ac:dyDescent="0.55000000000000004">
      <c r="A93" s="6"/>
      <c r="F93" s="6"/>
      <c r="G93" s="6"/>
      <c r="H93" s="6"/>
      <c r="M93" s="6"/>
    </row>
    <row r="94" spans="1:13" ht="14.25" customHeight="1" x14ac:dyDescent="0.55000000000000004">
      <c r="A94" s="6"/>
      <c r="F94" s="6"/>
      <c r="G94" s="6"/>
      <c r="H94" s="6"/>
      <c r="M94" s="6"/>
    </row>
    <row r="95" spans="1:13" ht="14.25" customHeight="1" x14ac:dyDescent="0.55000000000000004">
      <c r="A95" s="6"/>
      <c r="F95" s="6"/>
      <c r="G95" s="6"/>
      <c r="H95" s="6"/>
      <c r="M95" s="6"/>
    </row>
    <row r="96" spans="1:13" ht="14.25" customHeight="1" x14ac:dyDescent="0.55000000000000004">
      <c r="A96" s="6"/>
      <c r="F96" s="6"/>
      <c r="G96" s="6"/>
      <c r="H96" s="6"/>
      <c r="M96" s="6"/>
    </row>
    <row r="97" spans="1:13" ht="14.25" customHeight="1" x14ac:dyDescent="0.55000000000000004">
      <c r="A97" s="6"/>
      <c r="F97" s="6"/>
      <c r="G97" s="6"/>
      <c r="H97" s="6"/>
      <c r="M97" s="6"/>
    </row>
    <row r="98" spans="1:13" ht="14.25" customHeight="1" x14ac:dyDescent="0.55000000000000004">
      <c r="A98" s="6"/>
      <c r="F98" s="6"/>
      <c r="G98" s="6"/>
      <c r="H98" s="6"/>
      <c r="M98" s="6"/>
    </row>
    <row r="99" spans="1:13" ht="14.25" customHeight="1" x14ac:dyDescent="0.55000000000000004">
      <c r="A99" s="6"/>
      <c r="F99" s="6"/>
      <c r="G99" s="6"/>
      <c r="H99" s="6"/>
      <c r="M99" s="6"/>
    </row>
    <row r="100" spans="1:13" ht="14.25" customHeight="1" x14ac:dyDescent="0.55000000000000004">
      <c r="A100" s="6"/>
      <c r="F100" s="6"/>
      <c r="G100" s="6"/>
      <c r="H100" s="6"/>
      <c r="M100" s="6"/>
    </row>
    <row r="101" spans="1:13" ht="14.25" customHeight="1" x14ac:dyDescent="0.55000000000000004">
      <c r="A101" s="6"/>
      <c r="F101" s="6"/>
      <c r="G101" s="6"/>
      <c r="H101" s="6"/>
      <c r="M101" s="6"/>
    </row>
    <row r="102" spans="1:13" ht="14.25" customHeight="1" x14ac:dyDescent="0.55000000000000004">
      <c r="A102" s="6"/>
      <c r="F102" s="6"/>
      <c r="G102" s="6"/>
      <c r="H102" s="6"/>
      <c r="M102" s="6"/>
    </row>
    <row r="103" spans="1:13" ht="14.25" customHeight="1" x14ac:dyDescent="0.55000000000000004">
      <c r="A103" s="6"/>
      <c r="F103" s="6"/>
      <c r="G103" s="6"/>
      <c r="H103" s="6"/>
      <c r="M103" s="6"/>
    </row>
    <row r="104" spans="1:13" ht="14.25" customHeight="1" x14ac:dyDescent="0.55000000000000004">
      <c r="A104" s="6"/>
      <c r="F104" s="6"/>
      <c r="G104" s="6"/>
      <c r="H104" s="6"/>
      <c r="M104" s="6"/>
    </row>
    <row r="105" spans="1:13" ht="14.25" customHeight="1" x14ac:dyDescent="0.55000000000000004">
      <c r="A105" s="6"/>
      <c r="F105" s="6"/>
      <c r="G105" s="6"/>
      <c r="H105" s="6"/>
      <c r="M105" s="6"/>
    </row>
    <row r="106" spans="1:13" ht="14.25" customHeight="1" x14ac:dyDescent="0.55000000000000004">
      <c r="A106" s="6"/>
      <c r="F106" s="6"/>
      <c r="G106" s="6"/>
      <c r="H106" s="6"/>
      <c r="M106" s="6"/>
    </row>
    <row r="107" spans="1:13" ht="14.25" customHeight="1" x14ac:dyDescent="0.55000000000000004">
      <c r="A107" s="6"/>
      <c r="F107" s="6"/>
      <c r="G107" s="6"/>
      <c r="H107" s="6"/>
      <c r="M107" s="6"/>
    </row>
    <row r="108" spans="1:13" ht="14.25" customHeight="1" x14ac:dyDescent="0.55000000000000004">
      <c r="A108" s="6"/>
      <c r="F108" s="6"/>
      <c r="G108" s="6"/>
      <c r="H108" s="6"/>
      <c r="M108" s="6"/>
    </row>
    <row r="109" spans="1:13" ht="14.25" customHeight="1" x14ac:dyDescent="0.55000000000000004">
      <c r="A109" s="6"/>
      <c r="F109" s="6"/>
      <c r="G109" s="6"/>
      <c r="H109" s="6"/>
      <c r="M109" s="6"/>
    </row>
    <row r="110" spans="1:13" ht="14.25" customHeight="1" x14ac:dyDescent="0.55000000000000004">
      <c r="A110" s="6"/>
      <c r="F110" s="6"/>
      <c r="G110" s="6"/>
      <c r="H110" s="6"/>
      <c r="M110" s="6"/>
    </row>
    <row r="111" spans="1:13" ht="14.25" customHeight="1" x14ac:dyDescent="0.55000000000000004">
      <c r="A111" s="6"/>
      <c r="F111" s="6"/>
      <c r="G111" s="6"/>
      <c r="H111" s="6"/>
      <c r="M111" s="6"/>
    </row>
    <row r="112" spans="1:13" ht="14.25" customHeight="1" x14ac:dyDescent="0.55000000000000004">
      <c r="A112" s="6"/>
      <c r="F112" s="6"/>
      <c r="G112" s="6"/>
      <c r="H112" s="6"/>
      <c r="M112" s="6"/>
    </row>
    <row r="113" spans="1:13" ht="14.25" customHeight="1" x14ac:dyDescent="0.55000000000000004">
      <c r="A113" s="6"/>
      <c r="F113" s="6"/>
      <c r="G113" s="6"/>
      <c r="H113" s="6"/>
      <c r="M113" s="6"/>
    </row>
    <row r="114" spans="1:13" ht="14.25" customHeight="1" x14ac:dyDescent="0.55000000000000004">
      <c r="A114" s="6"/>
      <c r="F114" s="6"/>
      <c r="G114" s="6"/>
      <c r="H114" s="6"/>
      <c r="M114" s="6"/>
    </row>
    <row r="115" spans="1:13" ht="14.25" customHeight="1" x14ac:dyDescent="0.55000000000000004">
      <c r="A115" s="6"/>
      <c r="F115" s="6"/>
      <c r="G115" s="6"/>
      <c r="H115" s="6"/>
      <c r="M115" s="6"/>
    </row>
    <row r="116" spans="1:13" ht="14.25" customHeight="1" x14ac:dyDescent="0.55000000000000004">
      <c r="A116" s="6"/>
      <c r="F116" s="6"/>
      <c r="G116" s="6"/>
      <c r="H116" s="6"/>
      <c r="M116" s="6"/>
    </row>
    <row r="117" spans="1:13" ht="14.25" customHeight="1" x14ac:dyDescent="0.55000000000000004">
      <c r="A117" s="6"/>
      <c r="F117" s="6"/>
      <c r="G117" s="6"/>
      <c r="H117" s="6"/>
      <c r="M117" s="6"/>
    </row>
    <row r="118" spans="1:13" ht="14.25" customHeight="1" x14ac:dyDescent="0.55000000000000004">
      <c r="A118" s="6"/>
      <c r="F118" s="6"/>
      <c r="G118" s="6"/>
      <c r="H118" s="6"/>
      <c r="M118" s="6"/>
    </row>
    <row r="119" spans="1:13" ht="14.25" customHeight="1" x14ac:dyDescent="0.55000000000000004">
      <c r="A119" s="6"/>
      <c r="F119" s="6"/>
      <c r="G119" s="6"/>
      <c r="H119" s="6"/>
      <c r="M119" s="6"/>
    </row>
    <row r="120" spans="1:13" ht="14.25" customHeight="1" x14ac:dyDescent="0.55000000000000004">
      <c r="A120" s="6"/>
      <c r="F120" s="6"/>
      <c r="G120" s="6"/>
      <c r="H120" s="6"/>
      <c r="M120" s="6"/>
    </row>
    <row r="121" spans="1:13" ht="14.25" customHeight="1" x14ac:dyDescent="0.55000000000000004">
      <c r="A121" s="6"/>
      <c r="F121" s="6"/>
      <c r="G121" s="6"/>
      <c r="H121" s="6"/>
      <c r="M121" s="6"/>
    </row>
    <row r="122" spans="1:13" ht="14.25" customHeight="1" x14ac:dyDescent="0.55000000000000004">
      <c r="A122" s="6"/>
      <c r="F122" s="6"/>
      <c r="G122" s="6"/>
      <c r="H122" s="6"/>
      <c r="M122" s="6"/>
    </row>
    <row r="123" spans="1:13" ht="14.25" customHeight="1" x14ac:dyDescent="0.55000000000000004">
      <c r="A123" s="6"/>
      <c r="F123" s="6"/>
      <c r="G123" s="6"/>
      <c r="H123" s="6"/>
      <c r="M123" s="6"/>
    </row>
    <row r="124" spans="1:13" ht="14.25" customHeight="1" x14ac:dyDescent="0.55000000000000004">
      <c r="A124" s="6"/>
      <c r="F124" s="6"/>
      <c r="G124" s="6"/>
      <c r="H124" s="6"/>
      <c r="M124" s="6"/>
    </row>
    <row r="125" spans="1:13" ht="14.25" customHeight="1" x14ac:dyDescent="0.55000000000000004">
      <c r="A125" s="6"/>
      <c r="F125" s="6"/>
      <c r="G125" s="6"/>
      <c r="H125" s="6"/>
      <c r="M125" s="6"/>
    </row>
    <row r="126" spans="1:13" ht="14.25" customHeight="1" x14ac:dyDescent="0.55000000000000004">
      <c r="A126" s="6"/>
      <c r="F126" s="6"/>
      <c r="G126" s="6"/>
      <c r="H126" s="6"/>
      <c r="M126" s="6"/>
    </row>
    <row r="127" spans="1:13" ht="14.25" customHeight="1" x14ac:dyDescent="0.55000000000000004">
      <c r="A127" s="6"/>
      <c r="F127" s="6"/>
      <c r="G127" s="6"/>
      <c r="H127" s="6"/>
      <c r="M127" s="6"/>
    </row>
    <row r="128" spans="1:13" ht="14.25" customHeight="1" x14ac:dyDescent="0.55000000000000004">
      <c r="A128" s="6"/>
      <c r="F128" s="6"/>
      <c r="G128" s="6"/>
      <c r="H128" s="6"/>
      <c r="M128" s="6"/>
    </row>
    <row r="129" spans="1:13" ht="14.25" customHeight="1" x14ac:dyDescent="0.55000000000000004">
      <c r="A129" s="6"/>
      <c r="F129" s="6"/>
      <c r="G129" s="6"/>
      <c r="H129" s="6"/>
      <c r="M129" s="6"/>
    </row>
    <row r="130" spans="1:13" ht="14.25" customHeight="1" x14ac:dyDescent="0.55000000000000004">
      <c r="A130" s="6"/>
      <c r="F130" s="6"/>
      <c r="G130" s="6"/>
      <c r="H130" s="6"/>
      <c r="M130" s="6"/>
    </row>
    <row r="131" spans="1:13" ht="14.25" customHeight="1" x14ac:dyDescent="0.55000000000000004">
      <c r="A131" s="6"/>
      <c r="F131" s="6"/>
      <c r="G131" s="6"/>
      <c r="H131" s="6"/>
      <c r="M131" s="6"/>
    </row>
    <row r="132" spans="1:13" ht="14.25" customHeight="1" x14ac:dyDescent="0.55000000000000004">
      <c r="A132" s="6"/>
      <c r="F132" s="6"/>
      <c r="G132" s="6"/>
      <c r="H132" s="6"/>
      <c r="M132" s="6"/>
    </row>
    <row r="133" spans="1:13" ht="14.25" customHeight="1" x14ac:dyDescent="0.55000000000000004">
      <c r="A133" s="6"/>
      <c r="F133" s="6"/>
      <c r="G133" s="6"/>
      <c r="H133" s="6"/>
      <c r="M133" s="6"/>
    </row>
    <row r="134" spans="1:13" ht="14.25" customHeight="1" x14ac:dyDescent="0.55000000000000004">
      <c r="A134" s="6"/>
      <c r="F134" s="6"/>
      <c r="G134" s="6"/>
      <c r="H134" s="6"/>
      <c r="M134" s="6"/>
    </row>
    <row r="135" spans="1:13" ht="14.25" customHeight="1" x14ac:dyDescent="0.55000000000000004">
      <c r="A135" s="6"/>
      <c r="F135" s="6"/>
      <c r="G135" s="6"/>
      <c r="H135" s="6"/>
      <c r="M135" s="6"/>
    </row>
    <row r="136" spans="1:13" ht="14.25" customHeight="1" x14ac:dyDescent="0.55000000000000004">
      <c r="A136" s="6"/>
      <c r="F136" s="6"/>
      <c r="G136" s="6"/>
      <c r="H136" s="6"/>
      <c r="M136" s="6"/>
    </row>
    <row r="137" spans="1:13" ht="14.25" customHeight="1" x14ac:dyDescent="0.55000000000000004">
      <c r="A137" s="6"/>
      <c r="F137" s="6"/>
      <c r="G137" s="6"/>
      <c r="H137" s="6"/>
      <c r="M137" s="6"/>
    </row>
    <row r="138" spans="1:13" ht="14.25" customHeight="1" x14ac:dyDescent="0.55000000000000004">
      <c r="A138" s="6"/>
      <c r="F138" s="6"/>
      <c r="G138" s="6"/>
      <c r="H138" s="6"/>
      <c r="M138" s="6"/>
    </row>
    <row r="139" spans="1:13" ht="14.25" customHeight="1" x14ac:dyDescent="0.55000000000000004">
      <c r="A139" s="6"/>
      <c r="F139" s="6"/>
      <c r="G139" s="6"/>
      <c r="H139" s="6"/>
      <c r="M139" s="6"/>
    </row>
    <row r="140" spans="1:13" ht="14.25" customHeight="1" x14ac:dyDescent="0.55000000000000004">
      <c r="A140" s="6"/>
      <c r="F140" s="6"/>
      <c r="G140" s="6"/>
      <c r="H140" s="6"/>
      <c r="M140" s="6"/>
    </row>
    <row r="141" spans="1:13" ht="14.25" customHeight="1" x14ac:dyDescent="0.55000000000000004">
      <c r="A141" s="6"/>
      <c r="F141" s="6"/>
      <c r="G141" s="6"/>
      <c r="H141" s="6"/>
      <c r="M141" s="6"/>
    </row>
    <row r="142" spans="1:13" ht="14.25" customHeight="1" x14ac:dyDescent="0.55000000000000004">
      <c r="A142" s="6"/>
      <c r="F142" s="6"/>
      <c r="G142" s="6"/>
      <c r="H142" s="6"/>
      <c r="M142" s="6"/>
    </row>
    <row r="143" spans="1:13" ht="14.25" customHeight="1" x14ac:dyDescent="0.55000000000000004">
      <c r="A143" s="6"/>
      <c r="F143" s="6"/>
      <c r="G143" s="6"/>
      <c r="H143" s="6"/>
      <c r="M143" s="6"/>
    </row>
    <row r="144" spans="1:13" ht="14.25" customHeight="1" x14ac:dyDescent="0.55000000000000004">
      <c r="A144" s="6"/>
      <c r="F144" s="6"/>
      <c r="G144" s="6"/>
      <c r="H144" s="6"/>
      <c r="M144" s="6"/>
    </row>
    <row r="145" spans="1:13" ht="14.25" customHeight="1" x14ac:dyDescent="0.55000000000000004">
      <c r="A145" s="6"/>
      <c r="F145" s="6"/>
      <c r="G145" s="6"/>
      <c r="H145" s="6"/>
      <c r="M145" s="6"/>
    </row>
    <row r="146" spans="1:13" ht="14.25" customHeight="1" x14ac:dyDescent="0.55000000000000004">
      <c r="A146" s="6"/>
      <c r="F146" s="6"/>
      <c r="G146" s="6"/>
      <c r="H146" s="6"/>
      <c r="M146" s="6"/>
    </row>
    <row r="147" spans="1:13" ht="14.25" customHeight="1" x14ac:dyDescent="0.55000000000000004">
      <c r="A147" s="6"/>
      <c r="F147" s="6"/>
      <c r="G147" s="6"/>
      <c r="H147" s="6"/>
      <c r="M147" s="6"/>
    </row>
    <row r="148" spans="1:13" ht="14.25" customHeight="1" x14ac:dyDescent="0.55000000000000004">
      <c r="A148" s="6"/>
      <c r="F148" s="6"/>
      <c r="G148" s="6"/>
      <c r="H148" s="6"/>
      <c r="M148" s="6"/>
    </row>
    <row r="149" spans="1:13" ht="14.25" customHeight="1" x14ac:dyDescent="0.55000000000000004">
      <c r="A149" s="6"/>
      <c r="F149" s="6"/>
      <c r="G149" s="6"/>
      <c r="H149" s="6"/>
      <c r="M149" s="6"/>
    </row>
    <row r="150" spans="1:13" ht="14.25" customHeight="1" x14ac:dyDescent="0.55000000000000004">
      <c r="A150" s="6"/>
      <c r="F150" s="6"/>
      <c r="G150" s="6"/>
      <c r="H150" s="6"/>
      <c r="M150" s="6"/>
    </row>
    <row r="151" spans="1:13" ht="14.25" customHeight="1" x14ac:dyDescent="0.55000000000000004">
      <c r="A151" s="6"/>
      <c r="F151" s="6"/>
      <c r="G151" s="6"/>
      <c r="H151" s="6"/>
      <c r="M151" s="6"/>
    </row>
    <row r="152" spans="1:13" ht="14.25" customHeight="1" x14ac:dyDescent="0.55000000000000004">
      <c r="A152" s="6"/>
      <c r="F152" s="6"/>
      <c r="G152" s="6"/>
      <c r="H152" s="6"/>
      <c r="M152" s="6"/>
    </row>
    <row r="153" spans="1:13" ht="14.25" customHeight="1" x14ac:dyDescent="0.55000000000000004">
      <c r="A153" s="6"/>
      <c r="F153" s="6"/>
      <c r="G153" s="6"/>
      <c r="H153" s="6"/>
      <c r="M153" s="6"/>
    </row>
    <row r="154" spans="1:13" ht="14.25" customHeight="1" x14ac:dyDescent="0.55000000000000004">
      <c r="A154" s="6"/>
      <c r="F154" s="6"/>
      <c r="G154" s="6"/>
      <c r="H154" s="6"/>
      <c r="M154" s="6"/>
    </row>
    <row r="155" spans="1:13" ht="14.25" customHeight="1" x14ac:dyDescent="0.55000000000000004">
      <c r="A155" s="6"/>
      <c r="F155" s="6"/>
      <c r="G155" s="6"/>
      <c r="H155" s="6"/>
      <c r="M155" s="6"/>
    </row>
    <row r="156" spans="1:13" ht="14.25" customHeight="1" x14ac:dyDescent="0.55000000000000004">
      <c r="A156" s="6"/>
      <c r="F156" s="6"/>
      <c r="G156" s="6"/>
      <c r="H156" s="6"/>
      <c r="M156" s="6"/>
    </row>
    <row r="157" spans="1:13" ht="14.25" customHeight="1" x14ac:dyDescent="0.55000000000000004">
      <c r="A157" s="6"/>
      <c r="F157" s="6"/>
      <c r="G157" s="6"/>
      <c r="H157" s="6"/>
      <c r="M157" s="6"/>
    </row>
    <row r="158" spans="1:13" ht="14.25" customHeight="1" x14ac:dyDescent="0.55000000000000004">
      <c r="A158" s="6"/>
      <c r="F158" s="6"/>
      <c r="G158" s="6"/>
      <c r="H158" s="6"/>
      <c r="M158" s="6"/>
    </row>
    <row r="159" spans="1:13" ht="14.25" customHeight="1" x14ac:dyDescent="0.55000000000000004">
      <c r="A159" s="6"/>
      <c r="F159" s="6"/>
      <c r="G159" s="6"/>
      <c r="H159" s="6"/>
      <c r="M159" s="6"/>
    </row>
    <row r="160" spans="1:13" ht="14.25" customHeight="1" x14ac:dyDescent="0.55000000000000004">
      <c r="A160" s="6"/>
      <c r="F160" s="6"/>
      <c r="G160" s="6"/>
      <c r="H160" s="6"/>
      <c r="M160" s="6"/>
    </row>
    <row r="161" spans="1:13" ht="14.25" customHeight="1" x14ac:dyDescent="0.55000000000000004">
      <c r="A161" s="6"/>
      <c r="F161" s="6"/>
      <c r="G161" s="6"/>
      <c r="H161" s="6"/>
      <c r="M161" s="6"/>
    </row>
    <row r="162" spans="1:13" ht="14.25" customHeight="1" x14ac:dyDescent="0.55000000000000004">
      <c r="A162" s="6"/>
      <c r="F162" s="6"/>
      <c r="G162" s="6"/>
      <c r="H162" s="6"/>
      <c r="M162" s="6"/>
    </row>
    <row r="163" spans="1:13" ht="14.25" customHeight="1" x14ac:dyDescent="0.55000000000000004">
      <c r="A163" s="6"/>
      <c r="F163" s="6"/>
      <c r="G163" s="6"/>
      <c r="H163" s="6"/>
      <c r="M163" s="6"/>
    </row>
    <row r="164" spans="1:13" ht="14.25" customHeight="1" x14ac:dyDescent="0.55000000000000004">
      <c r="A164" s="6"/>
      <c r="F164" s="6"/>
      <c r="G164" s="6"/>
      <c r="H164" s="6"/>
      <c r="M164" s="6"/>
    </row>
    <row r="165" spans="1:13" ht="14.25" customHeight="1" x14ac:dyDescent="0.55000000000000004">
      <c r="A165" s="6"/>
      <c r="F165" s="6"/>
      <c r="G165" s="6"/>
      <c r="H165" s="6"/>
      <c r="M165" s="6"/>
    </row>
    <row r="166" spans="1:13" ht="14.25" customHeight="1" x14ac:dyDescent="0.55000000000000004">
      <c r="A166" s="6"/>
      <c r="F166" s="6"/>
      <c r="G166" s="6"/>
      <c r="H166" s="6"/>
      <c r="M166" s="6"/>
    </row>
    <row r="167" spans="1:13" ht="14.25" customHeight="1" x14ac:dyDescent="0.55000000000000004">
      <c r="A167" s="6"/>
      <c r="F167" s="6"/>
      <c r="G167" s="6"/>
      <c r="H167" s="6"/>
      <c r="M167" s="6"/>
    </row>
    <row r="168" spans="1:13" ht="14.25" customHeight="1" x14ac:dyDescent="0.55000000000000004">
      <c r="A168" s="6"/>
      <c r="F168" s="6"/>
      <c r="G168" s="6"/>
      <c r="H168" s="6"/>
      <c r="M168" s="6"/>
    </row>
    <row r="169" spans="1:13" ht="14.25" customHeight="1" x14ac:dyDescent="0.55000000000000004">
      <c r="A169" s="6"/>
      <c r="F169" s="6"/>
      <c r="G169" s="6"/>
      <c r="H169" s="6"/>
      <c r="M169" s="6"/>
    </row>
    <row r="170" spans="1:13" ht="14.25" customHeight="1" x14ac:dyDescent="0.55000000000000004">
      <c r="A170" s="6"/>
      <c r="F170" s="6"/>
      <c r="G170" s="6"/>
      <c r="H170" s="6"/>
      <c r="M170" s="6"/>
    </row>
    <row r="171" spans="1:13" ht="14.25" customHeight="1" x14ac:dyDescent="0.55000000000000004">
      <c r="A171" s="6"/>
      <c r="F171" s="6"/>
      <c r="G171" s="6"/>
      <c r="H171" s="6"/>
      <c r="M171" s="6"/>
    </row>
    <row r="172" spans="1:13" ht="14.25" customHeight="1" x14ac:dyDescent="0.55000000000000004">
      <c r="A172" s="6"/>
      <c r="F172" s="6"/>
      <c r="G172" s="6"/>
      <c r="H172" s="6"/>
      <c r="M172" s="6"/>
    </row>
    <row r="173" spans="1:13" ht="14.25" customHeight="1" x14ac:dyDescent="0.55000000000000004">
      <c r="A173" s="6"/>
      <c r="F173" s="6"/>
      <c r="G173" s="6"/>
      <c r="H173" s="6"/>
      <c r="M173" s="6"/>
    </row>
    <row r="174" spans="1:13" ht="14.25" customHeight="1" x14ac:dyDescent="0.55000000000000004">
      <c r="A174" s="6"/>
      <c r="F174" s="6"/>
      <c r="G174" s="6"/>
      <c r="H174" s="6"/>
      <c r="M174" s="6"/>
    </row>
    <row r="175" spans="1:13" ht="14.25" customHeight="1" x14ac:dyDescent="0.55000000000000004">
      <c r="A175" s="6"/>
      <c r="F175" s="6"/>
      <c r="G175" s="6"/>
      <c r="H175" s="6"/>
      <c r="M175" s="6"/>
    </row>
    <row r="176" spans="1:13" ht="14.25" customHeight="1" x14ac:dyDescent="0.55000000000000004">
      <c r="A176" s="6"/>
      <c r="F176" s="6"/>
      <c r="G176" s="6"/>
      <c r="H176" s="6"/>
      <c r="M176" s="6"/>
    </row>
    <row r="177" spans="1:13" ht="14.25" customHeight="1" x14ac:dyDescent="0.55000000000000004">
      <c r="A177" s="6"/>
      <c r="F177" s="6"/>
      <c r="G177" s="6"/>
      <c r="H177" s="6"/>
      <c r="M177" s="6"/>
    </row>
    <row r="178" spans="1:13" ht="14.25" customHeight="1" x14ac:dyDescent="0.55000000000000004">
      <c r="A178" s="6"/>
      <c r="F178" s="6"/>
      <c r="G178" s="6"/>
      <c r="H178" s="6"/>
      <c r="M178" s="6"/>
    </row>
    <row r="179" spans="1:13" ht="14.25" customHeight="1" x14ac:dyDescent="0.55000000000000004">
      <c r="A179" s="6"/>
      <c r="F179" s="6"/>
      <c r="G179" s="6"/>
      <c r="H179" s="6"/>
      <c r="M179" s="6"/>
    </row>
    <row r="180" spans="1:13" ht="14.25" customHeight="1" x14ac:dyDescent="0.55000000000000004">
      <c r="A180" s="6"/>
      <c r="F180" s="6"/>
      <c r="G180" s="6"/>
      <c r="H180" s="6"/>
      <c r="M180" s="6"/>
    </row>
    <row r="181" spans="1:13" ht="14.25" customHeight="1" x14ac:dyDescent="0.55000000000000004">
      <c r="A181" s="6"/>
      <c r="F181" s="6"/>
      <c r="G181" s="6"/>
      <c r="H181" s="6"/>
      <c r="M181" s="6"/>
    </row>
    <row r="182" spans="1:13" ht="14.25" customHeight="1" x14ac:dyDescent="0.55000000000000004">
      <c r="A182" s="6"/>
      <c r="F182" s="6"/>
      <c r="G182" s="6"/>
      <c r="H182" s="6"/>
      <c r="M182" s="6"/>
    </row>
    <row r="183" spans="1:13" ht="14.25" customHeight="1" x14ac:dyDescent="0.55000000000000004">
      <c r="A183" s="6"/>
      <c r="F183" s="6"/>
      <c r="G183" s="6"/>
      <c r="H183" s="6"/>
      <c r="M183" s="6"/>
    </row>
    <row r="184" spans="1:13" ht="14.25" customHeight="1" x14ac:dyDescent="0.55000000000000004">
      <c r="A184" s="6"/>
      <c r="F184" s="6"/>
      <c r="G184" s="6"/>
      <c r="H184" s="6"/>
      <c r="M184" s="6"/>
    </row>
    <row r="185" spans="1:13" ht="14.25" customHeight="1" x14ac:dyDescent="0.55000000000000004">
      <c r="A185" s="6"/>
      <c r="F185" s="6"/>
      <c r="G185" s="6"/>
      <c r="H185" s="6"/>
      <c r="M185" s="6"/>
    </row>
    <row r="186" spans="1:13" ht="14.25" customHeight="1" x14ac:dyDescent="0.55000000000000004">
      <c r="A186" s="6"/>
      <c r="F186" s="6"/>
      <c r="G186" s="6"/>
      <c r="H186" s="6"/>
      <c r="M186" s="6"/>
    </row>
    <row r="187" spans="1:13" ht="14.25" customHeight="1" x14ac:dyDescent="0.55000000000000004">
      <c r="A187" s="6"/>
      <c r="F187" s="6"/>
      <c r="G187" s="6"/>
      <c r="H187" s="6"/>
      <c r="M187" s="6"/>
    </row>
    <row r="188" spans="1:13" ht="14.25" customHeight="1" x14ac:dyDescent="0.55000000000000004">
      <c r="A188" s="6"/>
      <c r="F188" s="6"/>
      <c r="G188" s="6"/>
      <c r="H188" s="6"/>
      <c r="M188" s="6"/>
    </row>
    <row r="189" spans="1:13" ht="14.25" customHeight="1" x14ac:dyDescent="0.55000000000000004">
      <c r="A189" s="6"/>
      <c r="F189" s="6"/>
      <c r="G189" s="6"/>
      <c r="H189" s="6"/>
      <c r="M189" s="6"/>
    </row>
    <row r="190" spans="1:13" ht="14.25" customHeight="1" x14ac:dyDescent="0.55000000000000004">
      <c r="A190" s="6"/>
      <c r="F190" s="6"/>
      <c r="G190" s="6"/>
      <c r="H190" s="6"/>
      <c r="M190" s="6"/>
    </row>
    <row r="191" spans="1:13" ht="14.25" customHeight="1" x14ac:dyDescent="0.55000000000000004">
      <c r="A191" s="6"/>
      <c r="F191" s="6"/>
      <c r="G191" s="6"/>
      <c r="H191" s="6"/>
      <c r="M191" s="6"/>
    </row>
    <row r="192" spans="1:13" ht="14.25" customHeight="1" x14ac:dyDescent="0.55000000000000004">
      <c r="A192" s="6"/>
      <c r="F192" s="6"/>
      <c r="G192" s="6"/>
      <c r="H192" s="6"/>
      <c r="M192" s="6"/>
    </row>
    <row r="193" spans="1:13" ht="14.25" customHeight="1" x14ac:dyDescent="0.55000000000000004">
      <c r="A193" s="6"/>
      <c r="F193" s="6"/>
      <c r="G193" s="6"/>
      <c r="H193" s="6"/>
      <c r="M193" s="6"/>
    </row>
    <row r="194" spans="1:13" ht="14.25" customHeight="1" x14ac:dyDescent="0.55000000000000004">
      <c r="A194" s="6"/>
      <c r="F194" s="6"/>
      <c r="G194" s="6"/>
      <c r="H194" s="6"/>
      <c r="M194" s="6"/>
    </row>
    <row r="195" spans="1:13" ht="14.25" customHeight="1" x14ac:dyDescent="0.55000000000000004">
      <c r="A195" s="6"/>
      <c r="F195" s="6"/>
      <c r="G195" s="6"/>
      <c r="H195" s="6"/>
      <c r="M195" s="6"/>
    </row>
    <row r="196" spans="1:13" ht="14.25" customHeight="1" x14ac:dyDescent="0.55000000000000004">
      <c r="A196" s="6"/>
      <c r="F196" s="6"/>
      <c r="G196" s="6"/>
      <c r="H196" s="6"/>
      <c r="M196" s="6"/>
    </row>
    <row r="197" spans="1:13" ht="14.25" customHeight="1" x14ac:dyDescent="0.55000000000000004">
      <c r="A197" s="6"/>
      <c r="F197" s="6"/>
      <c r="G197" s="6"/>
      <c r="H197" s="6"/>
      <c r="M197" s="6"/>
    </row>
    <row r="198" spans="1:13" ht="14.25" customHeight="1" x14ac:dyDescent="0.55000000000000004">
      <c r="A198" s="6"/>
      <c r="F198" s="6"/>
      <c r="G198" s="6"/>
      <c r="H198" s="6"/>
      <c r="M198" s="6"/>
    </row>
    <row r="199" spans="1:13" ht="14.25" customHeight="1" x14ac:dyDescent="0.55000000000000004">
      <c r="A199" s="6"/>
      <c r="F199" s="6"/>
      <c r="G199" s="6"/>
      <c r="H199" s="6"/>
      <c r="M199" s="6"/>
    </row>
    <row r="200" spans="1:13" ht="14.25" customHeight="1" x14ac:dyDescent="0.55000000000000004">
      <c r="A200" s="6"/>
      <c r="F200" s="6"/>
      <c r="G200" s="6"/>
      <c r="H200" s="6"/>
      <c r="M200" s="6"/>
    </row>
    <row r="201" spans="1:13" ht="14.25" customHeight="1" x14ac:dyDescent="0.55000000000000004">
      <c r="A201" s="6"/>
      <c r="F201" s="6"/>
      <c r="G201" s="6"/>
      <c r="H201" s="6"/>
      <c r="M201" s="6"/>
    </row>
    <row r="202" spans="1:13" ht="14.25" customHeight="1" x14ac:dyDescent="0.55000000000000004">
      <c r="A202" s="6"/>
      <c r="F202" s="6"/>
      <c r="G202" s="6"/>
      <c r="H202" s="6"/>
      <c r="M202" s="6"/>
    </row>
    <row r="203" spans="1:13" ht="14.25" customHeight="1" x14ac:dyDescent="0.55000000000000004">
      <c r="A203" s="6"/>
      <c r="F203" s="6"/>
      <c r="G203" s="6"/>
      <c r="H203" s="6"/>
      <c r="M203" s="6"/>
    </row>
    <row r="204" spans="1:13" ht="14.25" customHeight="1" x14ac:dyDescent="0.55000000000000004">
      <c r="A204" s="6"/>
      <c r="F204" s="6"/>
      <c r="G204" s="6"/>
      <c r="H204" s="6"/>
      <c r="M204" s="6"/>
    </row>
    <row r="205" spans="1:13" ht="14.25" customHeight="1" x14ac:dyDescent="0.55000000000000004">
      <c r="A205" s="6"/>
      <c r="F205" s="6"/>
      <c r="G205" s="6"/>
      <c r="H205" s="6"/>
      <c r="M205" s="6"/>
    </row>
    <row r="206" spans="1:13" ht="14.25" customHeight="1" x14ac:dyDescent="0.55000000000000004">
      <c r="A206" s="6"/>
      <c r="F206" s="6"/>
      <c r="G206" s="6"/>
      <c r="H206" s="6"/>
      <c r="M206" s="6"/>
    </row>
    <row r="207" spans="1:13" ht="14.25" customHeight="1" x14ac:dyDescent="0.55000000000000004">
      <c r="A207" s="6"/>
      <c r="F207" s="6"/>
      <c r="G207" s="6"/>
      <c r="H207" s="6"/>
      <c r="M207" s="6"/>
    </row>
    <row r="208" spans="1:13" ht="14.25" customHeight="1" x14ac:dyDescent="0.55000000000000004">
      <c r="A208" s="6"/>
      <c r="F208" s="6"/>
      <c r="G208" s="6"/>
      <c r="H208" s="6"/>
      <c r="M208" s="6"/>
    </row>
    <row r="209" spans="1:13" ht="14.25" customHeight="1" x14ac:dyDescent="0.55000000000000004">
      <c r="A209" s="6"/>
      <c r="F209" s="6"/>
      <c r="G209" s="6"/>
      <c r="H209" s="6"/>
      <c r="M209" s="6"/>
    </row>
    <row r="210" spans="1:13" ht="14.25" customHeight="1" x14ac:dyDescent="0.55000000000000004">
      <c r="A210" s="6"/>
      <c r="F210" s="6"/>
      <c r="G210" s="6"/>
      <c r="H210" s="6"/>
      <c r="M210" s="6"/>
    </row>
    <row r="211" spans="1:13" ht="14.25" customHeight="1" x14ac:dyDescent="0.55000000000000004">
      <c r="A211" s="6"/>
      <c r="F211" s="6"/>
      <c r="G211" s="6"/>
      <c r="H211" s="6"/>
      <c r="M211" s="6"/>
    </row>
    <row r="212" spans="1:13" ht="14.25" customHeight="1" x14ac:dyDescent="0.55000000000000004">
      <c r="A212" s="6"/>
      <c r="F212" s="6"/>
      <c r="G212" s="6"/>
      <c r="H212" s="6"/>
      <c r="M212" s="6"/>
    </row>
    <row r="213" spans="1:13" ht="14.25" customHeight="1" x14ac:dyDescent="0.55000000000000004">
      <c r="A213" s="6"/>
      <c r="F213" s="6"/>
      <c r="G213" s="6"/>
      <c r="H213" s="6"/>
      <c r="M213" s="6"/>
    </row>
    <row r="214" spans="1:13" ht="14.25" customHeight="1" x14ac:dyDescent="0.55000000000000004">
      <c r="A214" s="6"/>
      <c r="F214" s="6"/>
      <c r="G214" s="6"/>
      <c r="H214" s="6"/>
      <c r="M214" s="6"/>
    </row>
    <row r="215" spans="1:13" ht="14.25" customHeight="1" x14ac:dyDescent="0.55000000000000004">
      <c r="A215" s="6"/>
      <c r="F215" s="6"/>
      <c r="G215" s="6"/>
      <c r="H215" s="6"/>
      <c r="M215" s="6"/>
    </row>
    <row r="216" spans="1:13" ht="14.25" customHeight="1" x14ac:dyDescent="0.55000000000000004">
      <c r="A216" s="6"/>
      <c r="F216" s="6"/>
      <c r="G216" s="6"/>
      <c r="H216" s="6"/>
      <c r="M216" s="6"/>
    </row>
    <row r="217" spans="1:13" ht="14.25" customHeight="1" x14ac:dyDescent="0.55000000000000004">
      <c r="A217" s="6"/>
      <c r="F217" s="6"/>
      <c r="G217" s="6"/>
      <c r="H217" s="6"/>
      <c r="M217" s="6"/>
    </row>
    <row r="218" spans="1:13" ht="14.25" customHeight="1" x14ac:dyDescent="0.55000000000000004">
      <c r="A218" s="6"/>
      <c r="F218" s="6"/>
      <c r="G218" s="6"/>
      <c r="H218" s="6"/>
      <c r="M218" s="6"/>
    </row>
    <row r="219" spans="1:13" ht="14.25" customHeight="1" x14ac:dyDescent="0.55000000000000004">
      <c r="A219" s="6"/>
      <c r="F219" s="6"/>
      <c r="G219" s="6"/>
      <c r="H219" s="6"/>
      <c r="M219" s="6"/>
    </row>
    <row r="220" spans="1:13" ht="14.25" customHeight="1" x14ac:dyDescent="0.55000000000000004">
      <c r="A220" s="6"/>
      <c r="F220" s="6"/>
      <c r="G220" s="6"/>
      <c r="H220" s="6"/>
      <c r="M220" s="6"/>
    </row>
    <row r="221" spans="1:13" ht="14.25" customHeight="1" x14ac:dyDescent="0.55000000000000004">
      <c r="A221" s="6"/>
      <c r="F221" s="6"/>
      <c r="G221" s="6"/>
      <c r="H221" s="6"/>
      <c r="M221" s="6"/>
    </row>
    <row r="222" spans="1:13" ht="14.25" customHeight="1" x14ac:dyDescent="0.55000000000000004">
      <c r="A222" s="6"/>
      <c r="F222" s="6"/>
      <c r="G222" s="6"/>
      <c r="H222" s="6"/>
      <c r="M222" s="6"/>
    </row>
    <row r="223" spans="1:13" ht="14.25" customHeight="1" x14ac:dyDescent="0.55000000000000004">
      <c r="A223" s="6"/>
      <c r="F223" s="6"/>
      <c r="G223" s="6"/>
      <c r="H223" s="6"/>
      <c r="M223" s="6"/>
    </row>
    <row r="224" spans="1:13" ht="14.25" customHeight="1" x14ac:dyDescent="0.55000000000000004">
      <c r="A224" s="6"/>
      <c r="F224" s="6"/>
      <c r="G224" s="6"/>
      <c r="H224" s="6"/>
      <c r="M224" s="6"/>
    </row>
    <row r="225" spans="1:13" ht="14.25" customHeight="1" x14ac:dyDescent="0.55000000000000004">
      <c r="A225" s="6"/>
      <c r="F225" s="6"/>
      <c r="G225" s="6"/>
      <c r="H225" s="6"/>
      <c r="M225" s="6"/>
    </row>
    <row r="226" spans="1:13" ht="14.25" customHeight="1" x14ac:dyDescent="0.55000000000000004">
      <c r="A226" s="6"/>
      <c r="F226" s="6"/>
      <c r="G226" s="6"/>
      <c r="H226" s="6"/>
      <c r="M226" s="6"/>
    </row>
    <row r="227" spans="1:13" ht="14.25" customHeight="1" x14ac:dyDescent="0.55000000000000004">
      <c r="A227" s="6"/>
      <c r="F227" s="6"/>
      <c r="G227" s="6"/>
      <c r="H227" s="6"/>
      <c r="M227" s="6"/>
    </row>
    <row r="228" spans="1:13" ht="14.25" customHeight="1" x14ac:dyDescent="0.55000000000000004">
      <c r="A228" s="6"/>
      <c r="F228" s="6"/>
      <c r="G228" s="6"/>
      <c r="H228" s="6"/>
      <c r="M228" s="6"/>
    </row>
    <row r="229" spans="1:13" ht="14.25" customHeight="1" x14ac:dyDescent="0.55000000000000004">
      <c r="A229" s="6"/>
      <c r="F229" s="6"/>
      <c r="G229" s="6"/>
      <c r="H229" s="6"/>
      <c r="M229" s="6"/>
    </row>
    <row r="230" spans="1:13" ht="14.25" customHeight="1" x14ac:dyDescent="0.55000000000000004">
      <c r="A230" s="6"/>
      <c r="F230" s="6"/>
      <c r="G230" s="6"/>
      <c r="H230" s="6"/>
      <c r="M230" s="6"/>
    </row>
    <row r="231" spans="1:13" ht="14.25" customHeight="1" x14ac:dyDescent="0.55000000000000004">
      <c r="A231" s="6"/>
      <c r="F231" s="6"/>
      <c r="G231" s="6"/>
      <c r="H231" s="6"/>
      <c r="M231" s="6"/>
    </row>
    <row r="232" spans="1:13" ht="15.75" customHeight="1" x14ac:dyDescent="0.55000000000000004"/>
    <row r="233" spans="1:13" ht="15.75" customHeight="1" x14ac:dyDescent="0.55000000000000004"/>
    <row r="234" spans="1:13" ht="15.75" customHeight="1" x14ac:dyDescent="0.55000000000000004"/>
    <row r="235" spans="1:13" ht="15.75" customHeight="1" x14ac:dyDescent="0.55000000000000004"/>
    <row r="236" spans="1:13" ht="15.75" customHeight="1" x14ac:dyDescent="0.55000000000000004"/>
    <row r="237" spans="1:13" ht="15.75" customHeight="1" x14ac:dyDescent="0.55000000000000004"/>
    <row r="238" spans="1:13" ht="15.75" customHeight="1" x14ac:dyDescent="0.55000000000000004"/>
    <row r="239" spans="1:13" ht="15.75" customHeight="1" x14ac:dyDescent="0.55000000000000004"/>
    <row r="240" spans="1:13" ht="15.75" customHeight="1" x14ac:dyDescent="0.55000000000000004"/>
    <row r="241" ht="15.75" customHeight="1" x14ac:dyDescent="0.55000000000000004"/>
    <row r="242" ht="15.75" customHeight="1" x14ac:dyDescent="0.55000000000000004"/>
    <row r="243" ht="15.75" customHeight="1" x14ac:dyDescent="0.55000000000000004"/>
    <row r="244" ht="15.75" customHeight="1" x14ac:dyDescent="0.55000000000000004"/>
    <row r="245" ht="15.75" customHeight="1" x14ac:dyDescent="0.55000000000000004"/>
    <row r="246" ht="15.75" customHeight="1" x14ac:dyDescent="0.55000000000000004"/>
    <row r="247" ht="15.75" customHeight="1" x14ac:dyDescent="0.55000000000000004"/>
    <row r="248" ht="15.75" customHeight="1" x14ac:dyDescent="0.55000000000000004"/>
    <row r="249" ht="15.75" customHeight="1" x14ac:dyDescent="0.55000000000000004"/>
    <row r="250" ht="15.75" customHeight="1" x14ac:dyDescent="0.55000000000000004"/>
    <row r="251" ht="15.75" customHeight="1" x14ac:dyDescent="0.55000000000000004"/>
    <row r="252" ht="15.75" customHeight="1" x14ac:dyDescent="0.55000000000000004"/>
    <row r="253" ht="15.75" customHeight="1" x14ac:dyDescent="0.55000000000000004"/>
    <row r="254" ht="15.75" customHeight="1" x14ac:dyDescent="0.55000000000000004"/>
    <row r="255" ht="15.75" customHeight="1" x14ac:dyDescent="0.55000000000000004"/>
    <row r="256" ht="15.75" customHeight="1" x14ac:dyDescent="0.55000000000000004"/>
    <row r="257" ht="15.75" customHeight="1" x14ac:dyDescent="0.55000000000000004"/>
    <row r="258" ht="15.75" customHeight="1" x14ac:dyDescent="0.55000000000000004"/>
    <row r="259" ht="15.75" customHeight="1" x14ac:dyDescent="0.55000000000000004"/>
    <row r="260" ht="15.75" customHeight="1" x14ac:dyDescent="0.55000000000000004"/>
    <row r="261" ht="15.75" customHeight="1" x14ac:dyDescent="0.55000000000000004"/>
    <row r="262" ht="15.75" customHeight="1" x14ac:dyDescent="0.55000000000000004"/>
    <row r="263" ht="15.75" customHeight="1" x14ac:dyDescent="0.55000000000000004"/>
    <row r="264" ht="15.75" customHeight="1" x14ac:dyDescent="0.55000000000000004"/>
    <row r="265" ht="15.75" customHeight="1" x14ac:dyDescent="0.55000000000000004"/>
    <row r="266" ht="15.75" customHeight="1" x14ac:dyDescent="0.55000000000000004"/>
    <row r="267" ht="15.75" customHeight="1" x14ac:dyDescent="0.55000000000000004"/>
    <row r="268" ht="15.75" customHeight="1" x14ac:dyDescent="0.55000000000000004"/>
    <row r="269" ht="15.75" customHeight="1" x14ac:dyDescent="0.55000000000000004"/>
    <row r="270" ht="15.75" customHeight="1" x14ac:dyDescent="0.55000000000000004"/>
    <row r="271" ht="15.75" customHeight="1" x14ac:dyDescent="0.55000000000000004"/>
    <row r="272" ht="15.75" customHeight="1" x14ac:dyDescent="0.55000000000000004"/>
    <row r="273" ht="15.75" customHeight="1" x14ac:dyDescent="0.55000000000000004"/>
    <row r="274" ht="15.75" customHeight="1" x14ac:dyDescent="0.55000000000000004"/>
    <row r="275" ht="15.75" customHeight="1" x14ac:dyDescent="0.55000000000000004"/>
    <row r="276" ht="15.75" customHeight="1" x14ac:dyDescent="0.55000000000000004"/>
    <row r="277" ht="15.75" customHeight="1" x14ac:dyDescent="0.55000000000000004"/>
    <row r="278" ht="15.75" customHeight="1" x14ac:dyDescent="0.55000000000000004"/>
    <row r="279" ht="15.75" customHeight="1" x14ac:dyDescent="0.55000000000000004"/>
    <row r="280" ht="15.75" customHeight="1" x14ac:dyDescent="0.55000000000000004"/>
    <row r="281" ht="15.75" customHeight="1" x14ac:dyDescent="0.55000000000000004"/>
    <row r="282" ht="15.75" customHeight="1" x14ac:dyDescent="0.55000000000000004"/>
    <row r="283" ht="15.75" customHeight="1" x14ac:dyDescent="0.55000000000000004"/>
    <row r="284" ht="15.75" customHeight="1" x14ac:dyDescent="0.55000000000000004"/>
    <row r="285" ht="15.75" customHeight="1" x14ac:dyDescent="0.55000000000000004"/>
    <row r="286" ht="15.75" customHeight="1" x14ac:dyDescent="0.55000000000000004"/>
    <row r="287" ht="15.75" customHeight="1" x14ac:dyDescent="0.55000000000000004"/>
    <row r="288" ht="15.75" customHeight="1" x14ac:dyDescent="0.55000000000000004"/>
    <row r="289" ht="15.75" customHeight="1" x14ac:dyDescent="0.55000000000000004"/>
    <row r="290" ht="15.75" customHeight="1" x14ac:dyDescent="0.55000000000000004"/>
    <row r="291" ht="15.75" customHeight="1" x14ac:dyDescent="0.55000000000000004"/>
    <row r="292" ht="15.75" customHeight="1" x14ac:dyDescent="0.55000000000000004"/>
    <row r="293" ht="15.75" customHeight="1" x14ac:dyDescent="0.55000000000000004"/>
    <row r="294" ht="15.75" customHeight="1" x14ac:dyDescent="0.55000000000000004"/>
    <row r="295" ht="15.75" customHeight="1" x14ac:dyDescent="0.55000000000000004"/>
    <row r="296" ht="15.75" customHeight="1" x14ac:dyDescent="0.55000000000000004"/>
    <row r="297" ht="15.75" customHeight="1" x14ac:dyDescent="0.55000000000000004"/>
    <row r="298" ht="15.75" customHeight="1" x14ac:dyDescent="0.55000000000000004"/>
    <row r="299" ht="15.75" customHeight="1" x14ac:dyDescent="0.55000000000000004"/>
    <row r="300" ht="15.75" customHeight="1" x14ac:dyDescent="0.55000000000000004"/>
    <row r="301" ht="15.75" customHeight="1" x14ac:dyDescent="0.55000000000000004"/>
    <row r="302" ht="15.75" customHeight="1" x14ac:dyDescent="0.55000000000000004"/>
    <row r="303" ht="15.75" customHeight="1" x14ac:dyDescent="0.55000000000000004"/>
    <row r="304" ht="15.75" customHeight="1" x14ac:dyDescent="0.55000000000000004"/>
    <row r="305" ht="15.75" customHeight="1" x14ac:dyDescent="0.55000000000000004"/>
    <row r="306" ht="15.75" customHeight="1" x14ac:dyDescent="0.55000000000000004"/>
    <row r="307" ht="15.75" customHeight="1" x14ac:dyDescent="0.55000000000000004"/>
    <row r="308" ht="15.75" customHeight="1" x14ac:dyDescent="0.55000000000000004"/>
    <row r="309" ht="15.75" customHeight="1" x14ac:dyDescent="0.55000000000000004"/>
    <row r="310" ht="15.75" customHeight="1" x14ac:dyDescent="0.55000000000000004"/>
    <row r="311" ht="15.75" customHeight="1" x14ac:dyDescent="0.55000000000000004"/>
    <row r="312" ht="15.75" customHeight="1" x14ac:dyDescent="0.55000000000000004"/>
    <row r="313" ht="15.75" customHeight="1" x14ac:dyDescent="0.55000000000000004"/>
    <row r="314" ht="15.75" customHeight="1" x14ac:dyDescent="0.55000000000000004"/>
    <row r="315" ht="15.75" customHeight="1" x14ac:dyDescent="0.55000000000000004"/>
    <row r="316" ht="15.75" customHeight="1" x14ac:dyDescent="0.55000000000000004"/>
    <row r="317" ht="15.75" customHeight="1" x14ac:dyDescent="0.55000000000000004"/>
    <row r="318" ht="15.75" customHeight="1" x14ac:dyDescent="0.55000000000000004"/>
    <row r="319" ht="15.75" customHeight="1" x14ac:dyDescent="0.55000000000000004"/>
    <row r="320" ht="15.75" customHeight="1" x14ac:dyDescent="0.55000000000000004"/>
    <row r="321" ht="15.75" customHeight="1" x14ac:dyDescent="0.55000000000000004"/>
    <row r="322" ht="15.75" customHeight="1" x14ac:dyDescent="0.55000000000000004"/>
    <row r="323" ht="15.75" customHeight="1" x14ac:dyDescent="0.55000000000000004"/>
    <row r="324" ht="15.75" customHeight="1" x14ac:dyDescent="0.55000000000000004"/>
    <row r="325" ht="15.75" customHeight="1" x14ac:dyDescent="0.55000000000000004"/>
    <row r="326" ht="15.75" customHeight="1" x14ac:dyDescent="0.55000000000000004"/>
    <row r="327" ht="15.75" customHeight="1" x14ac:dyDescent="0.55000000000000004"/>
    <row r="328" ht="15.75" customHeight="1" x14ac:dyDescent="0.55000000000000004"/>
    <row r="329" ht="15.75" customHeight="1" x14ac:dyDescent="0.55000000000000004"/>
    <row r="330" ht="15.75" customHeight="1" x14ac:dyDescent="0.55000000000000004"/>
    <row r="331" ht="15.75" customHeight="1" x14ac:dyDescent="0.55000000000000004"/>
    <row r="332" ht="15.75" customHeight="1" x14ac:dyDescent="0.55000000000000004"/>
    <row r="333" ht="15.75" customHeight="1" x14ac:dyDescent="0.55000000000000004"/>
    <row r="334" ht="15.75" customHeight="1" x14ac:dyDescent="0.55000000000000004"/>
    <row r="335" ht="15.75" customHeight="1" x14ac:dyDescent="0.55000000000000004"/>
    <row r="336" ht="15.75" customHeight="1" x14ac:dyDescent="0.55000000000000004"/>
    <row r="337" ht="15.75" customHeight="1" x14ac:dyDescent="0.55000000000000004"/>
    <row r="338" ht="15.75" customHeight="1" x14ac:dyDescent="0.55000000000000004"/>
    <row r="339" ht="15.75" customHeight="1" x14ac:dyDescent="0.55000000000000004"/>
    <row r="340" ht="15.75" customHeight="1" x14ac:dyDescent="0.55000000000000004"/>
    <row r="341" ht="15.75" customHeight="1" x14ac:dyDescent="0.55000000000000004"/>
    <row r="342" ht="15.75" customHeight="1" x14ac:dyDescent="0.55000000000000004"/>
    <row r="343" ht="15.75" customHeight="1" x14ac:dyDescent="0.55000000000000004"/>
    <row r="344" ht="15.75" customHeight="1" x14ac:dyDescent="0.55000000000000004"/>
    <row r="345" ht="15.75" customHeight="1" x14ac:dyDescent="0.55000000000000004"/>
    <row r="346" ht="15.75" customHeight="1" x14ac:dyDescent="0.55000000000000004"/>
    <row r="347" ht="15.75" customHeight="1" x14ac:dyDescent="0.55000000000000004"/>
    <row r="348" ht="15.75" customHeight="1" x14ac:dyDescent="0.55000000000000004"/>
    <row r="349" ht="15.75" customHeight="1" x14ac:dyDescent="0.55000000000000004"/>
    <row r="350" ht="15.75" customHeight="1" x14ac:dyDescent="0.55000000000000004"/>
    <row r="351" ht="15.75" customHeight="1" x14ac:dyDescent="0.55000000000000004"/>
    <row r="352" ht="15.75" customHeight="1" x14ac:dyDescent="0.55000000000000004"/>
    <row r="353" ht="15.75" customHeight="1" x14ac:dyDescent="0.55000000000000004"/>
    <row r="354" ht="15.75" customHeight="1" x14ac:dyDescent="0.55000000000000004"/>
    <row r="355" ht="15.75" customHeight="1" x14ac:dyDescent="0.55000000000000004"/>
    <row r="356" ht="15.75" customHeight="1" x14ac:dyDescent="0.55000000000000004"/>
    <row r="357" ht="15.75" customHeight="1" x14ac:dyDescent="0.55000000000000004"/>
    <row r="358" ht="15.75" customHeight="1" x14ac:dyDescent="0.55000000000000004"/>
    <row r="359" ht="15.75" customHeight="1" x14ac:dyDescent="0.55000000000000004"/>
    <row r="360" ht="15.75" customHeight="1" x14ac:dyDescent="0.55000000000000004"/>
    <row r="361" ht="15.75" customHeight="1" x14ac:dyDescent="0.55000000000000004"/>
    <row r="362" ht="15.75" customHeight="1" x14ac:dyDescent="0.55000000000000004"/>
    <row r="363" ht="15.75" customHeight="1" x14ac:dyDescent="0.55000000000000004"/>
    <row r="364" ht="15.75" customHeight="1" x14ac:dyDescent="0.55000000000000004"/>
    <row r="365" ht="15.75" customHeight="1" x14ac:dyDescent="0.55000000000000004"/>
    <row r="366" ht="15.75" customHeight="1" x14ac:dyDescent="0.55000000000000004"/>
    <row r="367" ht="15.75" customHeight="1" x14ac:dyDescent="0.55000000000000004"/>
    <row r="368" ht="15.75" customHeight="1" x14ac:dyDescent="0.55000000000000004"/>
    <row r="369" ht="15.75" customHeight="1" x14ac:dyDescent="0.55000000000000004"/>
    <row r="370" ht="15.75" customHeight="1" x14ac:dyDescent="0.55000000000000004"/>
    <row r="371" ht="15.75" customHeight="1" x14ac:dyDescent="0.55000000000000004"/>
    <row r="372" ht="15.75" customHeight="1" x14ac:dyDescent="0.55000000000000004"/>
    <row r="373" ht="15.75" customHeight="1" x14ac:dyDescent="0.55000000000000004"/>
    <row r="374" ht="15.75" customHeight="1" x14ac:dyDescent="0.55000000000000004"/>
    <row r="375" ht="15.75" customHeight="1" x14ac:dyDescent="0.55000000000000004"/>
    <row r="376" ht="15.75" customHeight="1" x14ac:dyDescent="0.55000000000000004"/>
    <row r="377" ht="15.75" customHeight="1" x14ac:dyDescent="0.55000000000000004"/>
    <row r="378" ht="15.75" customHeight="1" x14ac:dyDescent="0.55000000000000004"/>
    <row r="379" ht="15.75" customHeight="1" x14ac:dyDescent="0.55000000000000004"/>
    <row r="380" ht="15.75" customHeight="1" x14ac:dyDescent="0.55000000000000004"/>
    <row r="381" ht="15.75" customHeight="1" x14ac:dyDescent="0.55000000000000004"/>
    <row r="382" ht="15.75" customHeight="1" x14ac:dyDescent="0.55000000000000004"/>
    <row r="383" ht="15.75" customHeight="1" x14ac:dyDescent="0.55000000000000004"/>
    <row r="384" ht="15.75" customHeight="1" x14ac:dyDescent="0.55000000000000004"/>
    <row r="385" ht="15.75" customHeight="1" x14ac:dyDescent="0.55000000000000004"/>
    <row r="386" ht="15.75" customHeight="1" x14ac:dyDescent="0.55000000000000004"/>
    <row r="387" ht="15.75" customHeight="1" x14ac:dyDescent="0.55000000000000004"/>
    <row r="388" ht="15.75" customHeight="1" x14ac:dyDescent="0.55000000000000004"/>
    <row r="389" ht="15.75" customHeight="1" x14ac:dyDescent="0.55000000000000004"/>
    <row r="390" ht="15.75" customHeight="1" x14ac:dyDescent="0.55000000000000004"/>
    <row r="391" ht="15.75" customHeight="1" x14ac:dyDescent="0.55000000000000004"/>
    <row r="392" ht="15.75" customHeight="1" x14ac:dyDescent="0.55000000000000004"/>
    <row r="393" ht="15.75" customHeight="1" x14ac:dyDescent="0.55000000000000004"/>
    <row r="394" ht="15.75" customHeight="1" x14ac:dyDescent="0.55000000000000004"/>
    <row r="395" ht="15.75" customHeight="1" x14ac:dyDescent="0.55000000000000004"/>
    <row r="396" ht="15.75" customHeight="1" x14ac:dyDescent="0.55000000000000004"/>
    <row r="397" ht="15.75" customHeight="1" x14ac:dyDescent="0.55000000000000004"/>
    <row r="398" ht="15.75" customHeight="1" x14ac:dyDescent="0.55000000000000004"/>
    <row r="399" ht="15.75" customHeight="1" x14ac:dyDescent="0.55000000000000004"/>
    <row r="400" ht="15.75" customHeight="1" x14ac:dyDescent="0.55000000000000004"/>
    <row r="401" ht="15.75" customHeight="1" x14ac:dyDescent="0.55000000000000004"/>
    <row r="402" ht="15.75" customHeight="1" x14ac:dyDescent="0.55000000000000004"/>
    <row r="403" ht="15.75" customHeight="1" x14ac:dyDescent="0.55000000000000004"/>
    <row r="404" ht="15.75" customHeight="1" x14ac:dyDescent="0.55000000000000004"/>
    <row r="405" ht="15.75" customHeight="1" x14ac:dyDescent="0.55000000000000004"/>
    <row r="406" ht="15.75" customHeight="1" x14ac:dyDescent="0.55000000000000004"/>
    <row r="407" ht="15.75" customHeight="1" x14ac:dyDescent="0.55000000000000004"/>
    <row r="408" ht="15.75" customHeight="1" x14ac:dyDescent="0.55000000000000004"/>
    <row r="409" ht="15.75" customHeight="1" x14ac:dyDescent="0.55000000000000004"/>
    <row r="410" ht="15.75" customHeight="1" x14ac:dyDescent="0.55000000000000004"/>
    <row r="411" ht="15.75" customHeight="1" x14ac:dyDescent="0.55000000000000004"/>
    <row r="412" ht="15.75" customHeight="1" x14ac:dyDescent="0.55000000000000004"/>
    <row r="413" ht="15.75" customHeight="1" x14ac:dyDescent="0.55000000000000004"/>
    <row r="414" ht="15.75" customHeight="1" x14ac:dyDescent="0.55000000000000004"/>
    <row r="415" ht="15.75" customHeight="1" x14ac:dyDescent="0.55000000000000004"/>
    <row r="416" ht="15.75" customHeight="1" x14ac:dyDescent="0.55000000000000004"/>
    <row r="417" ht="15.75" customHeight="1" x14ac:dyDescent="0.55000000000000004"/>
    <row r="418" ht="15.75" customHeight="1" x14ac:dyDescent="0.55000000000000004"/>
    <row r="419" ht="15.75" customHeight="1" x14ac:dyDescent="0.55000000000000004"/>
    <row r="420" ht="15.75" customHeight="1" x14ac:dyDescent="0.55000000000000004"/>
    <row r="421" ht="15.75" customHeight="1" x14ac:dyDescent="0.55000000000000004"/>
    <row r="422" ht="15.75" customHeight="1" x14ac:dyDescent="0.55000000000000004"/>
    <row r="423" ht="15.75" customHeight="1" x14ac:dyDescent="0.55000000000000004"/>
    <row r="424" ht="15.75" customHeight="1" x14ac:dyDescent="0.55000000000000004"/>
    <row r="425" ht="15.75" customHeight="1" x14ac:dyDescent="0.55000000000000004"/>
    <row r="426" ht="15.75" customHeight="1" x14ac:dyDescent="0.55000000000000004"/>
    <row r="427" ht="15.75" customHeight="1" x14ac:dyDescent="0.55000000000000004"/>
    <row r="428" ht="15.75" customHeight="1" x14ac:dyDescent="0.55000000000000004"/>
    <row r="429" ht="15.75" customHeight="1" x14ac:dyDescent="0.55000000000000004"/>
    <row r="430" ht="15.75" customHeight="1" x14ac:dyDescent="0.55000000000000004"/>
    <row r="431" ht="15.75" customHeight="1" x14ac:dyDescent="0.55000000000000004"/>
    <row r="432" ht="15.75" customHeight="1" x14ac:dyDescent="0.55000000000000004"/>
    <row r="433" ht="15.75" customHeight="1" x14ac:dyDescent="0.55000000000000004"/>
    <row r="434" ht="15.75" customHeight="1" x14ac:dyDescent="0.55000000000000004"/>
    <row r="435" ht="15.75" customHeight="1" x14ac:dyDescent="0.55000000000000004"/>
    <row r="436" ht="15.75" customHeight="1" x14ac:dyDescent="0.55000000000000004"/>
    <row r="437" ht="15.75" customHeight="1" x14ac:dyDescent="0.55000000000000004"/>
    <row r="438" ht="15.75" customHeight="1" x14ac:dyDescent="0.55000000000000004"/>
    <row r="439" ht="15.75" customHeight="1" x14ac:dyDescent="0.55000000000000004"/>
    <row r="440" ht="15.75" customHeight="1" x14ac:dyDescent="0.55000000000000004"/>
    <row r="441" ht="15.75" customHeight="1" x14ac:dyDescent="0.55000000000000004"/>
    <row r="442" ht="15.75" customHeight="1" x14ac:dyDescent="0.55000000000000004"/>
    <row r="443" ht="15.75" customHeight="1" x14ac:dyDescent="0.55000000000000004"/>
    <row r="444" ht="15.75" customHeight="1" x14ac:dyDescent="0.55000000000000004"/>
    <row r="445" ht="15.75" customHeight="1" x14ac:dyDescent="0.55000000000000004"/>
    <row r="446" ht="15.75" customHeight="1" x14ac:dyDescent="0.55000000000000004"/>
    <row r="447" ht="15.75" customHeight="1" x14ac:dyDescent="0.55000000000000004"/>
    <row r="448" ht="15.75" customHeight="1" x14ac:dyDescent="0.55000000000000004"/>
    <row r="449" ht="15.75" customHeight="1" x14ac:dyDescent="0.55000000000000004"/>
    <row r="450" ht="15.75" customHeight="1" x14ac:dyDescent="0.55000000000000004"/>
    <row r="451" ht="15.75" customHeight="1" x14ac:dyDescent="0.55000000000000004"/>
    <row r="452" ht="15.75" customHeight="1" x14ac:dyDescent="0.55000000000000004"/>
    <row r="453" ht="15.75" customHeight="1" x14ac:dyDescent="0.55000000000000004"/>
    <row r="454" ht="15.75" customHeight="1" x14ac:dyDescent="0.55000000000000004"/>
    <row r="455" ht="15.75" customHeight="1" x14ac:dyDescent="0.55000000000000004"/>
    <row r="456" ht="15.75" customHeight="1" x14ac:dyDescent="0.55000000000000004"/>
    <row r="457" ht="15.75" customHeight="1" x14ac:dyDescent="0.55000000000000004"/>
    <row r="458" ht="15.75" customHeight="1" x14ac:dyDescent="0.55000000000000004"/>
    <row r="459" ht="15.75" customHeight="1" x14ac:dyDescent="0.55000000000000004"/>
    <row r="460" ht="15.75" customHeight="1" x14ac:dyDescent="0.55000000000000004"/>
    <row r="461" ht="15.75" customHeight="1" x14ac:dyDescent="0.55000000000000004"/>
    <row r="462" ht="15.75" customHeight="1" x14ac:dyDescent="0.55000000000000004"/>
    <row r="463" ht="15.75" customHeight="1" x14ac:dyDescent="0.55000000000000004"/>
    <row r="464" ht="15.75" customHeight="1" x14ac:dyDescent="0.55000000000000004"/>
    <row r="465" ht="15.75" customHeight="1" x14ac:dyDescent="0.55000000000000004"/>
    <row r="466" ht="15.75" customHeight="1" x14ac:dyDescent="0.55000000000000004"/>
    <row r="467" ht="15.75" customHeight="1" x14ac:dyDescent="0.55000000000000004"/>
    <row r="468" ht="15.75" customHeight="1" x14ac:dyDescent="0.55000000000000004"/>
    <row r="469" ht="15.75" customHeight="1" x14ac:dyDescent="0.55000000000000004"/>
    <row r="470" ht="15.75" customHeight="1" x14ac:dyDescent="0.55000000000000004"/>
    <row r="471" ht="15.75" customHeight="1" x14ac:dyDescent="0.55000000000000004"/>
    <row r="472" ht="15.75" customHeight="1" x14ac:dyDescent="0.55000000000000004"/>
    <row r="473" ht="15.75" customHeight="1" x14ac:dyDescent="0.55000000000000004"/>
    <row r="474" ht="15.75" customHeight="1" x14ac:dyDescent="0.55000000000000004"/>
    <row r="475" ht="15.75" customHeight="1" x14ac:dyDescent="0.55000000000000004"/>
    <row r="476" ht="15.75" customHeight="1" x14ac:dyDescent="0.55000000000000004"/>
    <row r="477" ht="15.75" customHeight="1" x14ac:dyDescent="0.55000000000000004"/>
    <row r="478" ht="15.75" customHeight="1" x14ac:dyDescent="0.55000000000000004"/>
    <row r="479" ht="15.75" customHeight="1" x14ac:dyDescent="0.55000000000000004"/>
    <row r="480" ht="15.75" customHeight="1" x14ac:dyDescent="0.55000000000000004"/>
    <row r="481" ht="15.75" customHeight="1" x14ac:dyDescent="0.55000000000000004"/>
    <row r="482" ht="15.75" customHeight="1" x14ac:dyDescent="0.55000000000000004"/>
    <row r="483" ht="15.75" customHeight="1" x14ac:dyDescent="0.55000000000000004"/>
    <row r="484" ht="15.75" customHeight="1" x14ac:dyDescent="0.55000000000000004"/>
    <row r="485" ht="15.75" customHeight="1" x14ac:dyDescent="0.55000000000000004"/>
    <row r="486" ht="15.75" customHeight="1" x14ac:dyDescent="0.55000000000000004"/>
    <row r="487" ht="15.75" customHeight="1" x14ac:dyDescent="0.55000000000000004"/>
    <row r="488" ht="15.75" customHeight="1" x14ac:dyDescent="0.55000000000000004"/>
    <row r="489" ht="15.75" customHeight="1" x14ac:dyDescent="0.55000000000000004"/>
    <row r="490" ht="15.75" customHeight="1" x14ac:dyDescent="0.55000000000000004"/>
    <row r="491" ht="15.75" customHeight="1" x14ac:dyDescent="0.55000000000000004"/>
    <row r="492" ht="15.75" customHeight="1" x14ac:dyDescent="0.55000000000000004"/>
    <row r="493" ht="15.75" customHeight="1" x14ac:dyDescent="0.55000000000000004"/>
    <row r="494" ht="15.75" customHeight="1" x14ac:dyDescent="0.55000000000000004"/>
    <row r="495" ht="15.75" customHeight="1" x14ac:dyDescent="0.55000000000000004"/>
    <row r="496" ht="15.75" customHeight="1" x14ac:dyDescent="0.55000000000000004"/>
    <row r="497" ht="15.75" customHeight="1" x14ac:dyDescent="0.55000000000000004"/>
    <row r="498" ht="15.75" customHeight="1" x14ac:dyDescent="0.55000000000000004"/>
    <row r="499" ht="15.75" customHeight="1" x14ac:dyDescent="0.55000000000000004"/>
    <row r="500" ht="15.75" customHeight="1" x14ac:dyDescent="0.55000000000000004"/>
    <row r="501" ht="15.75" customHeight="1" x14ac:dyDescent="0.55000000000000004"/>
    <row r="502" ht="15.75" customHeight="1" x14ac:dyDescent="0.55000000000000004"/>
    <row r="503" ht="15.75" customHeight="1" x14ac:dyDescent="0.55000000000000004"/>
    <row r="504" ht="15.75" customHeight="1" x14ac:dyDescent="0.55000000000000004"/>
    <row r="505" ht="15.75" customHeight="1" x14ac:dyDescent="0.55000000000000004"/>
    <row r="506" ht="15.75" customHeight="1" x14ac:dyDescent="0.55000000000000004"/>
    <row r="507" ht="15.75" customHeight="1" x14ac:dyDescent="0.55000000000000004"/>
    <row r="508" ht="15.75" customHeight="1" x14ac:dyDescent="0.55000000000000004"/>
    <row r="509" ht="15.75" customHeight="1" x14ac:dyDescent="0.55000000000000004"/>
    <row r="510" ht="15.75" customHeight="1" x14ac:dyDescent="0.55000000000000004"/>
    <row r="511" ht="15.75" customHeight="1" x14ac:dyDescent="0.55000000000000004"/>
    <row r="512" ht="15.75" customHeight="1" x14ac:dyDescent="0.55000000000000004"/>
    <row r="513" ht="15.75" customHeight="1" x14ac:dyDescent="0.55000000000000004"/>
    <row r="514" ht="15.75" customHeight="1" x14ac:dyDescent="0.55000000000000004"/>
    <row r="515" ht="15.75" customHeight="1" x14ac:dyDescent="0.55000000000000004"/>
    <row r="516" ht="15.75" customHeight="1" x14ac:dyDescent="0.55000000000000004"/>
    <row r="517" ht="15.75" customHeight="1" x14ac:dyDescent="0.55000000000000004"/>
    <row r="518" ht="15.75" customHeight="1" x14ac:dyDescent="0.55000000000000004"/>
    <row r="519" ht="15.75" customHeight="1" x14ac:dyDescent="0.55000000000000004"/>
    <row r="520" ht="15.75" customHeight="1" x14ac:dyDescent="0.55000000000000004"/>
    <row r="521" ht="15.75" customHeight="1" x14ac:dyDescent="0.55000000000000004"/>
    <row r="522" ht="15.75" customHeight="1" x14ac:dyDescent="0.55000000000000004"/>
    <row r="523" ht="15.75" customHeight="1" x14ac:dyDescent="0.55000000000000004"/>
    <row r="524" ht="15.75" customHeight="1" x14ac:dyDescent="0.55000000000000004"/>
    <row r="525" ht="15.75" customHeight="1" x14ac:dyDescent="0.55000000000000004"/>
    <row r="526" ht="15.75" customHeight="1" x14ac:dyDescent="0.55000000000000004"/>
    <row r="527" ht="15.75" customHeight="1" x14ac:dyDescent="0.55000000000000004"/>
    <row r="528" ht="15.75" customHeight="1" x14ac:dyDescent="0.55000000000000004"/>
    <row r="529" ht="15.75" customHeight="1" x14ac:dyDescent="0.55000000000000004"/>
    <row r="530" ht="15.75" customHeight="1" x14ac:dyDescent="0.55000000000000004"/>
    <row r="531" ht="15.75" customHeight="1" x14ac:dyDescent="0.55000000000000004"/>
    <row r="532" ht="15.75" customHeight="1" x14ac:dyDescent="0.55000000000000004"/>
    <row r="533" ht="15.75" customHeight="1" x14ac:dyDescent="0.55000000000000004"/>
    <row r="534" ht="15.75" customHeight="1" x14ac:dyDescent="0.55000000000000004"/>
    <row r="535" ht="15.75" customHeight="1" x14ac:dyDescent="0.55000000000000004"/>
    <row r="536" ht="15.75" customHeight="1" x14ac:dyDescent="0.55000000000000004"/>
    <row r="537" ht="15.75" customHeight="1" x14ac:dyDescent="0.55000000000000004"/>
    <row r="538" ht="15.75" customHeight="1" x14ac:dyDescent="0.55000000000000004"/>
    <row r="539" ht="15.75" customHeight="1" x14ac:dyDescent="0.55000000000000004"/>
    <row r="540" ht="15.75" customHeight="1" x14ac:dyDescent="0.55000000000000004"/>
    <row r="541" ht="15.75" customHeight="1" x14ac:dyDescent="0.55000000000000004"/>
    <row r="542" ht="15.75" customHeight="1" x14ac:dyDescent="0.55000000000000004"/>
    <row r="543" ht="15.75" customHeight="1" x14ac:dyDescent="0.55000000000000004"/>
    <row r="544" ht="15.75" customHeight="1" x14ac:dyDescent="0.55000000000000004"/>
    <row r="545" ht="15.75" customHeight="1" x14ac:dyDescent="0.55000000000000004"/>
    <row r="546" ht="15.75" customHeight="1" x14ac:dyDescent="0.55000000000000004"/>
    <row r="547" ht="15.75" customHeight="1" x14ac:dyDescent="0.55000000000000004"/>
    <row r="548" ht="15.75" customHeight="1" x14ac:dyDescent="0.55000000000000004"/>
    <row r="549" ht="15.75" customHeight="1" x14ac:dyDescent="0.55000000000000004"/>
    <row r="550" ht="15.75" customHeight="1" x14ac:dyDescent="0.55000000000000004"/>
    <row r="551" ht="15.75" customHeight="1" x14ac:dyDescent="0.55000000000000004"/>
    <row r="552" ht="15.75" customHeight="1" x14ac:dyDescent="0.55000000000000004"/>
    <row r="553" ht="15.75" customHeight="1" x14ac:dyDescent="0.55000000000000004"/>
    <row r="554" ht="15.75" customHeight="1" x14ac:dyDescent="0.55000000000000004"/>
    <row r="555" ht="15.75" customHeight="1" x14ac:dyDescent="0.55000000000000004"/>
    <row r="556" ht="15.75" customHeight="1" x14ac:dyDescent="0.55000000000000004"/>
    <row r="557" ht="15.75" customHeight="1" x14ac:dyDescent="0.55000000000000004"/>
    <row r="558" ht="15.75" customHeight="1" x14ac:dyDescent="0.55000000000000004"/>
    <row r="559" ht="15.75" customHeight="1" x14ac:dyDescent="0.55000000000000004"/>
    <row r="560" ht="15.75" customHeight="1" x14ac:dyDescent="0.55000000000000004"/>
    <row r="561" ht="15.75" customHeight="1" x14ac:dyDescent="0.55000000000000004"/>
    <row r="562" ht="15.75" customHeight="1" x14ac:dyDescent="0.55000000000000004"/>
    <row r="563" ht="15.75" customHeight="1" x14ac:dyDescent="0.55000000000000004"/>
    <row r="564" ht="15.75" customHeight="1" x14ac:dyDescent="0.55000000000000004"/>
    <row r="565" ht="15.75" customHeight="1" x14ac:dyDescent="0.55000000000000004"/>
    <row r="566" ht="15.75" customHeight="1" x14ac:dyDescent="0.55000000000000004"/>
    <row r="567" ht="15.75" customHeight="1" x14ac:dyDescent="0.55000000000000004"/>
    <row r="568" ht="15.75" customHeight="1" x14ac:dyDescent="0.55000000000000004"/>
    <row r="569" ht="15.75" customHeight="1" x14ac:dyDescent="0.55000000000000004"/>
    <row r="570" ht="15.75" customHeight="1" x14ac:dyDescent="0.55000000000000004"/>
    <row r="571" ht="15.75" customHeight="1" x14ac:dyDescent="0.55000000000000004"/>
    <row r="572" ht="15.75" customHeight="1" x14ac:dyDescent="0.55000000000000004"/>
    <row r="573" ht="15.75" customHeight="1" x14ac:dyDescent="0.55000000000000004"/>
    <row r="574" ht="15.75" customHeight="1" x14ac:dyDescent="0.55000000000000004"/>
    <row r="575" ht="15.75" customHeight="1" x14ac:dyDescent="0.55000000000000004"/>
    <row r="576" ht="15.75" customHeight="1" x14ac:dyDescent="0.55000000000000004"/>
    <row r="577" ht="15.75" customHeight="1" x14ac:dyDescent="0.55000000000000004"/>
    <row r="578" ht="15.75" customHeight="1" x14ac:dyDescent="0.55000000000000004"/>
    <row r="579" ht="15.75" customHeight="1" x14ac:dyDescent="0.55000000000000004"/>
    <row r="580" ht="15.75" customHeight="1" x14ac:dyDescent="0.55000000000000004"/>
    <row r="581" ht="15.75" customHeight="1" x14ac:dyDescent="0.55000000000000004"/>
    <row r="582" ht="15.75" customHeight="1" x14ac:dyDescent="0.55000000000000004"/>
    <row r="583" ht="15.75" customHeight="1" x14ac:dyDescent="0.55000000000000004"/>
    <row r="584" ht="15.75" customHeight="1" x14ac:dyDescent="0.55000000000000004"/>
    <row r="585" ht="15.75" customHeight="1" x14ac:dyDescent="0.55000000000000004"/>
    <row r="586" ht="15.75" customHeight="1" x14ac:dyDescent="0.55000000000000004"/>
    <row r="587" ht="15.75" customHeight="1" x14ac:dyDescent="0.55000000000000004"/>
    <row r="588" ht="15.75" customHeight="1" x14ac:dyDescent="0.55000000000000004"/>
    <row r="589" ht="15.75" customHeight="1" x14ac:dyDescent="0.55000000000000004"/>
    <row r="590" ht="15.75" customHeight="1" x14ac:dyDescent="0.55000000000000004"/>
    <row r="591" ht="15.75" customHeight="1" x14ac:dyDescent="0.55000000000000004"/>
    <row r="592" ht="15.75" customHeight="1" x14ac:dyDescent="0.55000000000000004"/>
    <row r="593" ht="15.75" customHeight="1" x14ac:dyDescent="0.55000000000000004"/>
    <row r="594" ht="15.75" customHeight="1" x14ac:dyDescent="0.55000000000000004"/>
    <row r="595" ht="15.75" customHeight="1" x14ac:dyDescent="0.55000000000000004"/>
    <row r="596" ht="15.75" customHeight="1" x14ac:dyDescent="0.55000000000000004"/>
    <row r="597" ht="15.75" customHeight="1" x14ac:dyDescent="0.55000000000000004"/>
    <row r="598" ht="15.75" customHeight="1" x14ac:dyDescent="0.55000000000000004"/>
    <row r="599" ht="15.75" customHeight="1" x14ac:dyDescent="0.55000000000000004"/>
    <row r="600" ht="15.75" customHeight="1" x14ac:dyDescent="0.55000000000000004"/>
    <row r="601" ht="15.75" customHeight="1" x14ac:dyDescent="0.55000000000000004"/>
    <row r="602" ht="15.75" customHeight="1" x14ac:dyDescent="0.55000000000000004"/>
    <row r="603" ht="15.75" customHeight="1" x14ac:dyDescent="0.55000000000000004"/>
    <row r="604" ht="15.75" customHeight="1" x14ac:dyDescent="0.55000000000000004"/>
    <row r="605" ht="15.75" customHeight="1" x14ac:dyDescent="0.55000000000000004"/>
    <row r="606" ht="15.75" customHeight="1" x14ac:dyDescent="0.55000000000000004"/>
    <row r="607" ht="15.75" customHeight="1" x14ac:dyDescent="0.55000000000000004"/>
    <row r="608" ht="15.75" customHeight="1" x14ac:dyDescent="0.55000000000000004"/>
    <row r="609" ht="15.75" customHeight="1" x14ac:dyDescent="0.55000000000000004"/>
    <row r="610" ht="15.75" customHeight="1" x14ac:dyDescent="0.55000000000000004"/>
    <row r="611" ht="15.75" customHeight="1" x14ac:dyDescent="0.55000000000000004"/>
    <row r="612" ht="15.75" customHeight="1" x14ac:dyDescent="0.55000000000000004"/>
    <row r="613" ht="15.75" customHeight="1" x14ac:dyDescent="0.55000000000000004"/>
    <row r="614" ht="15.75" customHeight="1" x14ac:dyDescent="0.55000000000000004"/>
    <row r="615" ht="15.75" customHeight="1" x14ac:dyDescent="0.55000000000000004"/>
    <row r="616" ht="15.75" customHeight="1" x14ac:dyDescent="0.55000000000000004"/>
    <row r="617" ht="15.75" customHeight="1" x14ac:dyDescent="0.55000000000000004"/>
    <row r="618" ht="15.75" customHeight="1" x14ac:dyDescent="0.55000000000000004"/>
    <row r="619" ht="15.75" customHeight="1" x14ac:dyDescent="0.55000000000000004"/>
    <row r="620" ht="15.75" customHeight="1" x14ac:dyDescent="0.55000000000000004"/>
    <row r="621" ht="15.75" customHeight="1" x14ac:dyDescent="0.55000000000000004"/>
    <row r="622" ht="15.75" customHeight="1" x14ac:dyDescent="0.55000000000000004"/>
    <row r="623" ht="15.75" customHeight="1" x14ac:dyDescent="0.55000000000000004"/>
    <row r="624" ht="15.75" customHeight="1" x14ac:dyDescent="0.55000000000000004"/>
    <row r="625" ht="15.75" customHeight="1" x14ac:dyDescent="0.55000000000000004"/>
    <row r="626" ht="15.75" customHeight="1" x14ac:dyDescent="0.55000000000000004"/>
    <row r="627" ht="15.75" customHeight="1" x14ac:dyDescent="0.55000000000000004"/>
    <row r="628" ht="15.75" customHeight="1" x14ac:dyDescent="0.55000000000000004"/>
    <row r="629" ht="15.75" customHeight="1" x14ac:dyDescent="0.55000000000000004"/>
    <row r="630" ht="15.75" customHeight="1" x14ac:dyDescent="0.55000000000000004"/>
    <row r="631" ht="15.75" customHeight="1" x14ac:dyDescent="0.55000000000000004"/>
    <row r="632" ht="15.75" customHeight="1" x14ac:dyDescent="0.55000000000000004"/>
    <row r="633" ht="15.75" customHeight="1" x14ac:dyDescent="0.55000000000000004"/>
    <row r="634" ht="15.75" customHeight="1" x14ac:dyDescent="0.55000000000000004"/>
    <row r="635" ht="15.75" customHeight="1" x14ac:dyDescent="0.55000000000000004"/>
    <row r="636" ht="15.75" customHeight="1" x14ac:dyDescent="0.55000000000000004"/>
    <row r="637" ht="15.75" customHeight="1" x14ac:dyDescent="0.55000000000000004"/>
    <row r="638" ht="15.75" customHeight="1" x14ac:dyDescent="0.55000000000000004"/>
    <row r="639" ht="15.75" customHeight="1" x14ac:dyDescent="0.55000000000000004"/>
    <row r="640" ht="15.75" customHeight="1" x14ac:dyDescent="0.55000000000000004"/>
    <row r="641" ht="15.75" customHeight="1" x14ac:dyDescent="0.55000000000000004"/>
    <row r="642" ht="15.75" customHeight="1" x14ac:dyDescent="0.55000000000000004"/>
    <row r="643" ht="15.75" customHeight="1" x14ac:dyDescent="0.55000000000000004"/>
    <row r="644" ht="15.75" customHeight="1" x14ac:dyDescent="0.55000000000000004"/>
    <row r="645" ht="15.75" customHeight="1" x14ac:dyDescent="0.55000000000000004"/>
    <row r="646" ht="15.75" customHeight="1" x14ac:dyDescent="0.55000000000000004"/>
    <row r="647" ht="15.75" customHeight="1" x14ac:dyDescent="0.55000000000000004"/>
    <row r="648" ht="15.75" customHeight="1" x14ac:dyDescent="0.55000000000000004"/>
    <row r="649" ht="15.75" customHeight="1" x14ac:dyDescent="0.55000000000000004"/>
    <row r="650" ht="15.75" customHeight="1" x14ac:dyDescent="0.55000000000000004"/>
    <row r="651" ht="15.75" customHeight="1" x14ac:dyDescent="0.55000000000000004"/>
    <row r="652" ht="15.75" customHeight="1" x14ac:dyDescent="0.55000000000000004"/>
    <row r="653" ht="15.75" customHeight="1" x14ac:dyDescent="0.55000000000000004"/>
    <row r="654" ht="15.75" customHeight="1" x14ac:dyDescent="0.55000000000000004"/>
    <row r="655" ht="15.75" customHeight="1" x14ac:dyDescent="0.55000000000000004"/>
    <row r="656" ht="15.75" customHeight="1" x14ac:dyDescent="0.55000000000000004"/>
    <row r="657" ht="15.75" customHeight="1" x14ac:dyDescent="0.55000000000000004"/>
    <row r="658" ht="15.75" customHeight="1" x14ac:dyDescent="0.55000000000000004"/>
    <row r="659" ht="15.75" customHeight="1" x14ac:dyDescent="0.55000000000000004"/>
    <row r="660" ht="15.75" customHeight="1" x14ac:dyDescent="0.55000000000000004"/>
    <row r="661" ht="15.75" customHeight="1" x14ac:dyDescent="0.55000000000000004"/>
    <row r="662" ht="15.75" customHeight="1" x14ac:dyDescent="0.55000000000000004"/>
    <row r="663" ht="15.75" customHeight="1" x14ac:dyDescent="0.55000000000000004"/>
    <row r="664" ht="15.75" customHeight="1" x14ac:dyDescent="0.55000000000000004"/>
    <row r="665" ht="15.75" customHeight="1" x14ac:dyDescent="0.55000000000000004"/>
    <row r="666" ht="15.75" customHeight="1" x14ac:dyDescent="0.55000000000000004"/>
    <row r="667" ht="15.75" customHeight="1" x14ac:dyDescent="0.55000000000000004"/>
    <row r="668" ht="15.75" customHeight="1" x14ac:dyDescent="0.55000000000000004"/>
    <row r="669" ht="15.75" customHeight="1" x14ac:dyDescent="0.55000000000000004"/>
    <row r="670" ht="15.75" customHeight="1" x14ac:dyDescent="0.55000000000000004"/>
    <row r="671" ht="15.75" customHeight="1" x14ac:dyDescent="0.55000000000000004"/>
    <row r="672" ht="15.75" customHeight="1" x14ac:dyDescent="0.55000000000000004"/>
    <row r="673" ht="15.75" customHeight="1" x14ac:dyDescent="0.55000000000000004"/>
    <row r="674" ht="15.75" customHeight="1" x14ac:dyDescent="0.55000000000000004"/>
    <row r="675" ht="15.75" customHeight="1" x14ac:dyDescent="0.55000000000000004"/>
    <row r="676" ht="15.75" customHeight="1" x14ac:dyDescent="0.55000000000000004"/>
    <row r="677" ht="15.75" customHeight="1" x14ac:dyDescent="0.55000000000000004"/>
    <row r="678" ht="15.75" customHeight="1" x14ac:dyDescent="0.55000000000000004"/>
    <row r="679" ht="15.75" customHeight="1" x14ac:dyDescent="0.55000000000000004"/>
    <row r="680" ht="15.75" customHeight="1" x14ac:dyDescent="0.55000000000000004"/>
    <row r="681" ht="15.75" customHeight="1" x14ac:dyDescent="0.55000000000000004"/>
    <row r="682" ht="15.75" customHeight="1" x14ac:dyDescent="0.55000000000000004"/>
    <row r="683" ht="15.75" customHeight="1" x14ac:dyDescent="0.55000000000000004"/>
    <row r="684" ht="15.75" customHeight="1" x14ac:dyDescent="0.55000000000000004"/>
    <row r="685" ht="15.75" customHeight="1" x14ac:dyDescent="0.55000000000000004"/>
    <row r="686" ht="15.75" customHeight="1" x14ac:dyDescent="0.55000000000000004"/>
    <row r="687" ht="15.75" customHeight="1" x14ac:dyDescent="0.55000000000000004"/>
    <row r="688" ht="15.75" customHeight="1" x14ac:dyDescent="0.55000000000000004"/>
    <row r="689" ht="15.75" customHeight="1" x14ac:dyDescent="0.55000000000000004"/>
    <row r="690" ht="15.75" customHeight="1" x14ac:dyDescent="0.55000000000000004"/>
    <row r="691" ht="15.75" customHeight="1" x14ac:dyDescent="0.55000000000000004"/>
    <row r="692" ht="15.75" customHeight="1" x14ac:dyDescent="0.55000000000000004"/>
    <row r="693" ht="15.75" customHeight="1" x14ac:dyDescent="0.55000000000000004"/>
    <row r="694" ht="15.75" customHeight="1" x14ac:dyDescent="0.55000000000000004"/>
    <row r="695" ht="15.75" customHeight="1" x14ac:dyDescent="0.55000000000000004"/>
    <row r="696" ht="15.75" customHeight="1" x14ac:dyDescent="0.55000000000000004"/>
    <row r="697" ht="15.75" customHeight="1" x14ac:dyDescent="0.55000000000000004"/>
    <row r="698" ht="15.75" customHeight="1" x14ac:dyDescent="0.55000000000000004"/>
    <row r="699" ht="15.75" customHeight="1" x14ac:dyDescent="0.55000000000000004"/>
    <row r="700" ht="15.75" customHeight="1" x14ac:dyDescent="0.55000000000000004"/>
    <row r="701" ht="15.75" customHeight="1" x14ac:dyDescent="0.55000000000000004"/>
    <row r="702" ht="15.75" customHeight="1" x14ac:dyDescent="0.55000000000000004"/>
    <row r="703" ht="15.75" customHeight="1" x14ac:dyDescent="0.55000000000000004"/>
    <row r="704" ht="15.75" customHeight="1" x14ac:dyDescent="0.55000000000000004"/>
    <row r="705" ht="15.75" customHeight="1" x14ac:dyDescent="0.55000000000000004"/>
    <row r="706" ht="15.75" customHeight="1" x14ac:dyDescent="0.55000000000000004"/>
    <row r="707" ht="15.75" customHeight="1" x14ac:dyDescent="0.55000000000000004"/>
    <row r="708" ht="15.75" customHeight="1" x14ac:dyDescent="0.55000000000000004"/>
    <row r="709" ht="15.75" customHeight="1" x14ac:dyDescent="0.55000000000000004"/>
    <row r="710" ht="15.75" customHeight="1" x14ac:dyDescent="0.55000000000000004"/>
    <row r="711" ht="15.75" customHeight="1" x14ac:dyDescent="0.55000000000000004"/>
    <row r="712" ht="15.75" customHeight="1" x14ac:dyDescent="0.55000000000000004"/>
    <row r="713" ht="15.75" customHeight="1" x14ac:dyDescent="0.55000000000000004"/>
    <row r="714" ht="15.75" customHeight="1" x14ac:dyDescent="0.55000000000000004"/>
    <row r="715" ht="15.75" customHeight="1" x14ac:dyDescent="0.55000000000000004"/>
    <row r="716" ht="15.75" customHeight="1" x14ac:dyDescent="0.55000000000000004"/>
    <row r="717" ht="15.75" customHeight="1" x14ac:dyDescent="0.55000000000000004"/>
    <row r="718" ht="15.75" customHeight="1" x14ac:dyDescent="0.55000000000000004"/>
    <row r="719" ht="15.75" customHeight="1" x14ac:dyDescent="0.55000000000000004"/>
    <row r="720" ht="15.75" customHeight="1" x14ac:dyDescent="0.55000000000000004"/>
    <row r="721" ht="15.75" customHeight="1" x14ac:dyDescent="0.55000000000000004"/>
    <row r="722" ht="15.75" customHeight="1" x14ac:dyDescent="0.55000000000000004"/>
    <row r="723" ht="15.75" customHeight="1" x14ac:dyDescent="0.55000000000000004"/>
    <row r="724" ht="15.75" customHeight="1" x14ac:dyDescent="0.55000000000000004"/>
    <row r="725" ht="15.75" customHeight="1" x14ac:dyDescent="0.55000000000000004"/>
    <row r="726" ht="15.75" customHeight="1" x14ac:dyDescent="0.55000000000000004"/>
    <row r="727" ht="15.75" customHeight="1" x14ac:dyDescent="0.55000000000000004"/>
    <row r="728" ht="15.75" customHeight="1" x14ac:dyDescent="0.55000000000000004"/>
    <row r="729" ht="15.75" customHeight="1" x14ac:dyDescent="0.55000000000000004"/>
    <row r="730" ht="15.75" customHeight="1" x14ac:dyDescent="0.55000000000000004"/>
    <row r="731" ht="15.75" customHeight="1" x14ac:dyDescent="0.55000000000000004"/>
    <row r="732" ht="15.75" customHeight="1" x14ac:dyDescent="0.55000000000000004"/>
    <row r="733" ht="15.75" customHeight="1" x14ac:dyDescent="0.55000000000000004"/>
    <row r="734" ht="15.75" customHeight="1" x14ac:dyDescent="0.55000000000000004"/>
    <row r="735" ht="15.75" customHeight="1" x14ac:dyDescent="0.55000000000000004"/>
    <row r="736" ht="15.75" customHeight="1" x14ac:dyDescent="0.55000000000000004"/>
    <row r="737" ht="15.75" customHeight="1" x14ac:dyDescent="0.55000000000000004"/>
    <row r="738" ht="15.75" customHeight="1" x14ac:dyDescent="0.55000000000000004"/>
    <row r="739" ht="15.75" customHeight="1" x14ac:dyDescent="0.55000000000000004"/>
    <row r="740" ht="15.75" customHeight="1" x14ac:dyDescent="0.55000000000000004"/>
    <row r="741" ht="15.75" customHeight="1" x14ac:dyDescent="0.55000000000000004"/>
    <row r="742" ht="15.75" customHeight="1" x14ac:dyDescent="0.55000000000000004"/>
    <row r="743" ht="15.75" customHeight="1" x14ac:dyDescent="0.55000000000000004"/>
    <row r="744" ht="15.75" customHeight="1" x14ac:dyDescent="0.55000000000000004"/>
    <row r="745" ht="15.75" customHeight="1" x14ac:dyDescent="0.55000000000000004"/>
    <row r="746" ht="15.75" customHeight="1" x14ac:dyDescent="0.55000000000000004"/>
    <row r="747" ht="15.75" customHeight="1" x14ac:dyDescent="0.55000000000000004"/>
    <row r="748" ht="15.75" customHeight="1" x14ac:dyDescent="0.55000000000000004"/>
    <row r="749" ht="15.75" customHeight="1" x14ac:dyDescent="0.55000000000000004"/>
    <row r="750" ht="15.75" customHeight="1" x14ac:dyDescent="0.55000000000000004"/>
    <row r="751" ht="15.75" customHeight="1" x14ac:dyDescent="0.55000000000000004"/>
    <row r="752" ht="15.75" customHeight="1" x14ac:dyDescent="0.55000000000000004"/>
    <row r="753" ht="15.75" customHeight="1" x14ac:dyDescent="0.55000000000000004"/>
    <row r="754" ht="15.75" customHeight="1" x14ac:dyDescent="0.55000000000000004"/>
    <row r="755" ht="15.75" customHeight="1" x14ac:dyDescent="0.55000000000000004"/>
    <row r="756" ht="15.75" customHeight="1" x14ac:dyDescent="0.55000000000000004"/>
    <row r="757" ht="15.75" customHeight="1" x14ac:dyDescent="0.55000000000000004"/>
    <row r="758" ht="15.75" customHeight="1" x14ac:dyDescent="0.55000000000000004"/>
    <row r="759" ht="15.75" customHeight="1" x14ac:dyDescent="0.55000000000000004"/>
    <row r="760" ht="15.75" customHeight="1" x14ac:dyDescent="0.55000000000000004"/>
    <row r="761" ht="15.75" customHeight="1" x14ac:dyDescent="0.55000000000000004"/>
    <row r="762" ht="15.75" customHeight="1" x14ac:dyDescent="0.55000000000000004"/>
    <row r="763" ht="15.75" customHeight="1" x14ac:dyDescent="0.55000000000000004"/>
    <row r="764" ht="15.75" customHeight="1" x14ac:dyDescent="0.55000000000000004"/>
    <row r="765" ht="15.75" customHeight="1" x14ac:dyDescent="0.55000000000000004"/>
    <row r="766" ht="15.75" customHeight="1" x14ac:dyDescent="0.55000000000000004"/>
    <row r="767" ht="15.75" customHeight="1" x14ac:dyDescent="0.55000000000000004"/>
    <row r="768" ht="15.75" customHeight="1" x14ac:dyDescent="0.55000000000000004"/>
    <row r="769" ht="15.75" customHeight="1" x14ac:dyDescent="0.55000000000000004"/>
    <row r="770" ht="15.75" customHeight="1" x14ac:dyDescent="0.55000000000000004"/>
    <row r="771" ht="15.75" customHeight="1" x14ac:dyDescent="0.55000000000000004"/>
    <row r="772" ht="15.75" customHeight="1" x14ac:dyDescent="0.55000000000000004"/>
    <row r="773" ht="15.75" customHeight="1" x14ac:dyDescent="0.55000000000000004"/>
    <row r="774" ht="15.75" customHeight="1" x14ac:dyDescent="0.55000000000000004"/>
    <row r="775" ht="15.75" customHeight="1" x14ac:dyDescent="0.55000000000000004"/>
    <row r="776" ht="15.75" customHeight="1" x14ac:dyDescent="0.55000000000000004"/>
    <row r="777" ht="15.75" customHeight="1" x14ac:dyDescent="0.55000000000000004"/>
    <row r="778" ht="15.75" customHeight="1" x14ac:dyDescent="0.55000000000000004"/>
    <row r="779" ht="15.75" customHeight="1" x14ac:dyDescent="0.55000000000000004"/>
    <row r="780" ht="15.75" customHeight="1" x14ac:dyDescent="0.55000000000000004"/>
    <row r="781" ht="15.75" customHeight="1" x14ac:dyDescent="0.55000000000000004"/>
    <row r="782" ht="15.75" customHeight="1" x14ac:dyDescent="0.55000000000000004"/>
    <row r="783" ht="15.75" customHeight="1" x14ac:dyDescent="0.55000000000000004"/>
    <row r="784" ht="15.75" customHeight="1" x14ac:dyDescent="0.55000000000000004"/>
    <row r="785" ht="15.75" customHeight="1" x14ac:dyDescent="0.55000000000000004"/>
    <row r="786" ht="15.75" customHeight="1" x14ac:dyDescent="0.55000000000000004"/>
    <row r="787" ht="15.75" customHeight="1" x14ac:dyDescent="0.55000000000000004"/>
    <row r="788" ht="15.75" customHeight="1" x14ac:dyDescent="0.55000000000000004"/>
    <row r="789" ht="15.75" customHeight="1" x14ac:dyDescent="0.55000000000000004"/>
    <row r="790" ht="15.75" customHeight="1" x14ac:dyDescent="0.55000000000000004"/>
    <row r="791" ht="15.75" customHeight="1" x14ac:dyDescent="0.55000000000000004"/>
    <row r="792" ht="15.75" customHeight="1" x14ac:dyDescent="0.55000000000000004"/>
    <row r="793" ht="15.75" customHeight="1" x14ac:dyDescent="0.55000000000000004"/>
    <row r="794" ht="15.75" customHeight="1" x14ac:dyDescent="0.55000000000000004"/>
    <row r="795" ht="15.75" customHeight="1" x14ac:dyDescent="0.55000000000000004"/>
    <row r="796" ht="15.75" customHeight="1" x14ac:dyDescent="0.55000000000000004"/>
    <row r="797" ht="15.75" customHeight="1" x14ac:dyDescent="0.55000000000000004"/>
    <row r="798" ht="15.75" customHeight="1" x14ac:dyDescent="0.55000000000000004"/>
    <row r="799" ht="15.75" customHeight="1" x14ac:dyDescent="0.55000000000000004"/>
    <row r="800" ht="15.75" customHeight="1" x14ac:dyDescent="0.55000000000000004"/>
    <row r="801" ht="15.75" customHeight="1" x14ac:dyDescent="0.55000000000000004"/>
    <row r="802" ht="15.75" customHeight="1" x14ac:dyDescent="0.55000000000000004"/>
    <row r="803" ht="15.75" customHeight="1" x14ac:dyDescent="0.55000000000000004"/>
    <row r="804" ht="15.75" customHeight="1" x14ac:dyDescent="0.55000000000000004"/>
    <row r="805" ht="15.75" customHeight="1" x14ac:dyDescent="0.55000000000000004"/>
    <row r="806" ht="15.75" customHeight="1" x14ac:dyDescent="0.55000000000000004"/>
    <row r="807" ht="15.75" customHeight="1" x14ac:dyDescent="0.55000000000000004"/>
    <row r="808" ht="15.75" customHeight="1" x14ac:dyDescent="0.55000000000000004"/>
    <row r="809" ht="15.75" customHeight="1" x14ac:dyDescent="0.55000000000000004"/>
    <row r="810" ht="15.75" customHeight="1" x14ac:dyDescent="0.55000000000000004"/>
    <row r="811" ht="15.75" customHeight="1" x14ac:dyDescent="0.55000000000000004"/>
    <row r="812" ht="15.75" customHeight="1" x14ac:dyDescent="0.55000000000000004"/>
    <row r="813" ht="15.75" customHeight="1" x14ac:dyDescent="0.55000000000000004"/>
    <row r="814" ht="15.75" customHeight="1" x14ac:dyDescent="0.55000000000000004"/>
    <row r="815" ht="15.75" customHeight="1" x14ac:dyDescent="0.55000000000000004"/>
    <row r="816" ht="15.75" customHeight="1" x14ac:dyDescent="0.55000000000000004"/>
    <row r="817" ht="15.75" customHeight="1" x14ac:dyDescent="0.55000000000000004"/>
    <row r="818" ht="15.75" customHeight="1" x14ac:dyDescent="0.55000000000000004"/>
    <row r="819" ht="15.75" customHeight="1" x14ac:dyDescent="0.55000000000000004"/>
    <row r="820" ht="15.75" customHeight="1" x14ac:dyDescent="0.55000000000000004"/>
    <row r="821" ht="15.75" customHeight="1" x14ac:dyDescent="0.55000000000000004"/>
    <row r="822" ht="15.75" customHeight="1" x14ac:dyDescent="0.55000000000000004"/>
    <row r="823" ht="15.75" customHeight="1" x14ac:dyDescent="0.55000000000000004"/>
    <row r="824" ht="15.75" customHeight="1" x14ac:dyDescent="0.55000000000000004"/>
    <row r="825" ht="15.75" customHeight="1" x14ac:dyDescent="0.55000000000000004"/>
    <row r="826" ht="15.75" customHeight="1" x14ac:dyDescent="0.55000000000000004"/>
    <row r="827" ht="15.75" customHeight="1" x14ac:dyDescent="0.55000000000000004"/>
    <row r="828" ht="15.75" customHeight="1" x14ac:dyDescent="0.55000000000000004"/>
    <row r="829" ht="15.75" customHeight="1" x14ac:dyDescent="0.55000000000000004"/>
    <row r="830" ht="15.75" customHeight="1" x14ac:dyDescent="0.55000000000000004"/>
    <row r="831" ht="15.75" customHeight="1" x14ac:dyDescent="0.55000000000000004"/>
    <row r="832" ht="15.75" customHeight="1" x14ac:dyDescent="0.55000000000000004"/>
    <row r="833" ht="15.75" customHeight="1" x14ac:dyDescent="0.55000000000000004"/>
    <row r="834" ht="15.75" customHeight="1" x14ac:dyDescent="0.55000000000000004"/>
    <row r="835" ht="15.75" customHeight="1" x14ac:dyDescent="0.55000000000000004"/>
    <row r="836" ht="15.75" customHeight="1" x14ac:dyDescent="0.55000000000000004"/>
    <row r="837" ht="15.75" customHeight="1" x14ac:dyDescent="0.55000000000000004"/>
    <row r="838" ht="15.75" customHeight="1" x14ac:dyDescent="0.55000000000000004"/>
    <row r="839" ht="15.75" customHeight="1" x14ac:dyDescent="0.55000000000000004"/>
    <row r="840" ht="15.75" customHeight="1" x14ac:dyDescent="0.55000000000000004"/>
    <row r="841" ht="15.75" customHeight="1" x14ac:dyDescent="0.55000000000000004"/>
    <row r="842" ht="15.75" customHeight="1" x14ac:dyDescent="0.55000000000000004"/>
    <row r="843" ht="15.75" customHeight="1" x14ac:dyDescent="0.55000000000000004"/>
    <row r="844" ht="15.75" customHeight="1" x14ac:dyDescent="0.55000000000000004"/>
    <row r="845" ht="15.75" customHeight="1" x14ac:dyDescent="0.55000000000000004"/>
    <row r="846" ht="15.75" customHeight="1" x14ac:dyDescent="0.55000000000000004"/>
    <row r="847" ht="15.75" customHeight="1" x14ac:dyDescent="0.55000000000000004"/>
    <row r="848" ht="15.75" customHeight="1" x14ac:dyDescent="0.55000000000000004"/>
    <row r="849" ht="15.75" customHeight="1" x14ac:dyDescent="0.55000000000000004"/>
    <row r="850" ht="15.75" customHeight="1" x14ac:dyDescent="0.55000000000000004"/>
    <row r="851" ht="15.75" customHeight="1" x14ac:dyDescent="0.55000000000000004"/>
    <row r="852" ht="15.75" customHeight="1" x14ac:dyDescent="0.55000000000000004"/>
    <row r="853" ht="15.75" customHeight="1" x14ac:dyDescent="0.55000000000000004"/>
    <row r="854" ht="15.75" customHeight="1" x14ac:dyDescent="0.55000000000000004"/>
    <row r="855" ht="15.75" customHeight="1" x14ac:dyDescent="0.55000000000000004"/>
    <row r="856" ht="15.75" customHeight="1" x14ac:dyDescent="0.55000000000000004"/>
    <row r="857" ht="15.75" customHeight="1" x14ac:dyDescent="0.55000000000000004"/>
    <row r="858" ht="15.75" customHeight="1" x14ac:dyDescent="0.55000000000000004"/>
    <row r="859" ht="15.75" customHeight="1" x14ac:dyDescent="0.55000000000000004"/>
    <row r="860" ht="15.75" customHeight="1" x14ac:dyDescent="0.55000000000000004"/>
    <row r="861" ht="15.75" customHeight="1" x14ac:dyDescent="0.55000000000000004"/>
    <row r="862" ht="15.75" customHeight="1" x14ac:dyDescent="0.55000000000000004"/>
    <row r="863" ht="15.75" customHeight="1" x14ac:dyDescent="0.55000000000000004"/>
    <row r="864" ht="15.75" customHeight="1" x14ac:dyDescent="0.55000000000000004"/>
    <row r="865" ht="15.75" customHeight="1" x14ac:dyDescent="0.55000000000000004"/>
    <row r="866" ht="15.75" customHeight="1" x14ac:dyDescent="0.55000000000000004"/>
    <row r="867" ht="15.75" customHeight="1" x14ac:dyDescent="0.55000000000000004"/>
    <row r="868" ht="15.75" customHeight="1" x14ac:dyDescent="0.55000000000000004"/>
    <row r="869" ht="15.75" customHeight="1" x14ac:dyDescent="0.55000000000000004"/>
    <row r="870" ht="15.75" customHeight="1" x14ac:dyDescent="0.55000000000000004"/>
    <row r="871" ht="15.75" customHeight="1" x14ac:dyDescent="0.55000000000000004"/>
    <row r="872" ht="15.75" customHeight="1" x14ac:dyDescent="0.55000000000000004"/>
    <row r="873" ht="15.75" customHeight="1" x14ac:dyDescent="0.55000000000000004"/>
    <row r="874" ht="15.75" customHeight="1" x14ac:dyDescent="0.55000000000000004"/>
    <row r="875" ht="15.75" customHeight="1" x14ac:dyDescent="0.55000000000000004"/>
    <row r="876" ht="15.75" customHeight="1" x14ac:dyDescent="0.55000000000000004"/>
    <row r="877" ht="15.75" customHeight="1" x14ac:dyDescent="0.55000000000000004"/>
    <row r="878" ht="15.75" customHeight="1" x14ac:dyDescent="0.55000000000000004"/>
    <row r="879" ht="15.75" customHeight="1" x14ac:dyDescent="0.55000000000000004"/>
    <row r="880" ht="15.75" customHeight="1" x14ac:dyDescent="0.55000000000000004"/>
    <row r="881" ht="15.75" customHeight="1" x14ac:dyDescent="0.55000000000000004"/>
    <row r="882" ht="15.75" customHeight="1" x14ac:dyDescent="0.55000000000000004"/>
    <row r="883" ht="15.75" customHeight="1" x14ac:dyDescent="0.55000000000000004"/>
    <row r="884" ht="15.75" customHeight="1" x14ac:dyDescent="0.55000000000000004"/>
    <row r="885" ht="15.75" customHeight="1" x14ac:dyDescent="0.55000000000000004"/>
    <row r="886" ht="15.75" customHeight="1" x14ac:dyDescent="0.55000000000000004"/>
    <row r="887" ht="15.75" customHeight="1" x14ac:dyDescent="0.55000000000000004"/>
    <row r="888" ht="15.75" customHeight="1" x14ac:dyDescent="0.55000000000000004"/>
    <row r="889" ht="15.75" customHeight="1" x14ac:dyDescent="0.55000000000000004"/>
    <row r="890" ht="15.75" customHeight="1" x14ac:dyDescent="0.55000000000000004"/>
    <row r="891" ht="15.75" customHeight="1" x14ac:dyDescent="0.55000000000000004"/>
    <row r="892" ht="15.75" customHeight="1" x14ac:dyDescent="0.55000000000000004"/>
    <row r="893" ht="15.75" customHeight="1" x14ac:dyDescent="0.55000000000000004"/>
    <row r="894" ht="15.75" customHeight="1" x14ac:dyDescent="0.55000000000000004"/>
    <row r="895" ht="15.75" customHeight="1" x14ac:dyDescent="0.55000000000000004"/>
    <row r="896" ht="15.75" customHeight="1" x14ac:dyDescent="0.55000000000000004"/>
    <row r="897" ht="15.75" customHeight="1" x14ac:dyDescent="0.55000000000000004"/>
    <row r="898" ht="15.75" customHeight="1" x14ac:dyDescent="0.55000000000000004"/>
    <row r="899" ht="15.75" customHeight="1" x14ac:dyDescent="0.55000000000000004"/>
    <row r="900" ht="15.75" customHeight="1" x14ac:dyDescent="0.55000000000000004"/>
    <row r="901" ht="15.75" customHeight="1" x14ac:dyDescent="0.55000000000000004"/>
    <row r="902" ht="15.75" customHeight="1" x14ac:dyDescent="0.55000000000000004"/>
    <row r="903" ht="15.75" customHeight="1" x14ac:dyDescent="0.55000000000000004"/>
    <row r="904" ht="15.75" customHeight="1" x14ac:dyDescent="0.55000000000000004"/>
    <row r="905" ht="15.75" customHeight="1" x14ac:dyDescent="0.55000000000000004"/>
    <row r="906" ht="15.75" customHeight="1" x14ac:dyDescent="0.55000000000000004"/>
    <row r="907" ht="15.75" customHeight="1" x14ac:dyDescent="0.55000000000000004"/>
    <row r="908" ht="15.75" customHeight="1" x14ac:dyDescent="0.55000000000000004"/>
    <row r="909" ht="15.75" customHeight="1" x14ac:dyDescent="0.55000000000000004"/>
    <row r="910" ht="15.75" customHeight="1" x14ac:dyDescent="0.55000000000000004"/>
    <row r="911" ht="15.75" customHeight="1" x14ac:dyDescent="0.55000000000000004"/>
    <row r="912" ht="15.75" customHeight="1" x14ac:dyDescent="0.55000000000000004"/>
    <row r="913" ht="15.75" customHeight="1" x14ac:dyDescent="0.55000000000000004"/>
    <row r="914" ht="15.75" customHeight="1" x14ac:dyDescent="0.55000000000000004"/>
    <row r="915" ht="15.75" customHeight="1" x14ac:dyDescent="0.55000000000000004"/>
    <row r="916" ht="15.75" customHeight="1" x14ac:dyDescent="0.55000000000000004"/>
    <row r="917" ht="15.75" customHeight="1" x14ac:dyDescent="0.55000000000000004"/>
    <row r="918" ht="15.75" customHeight="1" x14ac:dyDescent="0.55000000000000004"/>
    <row r="919" ht="15.75" customHeight="1" x14ac:dyDescent="0.55000000000000004"/>
    <row r="920" ht="15.75" customHeight="1" x14ac:dyDescent="0.55000000000000004"/>
    <row r="921" ht="15.75" customHeight="1" x14ac:dyDescent="0.55000000000000004"/>
    <row r="922" ht="15.75" customHeight="1" x14ac:dyDescent="0.55000000000000004"/>
    <row r="923" ht="15.75" customHeight="1" x14ac:dyDescent="0.55000000000000004"/>
    <row r="924" ht="15.75" customHeight="1" x14ac:dyDescent="0.55000000000000004"/>
    <row r="925" ht="15.75" customHeight="1" x14ac:dyDescent="0.55000000000000004"/>
    <row r="926" ht="15.75" customHeight="1" x14ac:dyDescent="0.55000000000000004"/>
    <row r="927" ht="15.75" customHeight="1" x14ac:dyDescent="0.55000000000000004"/>
    <row r="928" ht="15.75" customHeight="1" x14ac:dyDescent="0.55000000000000004"/>
    <row r="929" ht="15.75" customHeight="1" x14ac:dyDescent="0.55000000000000004"/>
    <row r="930" ht="15.75" customHeight="1" x14ac:dyDescent="0.55000000000000004"/>
    <row r="931" ht="15.75" customHeight="1" x14ac:dyDescent="0.55000000000000004"/>
    <row r="932" ht="15.75" customHeight="1" x14ac:dyDescent="0.55000000000000004"/>
    <row r="933" ht="15.75" customHeight="1" x14ac:dyDescent="0.55000000000000004"/>
    <row r="934" ht="15.75" customHeight="1" x14ac:dyDescent="0.55000000000000004"/>
    <row r="935" ht="15.75" customHeight="1" x14ac:dyDescent="0.55000000000000004"/>
    <row r="936" ht="15.75" customHeight="1" x14ac:dyDescent="0.55000000000000004"/>
    <row r="937" ht="15.75" customHeight="1" x14ac:dyDescent="0.55000000000000004"/>
    <row r="938" ht="15.75" customHeight="1" x14ac:dyDescent="0.55000000000000004"/>
    <row r="939" ht="15.75" customHeight="1" x14ac:dyDescent="0.55000000000000004"/>
    <row r="940" ht="15.75" customHeight="1" x14ac:dyDescent="0.55000000000000004"/>
    <row r="941" ht="15.75" customHeight="1" x14ac:dyDescent="0.55000000000000004"/>
    <row r="942" ht="15.75" customHeight="1" x14ac:dyDescent="0.55000000000000004"/>
    <row r="943" ht="15.75" customHeight="1" x14ac:dyDescent="0.55000000000000004"/>
    <row r="944" ht="15.75" customHeight="1" x14ac:dyDescent="0.55000000000000004"/>
    <row r="945" ht="15.75" customHeight="1" x14ac:dyDescent="0.55000000000000004"/>
    <row r="946" ht="15.75" customHeight="1" x14ac:dyDescent="0.55000000000000004"/>
    <row r="947" ht="15.75" customHeight="1" x14ac:dyDescent="0.55000000000000004"/>
    <row r="948" ht="15.75" customHeight="1" x14ac:dyDescent="0.55000000000000004"/>
    <row r="949" ht="15.75" customHeight="1" x14ac:dyDescent="0.55000000000000004"/>
    <row r="950" ht="15.75" customHeight="1" x14ac:dyDescent="0.55000000000000004"/>
    <row r="951" ht="15.75" customHeight="1" x14ac:dyDescent="0.55000000000000004"/>
    <row r="952" ht="15.75" customHeight="1" x14ac:dyDescent="0.55000000000000004"/>
    <row r="953" ht="15.75" customHeight="1" x14ac:dyDescent="0.55000000000000004"/>
    <row r="954" ht="15.75" customHeight="1" x14ac:dyDescent="0.55000000000000004"/>
    <row r="955" ht="15.75" customHeight="1" x14ac:dyDescent="0.55000000000000004"/>
    <row r="956" ht="15.75" customHeight="1" x14ac:dyDescent="0.55000000000000004"/>
    <row r="957" ht="15.75" customHeight="1" x14ac:dyDescent="0.55000000000000004"/>
    <row r="958" ht="15.75" customHeight="1" x14ac:dyDescent="0.55000000000000004"/>
    <row r="959" ht="15.75" customHeight="1" x14ac:dyDescent="0.55000000000000004"/>
    <row r="960" ht="15.75" customHeight="1" x14ac:dyDescent="0.55000000000000004"/>
    <row r="961" ht="15.75" customHeight="1" x14ac:dyDescent="0.55000000000000004"/>
    <row r="962" ht="15.75" customHeight="1" x14ac:dyDescent="0.55000000000000004"/>
    <row r="963" ht="15.75" customHeight="1" x14ac:dyDescent="0.55000000000000004"/>
    <row r="964" ht="15.75" customHeight="1" x14ac:dyDescent="0.55000000000000004"/>
    <row r="965" ht="15.75" customHeight="1" x14ac:dyDescent="0.55000000000000004"/>
    <row r="966" ht="15.75" customHeight="1" x14ac:dyDescent="0.55000000000000004"/>
    <row r="967" ht="15.75" customHeight="1" x14ac:dyDescent="0.55000000000000004"/>
    <row r="968" ht="15.75" customHeight="1" x14ac:dyDescent="0.55000000000000004"/>
    <row r="969" ht="15.75" customHeight="1" x14ac:dyDescent="0.55000000000000004"/>
    <row r="970" ht="15.75" customHeight="1" x14ac:dyDescent="0.55000000000000004"/>
    <row r="971" ht="15.75" customHeight="1" x14ac:dyDescent="0.55000000000000004"/>
    <row r="972" ht="15.75" customHeight="1" x14ac:dyDescent="0.55000000000000004"/>
    <row r="973" ht="15.75" customHeight="1" x14ac:dyDescent="0.55000000000000004"/>
    <row r="974" ht="15.75" customHeight="1" x14ac:dyDescent="0.55000000000000004"/>
    <row r="975" ht="15.75" customHeight="1" x14ac:dyDescent="0.55000000000000004"/>
    <row r="976" ht="15.75" customHeight="1" x14ac:dyDescent="0.55000000000000004"/>
    <row r="977" ht="15.75" customHeight="1" x14ac:dyDescent="0.55000000000000004"/>
    <row r="978" ht="15.75" customHeight="1" x14ac:dyDescent="0.55000000000000004"/>
    <row r="979" ht="15.75" customHeight="1" x14ac:dyDescent="0.55000000000000004"/>
    <row r="980" ht="15.75" customHeight="1" x14ac:dyDescent="0.55000000000000004"/>
    <row r="981" ht="15.75" customHeight="1" x14ac:dyDescent="0.55000000000000004"/>
    <row r="982" ht="15.75" customHeight="1" x14ac:dyDescent="0.55000000000000004"/>
    <row r="983" ht="15.75" customHeight="1" x14ac:dyDescent="0.55000000000000004"/>
    <row r="984" ht="15.75" customHeight="1" x14ac:dyDescent="0.55000000000000004"/>
    <row r="985" ht="15.75" customHeight="1" x14ac:dyDescent="0.55000000000000004"/>
    <row r="986" ht="15.75" customHeight="1" x14ac:dyDescent="0.55000000000000004"/>
    <row r="987" ht="15.75" customHeight="1" x14ac:dyDescent="0.55000000000000004"/>
    <row r="988" ht="15.75" customHeight="1" x14ac:dyDescent="0.55000000000000004"/>
    <row r="989" ht="15.75" customHeight="1" x14ac:dyDescent="0.55000000000000004"/>
    <row r="990" ht="15.75" customHeight="1" x14ac:dyDescent="0.55000000000000004"/>
    <row r="991" ht="15.75" customHeight="1" x14ac:dyDescent="0.55000000000000004"/>
    <row r="992" ht="15.75" customHeight="1" x14ac:dyDescent="0.55000000000000004"/>
    <row r="993" ht="15.75" customHeight="1" x14ac:dyDescent="0.55000000000000004"/>
    <row r="994" ht="15.75" customHeight="1" x14ac:dyDescent="0.55000000000000004"/>
    <row r="995" ht="15.75" customHeight="1" x14ac:dyDescent="0.55000000000000004"/>
    <row r="996" ht="15.75" customHeight="1" x14ac:dyDescent="0.55000000000000004"/>
    <row r="997" ht="15.75" customHeight="1" x14ac:dyDescent="0.55000000000000004"/>
    <row r="998" ht="15.75" customHeight="1" x14ac:dyDescent="0.55000000000000004"/>
    <row r="999" ht="15.75" customHeight="1" x14ac:dyDescent="0.55000000000000004"/>
    <row r="1000" ht="15.75" customHeight="1" x14ac:dyDescent="0.55000000000000004"/>
  </sheetData>
  <mergeCells count="12">
    <mergeCell ref="D24:E24"/>
    <mergeCell ref="F24:F27"/>
    <mergeCell ref="I24:J27"/>
    <mergeCell ref="B30:E30"/>
    <mergeCell ref="B31:E34"/>
    <mergeCell ref="J2:L2"/>
    <mergeCell ref="J3:L3"/>
    <mergeCell ref="A2:A3"/>
    <mergeCell ref="B2:B3"/>
    <mergeCell ref="C2:C3"/>
    <mergeCell ref="F2:F3"/>
    <mergeCell ref="G2:G3"/>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InputMessage="1" showErrorMessage="1" prompt="Invalid - Invalid" xr:uid="{00000000-0002-0000-0700-000000000000}">
          <x14:formula1>
            <xm:f>'Lookup Tables'!$C$9:$C$10</xm:f>
          </x14:formula1>
          <xm:sqref>D3:E3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1000"/>
  <sheetViews>
    <sheetView workbookViewId="0"/>
  </sheetViews>
  <sheetFormatPr defaultColWidth="14.41796875" defaultRowHeight="15" customHeight="1" x14ac:dyDescent="0.55000000000000004"/>
  <cols>
    <col min="1" max="1" width="9.15625" customWidth="1"/>
    <col min="2" max="2" width="8.68359375" customWidth="1"/>
    <col min="3" max="3" width="14.68359375" customWidth="1"/>
    <col min="4" max="26" width="8.68359375" customWidth="1"/>
  </cols>
  <sheetData>
    <row r="1" spans="1:23" ht="14.25" customHeight="1" x14ac:dyDescent="0.55000000000000004">
      <c r="A1" s="198" t="s">
        <v>64</v>
      </c>
      <c r="B1" s="199"/>
      <c r="C1" s="199"/>
      <c r="D1" s="199"/>
      <c r="E1" s="199"/>
      <c r="F1" s="199"/>
      <c r="G1" s="199"/>
      <c r="H1" s="199"/>
      <c r="I1" s="199"/>
      <c r="J1" s="199"/>
      <c r="K1" s="199"/>
      <c r="L1" s="199"/>
      <c r="M1" s="199"/>
      <c r="N1" s="199"/>
      <c r="O1" s="199"/>
      <c r="P1" s="199"/>
      <c r="Q1" s="199"/>
      <c r="R1" s="199"/>
      <c r="S1" s="199"/>
      <c r="T1" s="199"/>
      <c r="U1" s="199"/>
      <c r="V1" s="199"/>
      <c r="W1" s="172"/>
    </row>
    <row r="2" spans="1:23" ht="14.25" customHeight="1" x14ac:dyDescent="0.55000000000000004">
      <c r="A2" s="200"/>
      <c r="B2" s="182"/>
      <c r="C2" s="182"/>
      <c r="D2" s="182"/>
      <c r="E2" s="182"/>
      <c r="F2" s="182"/>
      <c r="G2" s="182"/>
      <c r="H2" s="182"/>
      <c r="I2" s="182"/>
      <c r="J2" s="182"/>
      <c r="K2" s="182"/>
      <c r="L2" s="182"/>
      <c r="M2" s="182"/>
      <c r="N2" s="182"/>
      <c r="O2" s="182"/>
      <c r="P2" s="182"/>
      <c r="Q2" s="182"/>
      <c r="R2" s="182"/>
      <c r="S2" s="182"/>
      <c r="T2" s="182"/>
      <c r="U2" s="182"/>
      <c r="V2" s="182"/>
      <c r="W2" s="183"/>
    </row>
    <row r="3" spans="1:23" ht="14.25" customHeight="1" x14ac:dyDescent="0.55000000000000004">
      <c r="A3" s="37" t="s">
        <v>65</v>
      </c>
      <c r="B3" s="201" t="s">
        <v>66</v>
      </c>
      <c r="C3" s="137"/>
      <c r="D3" s="201" t="s">
        <v>67</v>
      </c>
      <c r="E3" s="136"/>
      <c r="F3" s="136"/>
      <c r="G3" s="136"/>
      <c r="H3" s="136"/>
      <c r="I3" s="136"/>
      <c r="J3" s="136"/>
      <c r="K3" s="136"/>
      <c r="L3" s="136"/>
      <c r="M3" s="137"/>
      <c r="N3" s="201" t="s">
        <v>68</v>
      </c>
      <c r="O3" s="136"/>
      <c r="P3" s="136"/>
      <c r="Q3" s="136"/>
      <c r="R3" s="136"/>
      <c r="S3" s="136"/>
      <c r="T3" s="136"/>
      <c r="U3" s="136"/>
      <c r="V3" s="136"/>
      <c r="W3" s="137"/>
    </row>
    <row r="4" spans="1:23" ht="43.5" customHeight="1" x14ac:dyDescent="0.55000000000000004">
      <c r="A4" s="38" t="e">
        <f>#REF!</f>
        <v>#REF!</v>
      </c>
      <c r="B4" s="190" t="e">
        <f>IF(#REF!=0,"",#REF! &amp; " - " &amp;#REF!)</f>
        <v>#REF!</v>
      </c>
      <c r="C4" s="191"/>
      <c r="D4" s="192"/>
      <c r="E4" s="193"/>
      <c r="F4" s="193"/>
      <c r="G4" s="193"/>
      <c r="H4" s="193"/>
      <c r="I4" s="193"/>
      <c r="J4" s="193"/>
      <c r="K4" s="193"/>
      <c r="L4" s="193"/>
      <c r="M4" s="191"/>
      <c r="N4" s="192"/>
      <c r="O4" s="193"/>
      <c r="P4" s="193"/>
      <c r="Q4" s="193"/>
      <c r="R4" s="193"/>
      <c r="S4" s="193"/>
      <c r="T4" s="193"/>
      <c r="U4" s="193"/>
      <c r="V4" s="193"/>
      <c r="W4" s="191"/>
    </row>
    <row r="5" spans="1:23" ht="43.5" customHeight="1" x14ac:dyDescent="0.55000000000000004">
      <c r="A5" s="39" t="e">
        <f>#REF!</f>
        <v>#REF!</v>
      </c>
      <c r="B5" s="194" t="e">
        <f>IF(#REF!=0,"",#REF! &amp; " - " &amp;#REF!)</f>
        <v>#REF!</v>
      </c>
      <c r="C5" s="195"/>
      <c r="D5" s="196"/>
      <c r="E5" s="114"/>
      <c r="F5" s="114"/>
      <c r="G5" s="114"/>
      <c r="H5" s="114"/>
      <c r="I5" s="114"/>
      <c r="J5" s="114"/>
      <c r="K5" s="114"/>
      <c r="L5" s="114"/>
      <c r="M5" s="195"/>
      <c r="N5" s="196"/>
      <c r="O5" s="114"/>
      <c r="P5" s="114"/>
      <c r="Q5" s="114"/>
      <c r="R5" s="114"/>
      <c r="S5" s="114"/>
      <c r="T5" s="114"/>
      <c r="U5" s="114"/>
      <c r="V5" s="114"/>
      <c r="W5" s="195"/>
    </row>
    <row r="6" spans="1:23" ht="43.5" customHeight="1" x14ac:dyDescent="0.55000000000000004">
      <c r="A6" s="39" t="e">
        <f>#REF!</f>
        <v>#REF!</v>
      </c>
      <c r="B6" s="194" t="e">
        <f>IF(#REF!=0,"",#REF! &amp; " - " &amp;#REF!)</f>
        <v>#REF!</v>
      </c>
      <c r="C6" s="195"/>
      <c r="D6" s="196"/>
      <c r="E6" s="114"/>
      <c r="F6" s="114"/>
      <c r="G6" s="114"/>
      <c r="H6" s="114"/>
      <c r="I6" s="114"/>
      <c r="J6" s="114"/>
      <c r="K6" s="114"/>
      <c r="L6" s="114"/>
      <c r="M6" s="195"/>
      <c r="N6" s="196"/>
      <c r="O6" s="114"/>
      <c r="P6" s="114"/>
      <c r="Q6" s="114"/>
      <c r="R6" s="114"/>
      <c r="S6" s="114"/>
      <c r="T6" s="114"/>
      <c r="U6" s="114"/>
      <c r="V6" s="114"/>
      <c r="W6" s="195"/>
    </row>
    <row r="7" spans="1:23" ht="43.5" customHeight="1" x14ac:dyDescent="0.55000000000000004">
      <c r="A7" s="40" t="e">
        <f>#REF!</f>
        <v>#REF!</v>
      </c>
      <c r="B7" s="188" t="e">
        <f>IF(#REF!=0,"",#REF! &amp; " - " &amp;#REF!)</f>
        <v>#REF!</v>
      </c>
      <c r="C7" s="189"/>
      <c r="D7" s="186"/>
      <c r="E7" s="187"/>
      <c r="F7" s="187"/>
      <c r="G7" s="187"/>
      <c r="H7" s="187"/>
      <c r="I7" s="187"/>
      <c r="J7" s="187"/>
      <c r="K7" s="187"/>
      <c r="L7" s="187"/>
      <c r="M7" s="185"/>
      <c r="N7" s="186"/>
      <c r="O7" s="187"/>
      <c r="P7" s="187"/>
      <c r="Q7" s="187"/>
      <c r="R7" s="187"/>
      <c r="S7" s="187"/>
      <c r="T7" s="187"/>
      <c r="U7" s="187"/>
      <c r="V7" s="187"/>
      <c r="W7" s="185"/>
    </row>
    <row r="8" spans="1:23" ht="43.5" customHeight="1" x14ac:dyDescent="0.55000000000000004">
      <c r="A8" s="38" t="e">
        <f>#REF!</f>
        <v>#REF!</v>
      </c>
      <c r="B8" s="190" t="e">
        <f>IF(#REF!=0,"",#REF! &amp; " - " &amp;#REF!)</f>
        <v>#REF!</v>
      </c>
      <c r="C8" s="191"/>
      <c r="D8" s="192"/>
      <c r="E8" s="193"/>
      <c r="F8" s="193"/>
      <c r="G8" s="193"/>
      <c r="H8" s="193"/>
      <c r="I8" s="193"/>
      <c r="J8" s="193"/>
      <c r="K8" s="193"/>
      <c r="L8" s="193"/>
      <c r="M8" s="191"/>
      <c r="N8" s="192"/>
      <c r="O8" s="193"/>
      <c r="P8" s="193"/>
      <c r="Q8" s="193"/>
      <c r="R8" s="193"/>
      <c r="S8" s="193"/>
      <c r="T8" s="193"/>
      <c r="U8" s="193"/>
      <c r="V8" s="193"/>
      <c r="W8" s="191"/>
    </row>
    <row r="9" spans="1:23" ht="43.5" customHeight="1" x14ac:dyDescent="0.55000000000000004">
      <c r="A9" s="39" t="e">
        <f>#REF!</f>
        <v>#REF!</v>
      </c>
      <c r="B9" s="194" t="e">
        <f>IF(#REF!=0,"",#REF! &amp; " - " &amp;#REF!)</f>
        <v>#REF!</v>
      </c>
      <c r="C9" s="195"/>
      <c r="D9" s="197"/>
      <c r="E9" s="114"/>
      <c r="F9" s="114"/>
      <c r="G9" s="114"/>
      <c r="H9" s="114"/>
      <c r="I9" s="114"/>
      <c r="J9" s="114"/>
      <c r="K9" s="114"/>
      <c r="L9" s="114"/>
      <c r="M9" s="195"/>
      <c r="N9" s="197"/>
      <c r="O9" s="114"/>
      <c r="P9" s="114"/>
      <c r="Q9" s="114"/>
      <c r="R9" s="114"/>
      <c r="S9" s="114"/>
      <c r="T9" s="114"/>
      <c r="U9" s="114"/>
      <c r="V9" s="114"/>
      <c r="W9" s="195"/>
    </row>
    <row r="10" spans="1:23" ht="43.5" customHeight="1" x14ac:dyDescent="0.55000000000000004">
      <c r="A10" s="39" t="e">
        <f>#REF!</f>
        <v>#REF!</v>
      </c>
      <c r="B10" s="194" t="e">
        <f>IF(#REF!=0,"",#REF! &amp; " - " &amp;#REF!)</f>
        <v>#REF!</v>
      </c>
      <c r="C10" s="195"/>
      <c r="D10" s="197"/>
      <c r="E10" s="114"/>
      <c r="F10" s="114"/>
      <c r="G10" s="114"/>
      <c r="H10" s="114"/>
      <c r="I10" s="114"/>
      <c r="J10" s="114"/>
      <c r="K10" s="114"/>
      <c r="L10" s="114"/>
      <c r="M10" s="195"/>
      <c r="N10" s="197"/>
      <c r="O10" s="114"/>
      <c r="P10" s="114"/>
      <c r="Q10" s="114"/>
      <c r="R10" s="114"/>
      <c r="S10" s="114"/>
      <c r="T10" s="114"/>
      <c r="U10" s="114"/>
      <c r="V10" s="114"/>
      <c r="W10" s="195"/>
    </row>
    <row r="11" spans="1:23" ht="43.5" customHeight="1" x14ac:dyDescent="0.55000000000000004">
      <c r="A11" s="40" t="e">
        <f>#REF!</f>
        <v>#REF!</v>
      </c>
      <c r="B11" s="188" t="e">
        <f>IF(#REF!=0,"",#REF! &amp; " - " &amp;#REF!)</f>
        <v>#REF!</v>
      </c>
      <c r="C11" s="189"/>
      <c r="D11" s="186"/>
      <c r="E11" s="187"/>
      <c r="F11" s="187"/>
      <c r="G11" s="187"/>
      <c r="H11" s="187"/>
      <c r="I11" s="187"/>
      <c r="J11" s="187"/>
      <c r="K11" s="187"/>
      <c r="L11" s="187"/>
      <c r="M11" s="185"/>
      <c r="N11" s="186"/>
      <c r="O11" s="187"/>
      <c r="P11" s="187"/>
      <c r="Q11" s="187"/>
      <c r="R11" s="187"/>
      <c r="S11" s="187"/>
      <c r="T11" s="187"/>
      <c r="U11" s="187"/>
      <c r="V11" s="187"/>
      <c r="W11" s="185"/>
    </row>
    <row r="12" spans="1:23" ht="43.5" customHeight="1" x14ac:dyDescent="0.55000000000000004">
      <c r="A12" s="38" t="e">
        <f>#REF!</f>
        <v>#REF!</v>
      </c>
      <c r="B12" s="190" t="e">
        <f>IF(#REF!=0,"",#REF! &amp; " - " &amp;#REF!)</f>
        <v>#REF!</v>
      </c>
      <c r="C12" s="191"/>
      <c r="D12" s="192"/>
      <c r="E12" s="193"/>
      <c r="F12" s="193"/>
      <c r="G12" s="193"/>
      <c r="H12" s="193"/>
      <c r="I12" s="193"/>
      <c r="J12" s="193"/>
      <c r="K12" s="193"/>
      <c r="L12" s="193"/>
      <c r="M12" s="191"/>
      <c r="N12" s="192"/>
      <c r="O12" s="193"/>
      <c r="P12" s="193"/>
      <c r="Q12" s="193"/>
      <c r="R12" s="193"/>
      <c r="S12" s="193"/>
      <c r="T12" s="193"/>
      <c r="U12" s="193"/>
      <c r="V12" s="193"/>
      <c r="W12" s="191"/>
    </row>
    <row r="13" spans="1:23" ht="43.5" customHeight="1" x14ac:dyDescent="0.55000000000000004">
      <c r="A13" s="39" t="e">
        <f>#REF!</f>
        <v>#REF!</v>
      </c>
      <c r="B13" s="194" t="e">
        <f>IF(#REF!=0,"",#REF! &amp; " - " &amp;#REF!)</f>
        <v>#REF!</v>
      </c>
      <c r="C13" s="195"/>
      <c r="D13" s="196"/>
      <c r="E13" s="114"/>
      <c r="F13" s="114"/>
      <c r="G13" s="114"/>
      <c r="H13" s="114"/>
      <c r="I13" s="114"/>
      <c r="J13" s="114"/>
      <c r="K13" s="114"/>
      <c r="L13" s="114"/>
      <c r="M13" s="195"/>
      <c r="N13" s="196"/>
      <c r="O13" s="114"/>
      <c r="P13" s="114"/>
      <c r="Q13" s="114"/>
      <c r="R13" s="114"/>
      <c r="S13" s="114"/>
      <c r="T13" s="114"/>
      <c r="U13" s="114"/>
      <c r="V13" s="114"/>
      <c r="W13" s="195"/>
    </row>
    <row r="14" spans="1:23" ht="43.5" customHeight="1" x14ac:dyDescent="0.55000000000000004">
      <c r="A14" s="39" t="e">
        <f>#REF!</f>
        <v>#REF!</v>
      </c>
      <c r="B14" s="194" t="e">
        <f>IF(#REF!=0,"",#REF! &amp; " - " &amp;#REF!)</f>
        <v>#REF!</v>
      </c>
      <c r="C14" s="195"/>
      <c r="D14" s="196"/>
      <c r="E14" s="114"/>
      <c r="F14" s="114"/>
      <c r="G14" s="114"/>
      <c r="H14" s="114"/>
      <c r="I14" s="114"/>
      <c r="J14" s="114"/>
      <c r="K14" s="114"/>
      <c r="L14" s="114"/>
      <c r="M14" s="195"/>
      <c r="N14" s="196"/>
      <c r="O14" s="114"/>
      <c r="P14" s="114"/>
      <c r="Q14" s="114"/>
      <c r="R14" s="114"/>
      <c r="S14" s="114"/>
      <c r="T14" s="114"/>
      <c r="U14" s="114"/>
      <c r="V14" s="114"/>
      <c r="W14" s="195"/>
    </row>
    <row r="15" spans="1:23" ht="41.25" customHeight="1" x14ac:dyDescent="0.55000000000000004">
      <c r="A15" s="41" t="e">
        <f>#REF!</f>
        <v>#REF!</v>
      </c>
      <c r="B15" s="184" t="e">
        <f>IF(#REF!=0,"",#REF! &amp; " - " &amp;#REF!)</f>
        <v>#REF!</v>
      </c>
      <c r="C15" s="185"/>
      <c r="D15" s="186"/>
      <c r="E15" s="187"/>
      <c r="F15" s="187"/>
      <c r="G15" s="187"/>
      <c r="H15" s="187"/>
      <c r="I15" s="187"/>
      <c r="J15" s="187"/>
      <c r="K15" s="187"/>
      <c r="L15" s="187"/>
      <c r="M15" s="185"/>
      <c r="N15" s="186"/>
      <c r="O15" s="187"/>
      <c r="P15" s="187"/>
      <c r="Q15" s="187"/>
      <c r="R15" s="187"/>
      <c r="S15" s="187"/>
      <c r="T15" s="187"/>
      <c r="U15" s="187"/>
      <c r="V15" s="187"/>
      <c r="W15" s="185"/>
    </row>
    <row r="16" spans="1:23" ht="14.25" customHeight="1" x14ac:dyDescent="0.55000000000000004"/>
    <row r="17" ht="14.25" customHeight="1" x14ac:dyDescent="0.55000000000000004"/>
    <row r="18" ht="14.25" customHeight="1" x14ac:dyDescent="0.55000000000000004"/>
    <row r="19" ht="14.25" customHeight="1" x14ac:dyDescent="0.55000000000000004"/>
    <row r="20" ht="14.25" customHeight="1" x14ac:dyDescent="0.55000000000000004"/>
    <row r="21" ht="14.25" customHeight="1" x14ac:dyDescent="0.55000000000000004"/>
    <row r="22" ht="14.25" customHeight="1" x14ac:dyDescent="0.55000000000000004"/>
    <row r="23" ht="14.25" customHeight="1" x14ac:dyDescent="0.55000000000000004"/>
    <row r="24" ht="14.25" customHeight="1" x14ac:dyDescent="0.55000000000000004"/>
    <row r="25" ht="14.25" customHeight="1" x14ac:dyDescent="0.55000000000000004"/>
    <row r="26" ht="14.25" customHeight="1" x14ac:dyDescent="0.55000000000000004"/>
    <row r="27" ht="14.25" customHeight="1" x14ac:dyDescent="0.55000000000000004"/>
    <row r="28" ht="14.25" customHeight="1" x14ac:dyDescent="0.55000000000000004"/>
    <row r="29" ht="14.25" customHeight="1" x14ac:dyDescent="0.55000000000000004"/>
    <row r="30" ht="14.25" customHeight="1" x14ac:dyDescent="0.55000000000000004"/>
    <row r="31" ht="14.25" customHeight="1" x14ac:dyDescent="0.55000000000000004"/>
    <row r="32"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40">
    <mergeCell ref="A1:W2"/>
    <mergeCell ref="B3:C3"/>
    <mergeCell ref="D3:M3"/>
    <mergeCell ref="N3:W3"/>
    <mergeCell ref="B4:C4"/>
    <mergeCell ref="D4:M4"/>
    <mergeCell ref="N4:W4"/>
    <mergeCell ref="D7:M7"/>
    <mergeCell ref="N7:W7"/>
    <mergeCell ref="B5:C5"/>
    <mergeCell ref="D5:M5"/>
    <mergeCell ref="N5:W5"/>
    <mergeCell ref="B6:C6"/>
    <mergeCell ref="D6:M6"/>
    <mergeCell ref="N6:W6"/>
    <mergeCell ref="B7:C7"/>
    <mergeCell ref="D10:M10"/>
    <mergeCell ref="N10:W10"/>
    <mergeCell ref="B8:C8"/>
    <mergeCell ref="D8:M8"/>
    <mergeCell ref="N8:W8"/>
    <mergeCell ref="B9:C9"/>
    <mergeCell ref="D9:M9"/>
    <mergeCell ref="N9:W9"/>
    <mergeCell ref="B10:C10"/>
    <mergeCell ref="B15:C15"/>
    <mergeCell ref="D15:M15"/>
    <mergeCell ref="N15:W15"/>
    <mergeCell ref="B11:C11"/>
    <mergeCell ref="D11:M11"/>
    <mergeCell ref="N11:W11"/>
    <mergeCell ref="B12:C12"/>
    <mergeCell ref="D12:M12"/>
    <mergeCell ref="N12:W12"/>
    <mergeCell ref="B13:C13"/>
    <mergeCell ref="D13:M13"/>
    <mergeCell ref="N13:W13"/>
    <mergeCell ref="B14:C14"/>
    <mergeCell ref="D14:M14"/>
    <mergeCell ref="N14:W14"/>
  </mergeCells>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heetViews>
  <sheetFormatPr defaultColWidth="14.41796875" defaultRowHeight="15" customHeight="1" x14ac:dyDescent="0.55000000000000004"/>
  <cols>
    <col min="1" max="2" width="9.15625" customWidth="1"/>
    <col min="3" max="4" width="24" customWidth="1"/>
    <col min="5" max="5" width="29.26171875" customWidth="1"/>
    <col min="6" max="7" width="25.68359375" customWidth="1"/>
    <col min="8" max="26" width="9.15625" customWidth="1"/>
  </cols>
  <sheetData>
    <row r="1" spans="1:26" ht="14.25" customHeight="1" x14ac:dyDescent="0.55000000000000004"/>
    <row r="2" spans="1:26" ht="14.25" customHeight="1" x14ac:dyDescent="0.55000000000000004"/>
    <row r="3" spans="1:26" ht="14.25" customHeight="1" x14ac:dyDescent="0.7">
      <c r="A3" s="42"/>
      <c r="B3" s="202" t="s">
        <v>69</v>
      </c>
      <c r="C3" s="134"/>
      <c r="D3" s="134"/>
      <c r="E3" s="134"/>
      <c r="F3" s="134"/>
      <c r="G3" s="134"/>
      <c r="H3" s="43"/>
      <c r="I3" s="43"/>
      <c r="J3" s="43"/>
      <c r="K3" s="43"/>
      <c r="L3" s="43"/>
      <c r="M3" s="43"/>
      <c r="N3" s="42"/>
      <c r="O3" s="42"/>
      <c r="P3" s="42"/>
      <c r="Q3" s="42"/>
      <c r="R3" s="42"/>
      <c r="S3" s="42"/>
      <c r="T3" s="42"/>
      <c r="U3" s="42"/>
      <c r="V3" s="42"/>
      <c r="W3" s="42"/>
      <c r="X3" s="42"/>
      <c r="Y3" s="42"/>
      <c r="Z3" s="42"/>
    </row>
    <row r="4" spans="1:26" ht="14.25" customHeight="1" x14ac:dyDescent="0.6">
      <c r="B4" s="203" t="s">
        <v>70</v>
      </c>
      <c r="C4" s="114"/>
      <c r="D4" s="114"/>
      <c r="E4" s="114"/>
      <c r="F4" s="114"/>
      <c r="G4" s="115"/>
      <c r="H4" s="44"/>
      <c r="I4" s="44"/>
      <c r="J4" s="44"/>
      <c r="K4" s="44"/>
      <c r="L4" s="44"/>
      <c r="M4" s="44"/>
      <c r="N4" s="45"/>
      <c r="O4" s="45"/>
      <c r="P4" s="45"/>
      <c r="Q4" s="45"/>
      <c r="R4" s="45"/>
      <c r="S4" s="45"/>
    </row>
    <row r="5" spans="1:26" ht="14.25" customHeight="1" x14ac:dyDescent="0.6">
      <c r="A5" s="46"/>
      <c r="B5" s="47" t="s">
        <v>71</v>
      </c>
      <c r="C5" s="47" t="s">
        <v>72</v>
      </c>
      <c r="D5" s="48" t="s">
        <v>73</v>
      </c>
      <c r="E5" s="48" t="s">
        <v>74</v>
      </c>
      <c r="F5" s="48" t="s">
        <v>75</v>
      </c>
      <c r="G5" s="48" t="s">
        <v>76</v>
      </c>
      <c r="H5" s="46"/>
      <c r="I5" s="46"/>
      <c r="J5" s="46"/>
      <c r="K5" s="46"/>
      <c r="L5" s="46"/>
      <c r="M5" s="46"/>
      <c r="N5" s="46"/>
      <c r="O5" s="46"/>
      <c r="P5" s="46"/>
      <c r="Q5" s="46"/>
      <c r="R5" s="46"/>
      <c r="S5" s="46"/>
      <c r="T5" s="46"/>
      <c r="U5" s="46"/>
      <c r="V5" s="46"/>
      <c r="W5" s="46"/>
      <c r="X5" s="46"/>
      <c r="Y5" s="46"/>
      <c r="Z5" s="46"/>
    </row>
    <row r="6" spans="1:26" ht="14.25" customHeight="1" x14ac:dyDescent="0.6">
      <c r="B6" s="5">
        <v>4.0999999999999996</v>
      </c>
      <c r="C6" s="49" t="s">
        <v>77</v>
      </c>
      <c r="D6" s="49" t="s">
        <v>78</v>
      </c>
      <c r="E6" s="50" t="s">
        <v>79</v>
      </c>
      <c r="F6" s="49" t="s">
        <v>80</v>
      </c>
      <c r="G6" s="49" t="s">
        <v>81</v>
      </c>
    </row>
    <row r="7" spans="1:26" ht="14.25" customHeight="1" x14ac:dyDescent="0.6">
      <c r="B7" s="5">
        <v>4.2</v>
      </c>
      <c r="C7" s="49" t="s">
        <v>82</v>
      </c>
      <c r="D7" s="49" t="s">
        <v>83</v>
      </c>
      <c r="E7" s="50" t="s">
        <v>84</v>
      </c>
      <c r="F7" s="49" t="s">
        <v>85</v>
      </c>
      <c r="G7" s="49" t="s">
        <v>86</v>
      </c>
    </row>
    <row r="8" spans="1:26" ht="14.25" customHeight="1" x14ac:dyDescent="0.55000000000000004"/>
    <row r="9" spans="1:26" ht="14.25" customHeight="1" x14ac:dyDescent="0.55000000000000004"/>
    <row r="10" spans="1:26" ht="14.25" customHeight="1" x14ac:dyDescent="0.55000000000000004"/>
    <row r="11" spans="1:26" ht="14.25" customHeight="1" x14ac:dyDescent="0.55000000000000004"/>
    <row r="12" spans="1:26" ht="14.25" customHeight="1" x14ac:dyDescent="0.55000000000000004"/>
    <row r="13" spans="1:26" ht="14.25" customHeight="1" x14ac:dyDescent="0.55000000000000004"/>
    <row r="14" spans="1:26" ht="14.25" customHeight="1" x14ac:dyDescent="0.55000000000000004"/>
    <row r="15" spans="1:26" ht="14.25" customHeight="1" x14ac:dyDescent="0.55000000000000004"/>
    <row r="16" spans="1:26" ht="14.25" customHeight="1" x14ac:dyDescent="0.55000000000000004"/>
    <row r="17" ht="14.25" customHeight="1" x14ac:dyDescent="0.55000000000000004"/>
    <row r="18" ht="14.25" customHeight="1" x14ac:dyDescent="0.55000000000000004"/>
    <row r="19" ht="14.25" customHeight="1" x14ac:dyDescent="0.55000000000000004"/>
    <row r="20" ht="14.25" customHeight="1" x14ac:dyDescent="0.55000000000000004"/>
    <row r="21" ht="14.25" customHeight="1" x14ac:dyDescent="0.55000000000000004"/>
    <row r="22" ht="14.25" customHeight="1" x14ac:dyDescent="0.55000000000000004"/>
    <row r="23" ht="14.25" customHeight="1" x14ac:dyDescent="0.55000000000000004"/>
    <row r="24" ht="14.25" customHeight="1" x14ac:dyDescent="0.55000000000000004"/>
    <row r="25" ht="14.25" customHeight="1" x14ac:dyDescent="0.55000000000000004"/>
    <row r="26" ht="14.25" customHeight="1" x14ac:dyDescent="0.55000000000000004"/>
    <row r="27" ht="14.25" customHeight="1" x14ac:dyDescent="0.55000000000000004"/>
    <row r="28" ht="14.25" customHeight="1" x14ac:dyDescent="0.55000000000000004"/>
    <row r="29" ht="14.25" customHeight="1" x14ac:dyDescent="0.55000000000000004"/>
    <row r="30" ht="14.25" customHeight="1" x14ac:dyDescent="0.55000000000000004"/>
    <row r="31" ht="14.25" customHeight="1" x14ac:dyDescent="0.55000000000000004"/>
    <row r="32"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2">
    <mergeCell ref="B3:G3"/>
    <mergeCell ref="B4:G4"/>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defaultColWidth="14.41796875" defaultRowHeight="15" customHeight="1" x14ac:dyDescent="0.55000000000000004"/>
  <cols>
    <col min="1" max="2" width="9.15625" customWidth="1"/>
    <col min="3" max="4" width="24" customWidth="1"/>
    <col min="5" max="5" width="28.41796875" customWidth="1"/>
    <col min="6" max="7" width="25.68359375" customWidth="1"/>
    <col min="8" max="26" width="9.15625" customWidth="1"/>
  </cols>
  <sheetData>
    <row r="1" spans="1:26" ht="14.25" customHeight="1" x14ac:dyDescent="0.55000000000000004"/>
    <row r="2" spans="1:26" ht="14.25" customHeight="1" x14ac:dyDescent="0.55000000000000004"/>
    <row r="3" spans="1:26" ht="14.25" customHeight="1" x14ac:dyDescent="0.7">
      <c r="B3" s="202" t="s">
        <v>69</v>
      </c>
      <c r="C3" s="134"/>
      <c r="D3" s="134"/>
      <c r="E3" s="134"/>
      <c r="F3" s="134"/>
      <c r="G3" s="134"/>
      <c r="H3" s="43"/>
      <c r="I3" s="43"/>
      <c r="J3" s="43"/>
      <c r="K3" s="43"/>
      <c r="L3" s="43"/>
      <c r="M3" s="43"/>
    </row>
    <row r="4" spans="1:26" ht="15.75" customHeight="1" x14ac:dyDescent="0.6">
      <c r="A4" s="6"/>
      <c r="B4" s="204" t="s">
        <v>87</v>
      </c>
      <c r="C4" s="114"/>
      <c r="D4" s="114"/>
      <c r="E4" s="114"/>
      <c r="F4" s="114"/>
      <c r="G4" s="115"/>
      <c r="H4" s="51"/>
      <c r="I4" s="51"/>
      <c r="J4" s="51"/>
      <c r="K4" s="51"/>
      <c r="L4" s="51"/>
      <c r="M4" s="51"/>
      <c r="N4" s="52"/>
      <c r="O4" s="52"/>
      <c r="P4" s="52"/>
      <c r="Q4" s="52"/>
      <c r="R4" s="52"/>
      <c r="S4" s="52"/>
      <c r="T4" s="6"/>
      <c r="U4" s="6"/>
      <c r="V4" s="6"/>
      <c r="W4" s="6"/>
      <c r="X4" s="6"/>
      <c r="Y4" s="6"/>
      <c r="Z4" s="6"/>
    </row>
    <row r="5" spans="1:26" ht="14.25" customHeight="1" x14ac:dyDescent="0.6">
      <c r="A5" s="46"/>
      <c r="B5" s="47" t="s">
        <v>71</v>
      </c>
      <c r="C5" s="47" t="s">
        <v>72</v>
      </c>
      <c r="D5" s="48" t="s">
        <v>73</v>
      </c>
      <c r="E5" s="48" t="s">
        <v>74</v>
      </c>
      <c r="F5" s="48" t="s">
        <v>75</v>
      </c>
      <c r="G5" s="48" t="s">
        <v>76</v>
      </c>
      <c r="H5" s="46"/>
      <c r="I5" s="46"/>
      <c r="J5" s="46"/>
      <c r="K5" s="46"/>
      <c r="L5" s="46"/>
      <c r="M5" s="46"/>
      <c r="N5" s="46"/>
      <c r="O5" s="46"/>
      <c r="P5" s="46"/>
      <c r="Q5" s="46"/>
      <c r="R5" s="46"/>
      <c r="S5" s="46"/>
      <c r="T5" s="46"/>
      <c r="U5" s="46"/>
      <c r="V5" s="46"/>
      <c r="W5" s="46"/>
      <c r="X5" s="46"/>
      <c r="Y5" s="46"/>
      <c r="Z5" s="46"/>
    </row>
    <row r="6" spans="1:26" ht="14.25" customHeight="1" x14ac:dyDescent="0.6">
      <c r="B6" s="5">
        <v>4.0999999999999996</v>
      </c>
      <c r="C6" s="53" t="s">
        <v>88</v>
      </c>
      <c r="D6" s="53" t="s">
        <v>89</v>
      </c>
      <c r="E6" s="49" t="s">
        <v>90</v>
      </c>
      <c r="F6" s="49" t="s">
        <v>91</v>
      </c>
      <c r="G6" s="49" t="s">
        <v>92</v>
      </c>
    </row>
    <row r="7" spans="1:26" ht="14.25" customHeight="1" x14ac:dyDescent="0.6">
      <c r="B7" s="5">
        <v>4.2</v>
      </c>
      <c r="C7" s="53" t="s">
        <v>93</v>
      </c>
      <c r="D7" s="49" t="s">
        <v>94</v>
      </c>
      <c r="E7" s="49" t="s">
        <v>95</v>
      </c>
      <c r="F7" s="49" t="s">
        <v>96</v>
      </c>
      <c r="G7" s="49" t="s">
        <v>97</v>
      </c>
    </row>
    <row r="8" spans="1:26" ht="14.25" customHeight="1" x14ac:dyDescent="0.6">
      <c r="B8" s="5">
        <v>4.3</v>
      </c>
      <c r="C8" s="53" t="s">
        <v>98</v>
      </c>
      <c r="D8" s="49" t="s">
        <v>99</v>
      </c>
      <c r="E8" s="49" t="s">
        <v>100</v>
      </c>
      <c r="F8" s="49" t="s">
        <v>101</v>
      </c>
      <c r="G8" s="49" t="s">
        <v>102</v>
      </c>
    </row>
    <row r="9" spans="1:26" ht="14.25" customHeight="1" x14ac:dyDescent="0.6">
      <c r="B9" s="5">
        <v>4.4000000000000004</v>
      </c>
      <c r="C9" s="53" t="s">
        <v>103</v>
      </c>
      <c r="D9" s="49" t="s">
        <v>104</v>
      </c>
      <c r="E9" s="49" t="s">
        <v>105</v>
      </c>
      <c r="F9" s="49" t="s">
        <v>106</v>
      </c>
      <c r="G9" s="49" t="s">
        <v>107</v>
      </c>
    </row>
    <row r="10" spans="1:26" ht="14.25" customHeight="1" x14ac:dyDescent="0.55000000000000004"/>
    <row r="11" spans="1:26" ht="14.25" customHeight="1" x14ac:dyDescent="0.55000000000000004"/>
    <row r="12" spans="1:26" ht="14.25" customHeight="1" x14ac:dyDescent="0.55000000000000004"/>
    <row r="13" spans="1:26" ht="14.25" customHeight="1" x14ac:dyDescent="0.55000000000000004"/>
    <row r="14" spans="1:26" ht="14.25" customHeight="1" x14ac:dyDescent="0.55000000000000004"/>
    <row r="15" spans="1:26" ht="14.25" customHeight="1" x14ac:dyDescent="0.55000000000000004"/>
    <row r="16" spans="1:26" ht="14.25" customHeight="1" x14ac:dyDescent="0.55000000000000004"/>
    <row r="17" ht="14.25" customHeight="1" x14ac:dyDescent="0.55000000000000004"/>
    <row r="18" ht="14.25" customHeight="1" x14ac:dyDescent="0.55000000000000004"/>
    <row r="19" ht="14.25" customHeight="1" x14ac:dyDescent="0.55000000000000004"/>
    <row r="20" ht="14.25" customHeight="1" x14ac:dyDescent="0.55000000000000004"/>
    <row r="21" ht="14.25" customHeight="1" x14ac:dyDescent="0.55000000000000004"/>
    <row r="22" ht="14.25" customHeight="1" x14ac:dyDescent="0.55000000000000004"/>
    <row r="23" ht="14.25" customHeight="1" x14ac:dyDescent="0.55000000000000004"/>
    <row r="24" ht="14.25" customHeight="1" x14ac:dyDescent="0.55000000000000004"/>
    <row r="25" ht="14.25" customHeight="1" x14ac:dyDescent="0.55000000000000004"/>
    <row r="26" ht="14.25" customHeight="1" x14ac:dyDescent="0.55000000000000004"/>
    <row r="27" ht="14.25" customHeight="1" x14ac:dyDescent="0.55000000000000004"/>
    <row r="28" ht="14.25" customHeight="1" x14ac:dyDescent="0.55000000000000004"/>
    <row r="29" ht="14.25" customHeight="1" x14ac:dyDescent="0.55000000000000004"/>
    <row r="30" ht="14.25" customHeight="1" x14ac:dyDescent="0.55000000000000004"/>
    <row r="31" ht="14.25" customHeight="1" x14ac:dyDescent="0.55000000000000004"/>
    <row r="32"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2">
    <mergeCell ref="B3:G3"/>
    <mergeCell ref="B4:G4"/>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sheetViews>
  <sheetFormatPr defaultColWidth="14.41796875" defaultRowHeight="15" customHeight="1" x14ac:dyDescent="0.55000000000000004"/>
  <cols>
    <col min="1" max="2" width="8.83984375" customWidth="1"/>
    <col min="3" max="3" width="42.15625" customWidth="1"/>
    <col min="4" max="4" width="24" customWidth="1"/>
    <col min="5" max="5" width="29.15625" customWidth="1"/>
    <col min="6" max="6" width="28.578125" customWidth="1"/>
    <col min="7" max="7" width="25.83984375" customWidth="1"/>
    <col min="8" max="26" width="8.83984375" customWidth="1"/>
  </cols>
  <sheetData>
    <row r="1" spans="1:26" ht="14.25" customHeight="1" x14ac:dyDescent="0.55000000000000004"/>
    <row r="2" spans="1:26" ht="14.25" customHeight="1" x14ac:dyDescent="0.55000000000000004"/>
    <row r="3" spans="1:26" ht="14.25" customHeight="1" x14ac:dyDescent="0.7">
      <c r="B3" s="202" t="s">
        <v>69</v>
      </c>
      <c r="C3" s="134"/>
      <c r="D3" s="134"/>
      <c r="E3" s="134"/>
      <c r="F3" s="134"/>
      <c r="G3" s="134"/>
      <c r="H3" s="43"/>
      <c r="I3" s="43"/>
      <c r="J3" s="43"/>
      <c r="K3" s="43"/>
      <c r="L3" s="43"/>
      <c r="M3" s="43"/>
    </row>
    <row r="4" spans="1:26" ht="14.25" customHeight="1" x14ac:dyDescent="0.6">
      <c r="B4" s="204" t="s">
        <v>108</v>
      </c>
      <c r="C4" s="114"/>
      <c r="D4" s="114"/>
      <c r="E4" s="114"/>
      <c r="F4" s="114"/>
      <c r="G4" s="115"/>
      <c r="H4" s="44"/>
      <c r="I4" s="44"/>
      <c r="J4" s="44"/>
      <c r="K4" s="44"/>
      <c r="L4" s="44"/>
      <c r="M4" s="44"/>
      <c r="N4" s="45"/>
      <c r="O4" s="45"/>
      <c r="P4" s="45"/>
      <c r="Q4" s="45"/>
      <c r="R4" s="45"/>
      <c r="S4" s="45"/>
    </row>
    <row r="5" spans="1:26" ht="14.25" customHeight="1" x14ac:dyDescent="0.6">
      <c r="A5" s="46"/>
      <c r="B5" s="47" t="s">
        <v>71</v>
      </c>
      <c r="C5" s="47" t="s">
        <v>72</v>
      </c>
      <c r="D5" s="48" t="s">
        <v>73</v>
      </c>
      <c r="E5" s="48" t="s">
        <v>74</v>
      </c>
      <c r="F5" s="48" t="s">
        <v>75</v>
      </c>
      <c r="G5" s="48" t="s">
        <v>76</v>
      </c>
      <c r="H5" s="46"/>
      <c r="I5" s="46"/>
      <c r="J5" s="46"/>
      <c r="K5" s="46"/>
      <c r="L5" s="46"/>
      <c r="M5" s="46"/>
      <c r="N5" s="46"/>
      <c r="O5" s="46"/>
      <c r="P5" s="46"/>
      <c r="Q5" s="46"/>
      <c r="R5" s="46"/>
      <c r="S5" s="46"/>
      <c r="T5" s="46"/>
      <c r="U5" s="46"/>
      <c r="V5" s="46"/>
      <c r="W5" s="46"/>
      <c r="X5" s="46"/>
      <c r="Y5" s="46"/>
      <c r="Z5" s="46"/>
    </row>
    <row r="6" spans="1:26" ht="14.25" customHeight="1" x14ac:dyDescent="0.6">
      <c r="B6" s="5">
        <v>6.1</v>
      </c>
      <c r="C6" s="53" t="s">
        <v>109</v>
      </c>
      <c r="D6" s="53" t="s">
        <v>110</v>
      </c>
      <c r="E6" s="53" t="s">
        <v>111</v>
      </c>
      <c r="F6" s="53" t="s">
        <v>112</v>
      </c>
      <c r="G6" s="53" t="s">
        <v>113</v>
      </c>
    </row>
    <row r="7" spans="1:26" ht="14.25" customHeight="1" x14ac:dyDescent="0.6">
      <c r="B7" s="5">
        <v>6.2</v>
      </c>
      <c r="C7" s="53" t="s">
        <v>114</v>
      </c>
      <c r="D7" s="53" t="s">
        <v>115</v>
      </c>
      <c r="E7" s="53" t="s">
        <v>116</v>
      </c>
      <c r="F7" s="53" t="s">
        <v>117</v>
      </c>
      <c r="G7" s="53" t="s">
        <v>118</v>
      </c>
    </row>
    <row r="8" spans="1:26" ht="14.25" customHeight="1" x14ac:dyDescent="0.6">
      <c r="B8" s="5">
        <v>6.3</v>
      </c>
      <c r="C8" s="53" t="s">
        <v>119</v>
      </c>
      <c r="D8" s="53" t="s">
        <v>120</v>
      </c>
      <c r="E8" s="53" t="s">
        <v>121</v>
      </c>
      <c r="F8" s="53" t="s">
        <v>122</v>
      </c>
      <c r="G8" s="53" t="s">
        <v>123</v>
      </c>
    </row>
    <row r="9" spans="1:26" ht="14.25" customHeight="1" x14ac:dyDescent="0.6">
      <c r="B9" s="5">
        <v>6.4</v>
      </c>
      <c r="C9" s="53" t="s">
        <v>124</v>
      </c>
      <c r="D9" s="53" t="s">
        <v>125</v>
      </c>
      <c r="E9" s="53" t="s">
        <v>126</v>
      </c>
      <c r="F9" s="53" t="s">
        <v>127</v>
      </c>
      <c r="G9" s="53" t="s">
        <v>128</v>
      </c>
    </row>
    <row r="10" spans="1:26" ht="14.25" customHeight="1" x14ac:dyDescent="0.55000000000000004"/>
    <row r="11" spans="1:26" ht="14.25" customHeight="1" x14ac:dyDescent="0.55000000000000004"/>
    <row r="12" spans="1:26" ht="14.25" customHeight="1" x14ac:dyDescent="0.55000000000000004"/>
    <row r="13" spans="1:26" ht="14.25" customHeight="1" x14ac:dyDescent="0.55000000000000004"/>
    <row r="14" spans="1:26" ht="14.25" customHeight="1" x14ac:dyDescent="0.55000000000000004"/>
    <row r="15" spans="1:26" ht="14.25" customHeight="1" x14ac:dyDescent="0.55000000000000004"/>
    <row r="16" spans="1:26" ht="14.25" customHeight="1" x14ac:dyDescent="0.55000000000000004"/>
    <row r="17" ht="14.25" customHeight="1" x14ac:dyDescent="0.55000000000000004"/>
    <row r="18" ht="14.25" customHeight="1" x14ac:dyDescent="0.55000000000000004"/>
    <row r="19" ht="14.25" customHeight="1" x14ac:dyDescent="0.55000000000000004"/>
    <row r="20" ht="14.25" customHeight="1" x14ac:dyDescent="0.55000000000000004"/>
    <row r="21" ht="14.25" customHeight="1" x14ac:dyDescent="0.55000000000000004"/>
    <row r="22" ht="14.25" customHeight="1" x14ac:dyDescent="0.55000000000000004"/>
    <row r="23" ht="14.25" customHeight="1" x14ac:dyDescent="0.55000000000000004"/>
    <row r="24" ht="14.25" customHeight="1" x14ac:dyDescent="0.55000000000000004"/>
    <row r="25" ht="14.25" customHeight="1" x14ac:dyDescent="0.55000000000000004"/>
    <row r="26" ht="14.25" customHeight="1" x14ac:dyDescent="0.55000000000000004"/>
    <row r="27" ht="14.25" customHeight="1" x14ac:dyDescent="0.55000000000000004"/>
    <row r="28" ht="14.25" customHeight="1" x14ac:dyDescent="0.55000000000000004"/>
    <row r="29" ht="14.25" customHeight="1" x14ac:dyDescent="0.55000000000000004"/>
    <row r="30" ht="14.25" customHeight="1" x14ac:dyDescent="0.55000000000000004"/>
    <row r="31" ht="14.25" customHeight="1" x14ac:dyDescent="0.55000000000000004"/>
    <row r="32"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2">
    <mergeCell ref="B3:G3"/>
    <mergeCell ref="B4:G4"/>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workbookViewId="0"/>
  </sheetViews>
  <sheetFormatPr defaultColWidth="14.41796875" defaultRowHeight="15" customHeight="1" x14ac:dyDescent="0.55000000000000004"/>
  <cols>
    <col min="1" max="2" width="9.15625" customWidth="1"/>
    <col min="3" max="4" width="24" customWidth="1"/>
    <col min="5" max="5" width="29.41796875" customWidth="1"/>
    <col min="6" max="7" width="25.68359375" customWidth="1"/>
    <col min="8" max="26" width="9.15625" customWidth="1"/>
  </cols>
  <sheetData>
    <row r="1" spans="1:26" ht="14.25" customHeight="1" x14ac:dyDescent="0.55000000000000004"/>
    <row r="2" spans="1:26" ht="14.25" customHeight="1" x14ac:dyDescent="0.55000000000000004"/>
    <row r="3" spans="1:26" ht="14.25" customHeight="1" x14ac:dyDescent="0.7">
      <c r="B3" s="205" t="s">
        <v>69</v>
      </c>
      <c r="C3" s="206"/>
      <c r="D3" s="206"/>
      <c r="E3" s="206"/>
      <c r="F3" s="206"/>
      <c r="G3" s="207"/>
      <c r="H3" s="43"/>
      <c r="I3" s="43"/>
      <c r="J3" s="43"/>
      <c r="K3" s="43"/>
      <c r="L3" s="43"/>
      <c r="M3" s="43"/>
    </row>
    <row r="4" spans="1:26" ht="14.25" customHeight="1" x14ac:dyDescent="0.6">
      <c r="B4" s="208" t="s">
        <v>129</v>
      </c>
      <c r="C4" s="114"/>
      <c r="D4" s="114"/>
      <c r="E4" s="114"/>
      <c r="F4" s="114"/>
      <c r="G4" s="115"/>
      <c r="H4" s="44"/>
      <c r="I4" s="44"/>
      <c r="J4" s="44"/>
      <c r="K4" s="44"/>
      <c r="L4" s="44"/>
      <c r="M4" s="44"/>
      <c r="N4" s="45"/>
      <c r="O4" s="45"/>
      <c r="P4" s="45"/>
      <c r="Q4" s="45"/>
      <c r="R4" s="45"/>
      <c r="S4" s="45"/>
    </row>
    <row r="5" spans="1:26" ht="14.25" customHeight="1" x14ac:dyDescent="0.6">
      <c r="A5" s="46"/>
      <c r="B5" s="54" t="s">
        <v>71</v>
      </c>
      <c r="C5" s="54" t="s">
        <v>72</v>
      </c>
      <c r="D5" s="55" t="s">
        <v>73</v>
      </c>
      <c r="E5" s="55" t="s">
        <v>74</v>
      </c>
      <c r="F5" s="55" t="s">
        <v>75</v>
      </c>
      <c r="G5" s="55" t="s">
        <v>76</v>
      </c>
      <c r="H5" s="46"/>
      <c r="I5" s="46"/>
      <c r="J5" s="46"/>
      <c r="K5" s="46"/>
      <c r="L5" s="46"/>
      <c r="M5" s="46"/>
      <c r="N5" s="46"/>
      <c r="O5" s="46"/>
      <c r="P5" s="46"/>
      <c r="Q5" s="46"/>
      <c r="R5" s="46"/>
      <c r="S5" s="46"/>
      <c r="T5" s="46"/>
      <c r="U5" s="46"/>
      <c r="V5" s="46"/>
      <c r="W5" s="46"/>
      <c r="X5" s="46"/>
      <c r="Y5" s="46"/>
      <c r="Z5" s="46"/>
    </row>
    <row r="6" spans="1:26" ht="14.25" customHeight="1" x14ac:dyDescent="0.6">
      <c r="B6" s="56">
        <v>7.1</v>
      </c>
      <c r="C6" s="57" t="s">
        <v>130</v>
      </c>
      <c r="D6" s="57" t="s">
        <v>131</v>
      </c>
      <c r="E6" s="57" t="s">
        <v>132</v>
      </c>
      <c r="F6" s="57" t="s">
        <v>133</v>
      </c>
      <c r="G6" s="57" t="s">
        <v>134</v>
      </c>
    </row>
    <row r="7" spans="1:26" ht="14.25" customHeight="1" x14ac:dyDescent="0.6">
      <c r="B7" s="56">
        <v>7.2</v>
      </c>
      <c r="C7" s="57" t="s">
        <v>135</v>
      </c>
      <c r="D7" s="57" t="s">
        <v>136</v>
      </c>
      <c r="E7" s="57" t="s">
        <v>137</v>
      </c>
      <c r="F7" s="57" t="s">
        <v>138</v>
      </c>
      <c r="G7" s="57" t="s">
        <v>139</v>
      </c>
    </row>
    <row r="8" spans="1:26" ht="14.25" customHeight="1" x14ac:dyDescent="0.6">
      <c r="B8" s="56">
        <v>7.3</v>
      </c>
      <c r="C8" s="57" t="s">
        <v>140</v>
      </c>
      <c r="D8" s="57" t="s">
        <v>141</v>
      </c>
      <c r="E8" s="57" t="s">
        <v>142</v>
      </c>
      <c r="F8" s="57" t="s">
        <v>143</v>
      </c>
      <c r="G8" s="57" t="s">
        <v>144</v>
      </c>
    </row>
    <row r="9" spans="1:26" ht="14.25" customHeight="1" x14ac:dyDescent="0.6">
      <c r="B9" s="56">
        <v>7.4</v>
      </c>
      <c r="C9" s="57" t="s">
        <v>145</v>
      </c>
      <c r="D9" s="57" t="s">
        <v>146</v>
      </c>
      <c r="E9" s="57" t="s">
        <v>147</v>
      </c>
      <c r="F9" s="57" t="s">
        <v>148</v>
      </c>
      <c r="G9" s="57" t="s">
        <v>149</v>
      </c>
    </row>
    <row r="10" spans="1:26" ht="14.25" customHeight="1" x14ac:dyDescent="0.55000000000000004"/>
    <row r="11" spans="1:26" ht="14.25" customHeight="1" x14ac:dyDescent="0.55000000000000004"/>
    <row r="12" spans="1:26" ht="14.25" customHeight="1" x14ac:dyDescent="0.55000000000000004"/>
    <row r="13" spans="1:26" ht="14.25" customHeight="1" x14ac:dyDescent="0.55000000000000004"/>
    <row r="14" spans="1:26" ht="14.25" customHeight="1" x14ac:dyDescent="0.55000000000000004"/>
    <row r="15" spans="1:26" ht="14.25" customHeight="1" x14ac:dyDescent="0.55000000000000004"/>
    <row r="16" spans="1:26" ht="14.25" customHeight="1" x14ac:dyDescent="0.55000000000000004"/>
    <row r="17" ht="14.25" customHeight="1" x14ac:dyDescent="0.55000000000000004"/>
    <row r="18" ht="14.25" customHeight="1" x14ac:dyDescent="0.55000000000000004"/>
    <row r="19" ht="14.25" customHeight="1" x14ac:dyDescent="0.55000000000000004"/>
    <row r="20" ht="14.25" customHeight="1" x14ac:dyDescent="0.55000000000000004"/>
    <row r="21" ht="14.25" customHeight="1" x14ac:dyDescent="0.55000000000000004"/>
    <row r="22" ht="14.25" customHeight="1" x14ac:dyDescent="0.55000000000000004"/>
    <row r="23" ht="14.25" customHeight="1" x14ac:dyDescent="0.55000000000000004"/>
    <row r="24" ht="14.25" customHeight="1" x14ac:dyDescent="0.55000000000000004"/>
    <row r="25" ht="14.25" customHeight="1" x14ac:dyDescent="0.55000000000000004"/>
    <row r="26" ht="14.25" customHeight="1" x14ac:dyDescent="0.55000000000000004"/>
    <row r="27" ht="14.25" customHeight="1" x14ac:dyDescent="0.55000000000000004"/>
    <row r="28" ht="14.25" customHeight="1" x14ac:dyDescent="0.55000000000000004"/>
    <row r="29" ht="14.25" customHeight="1" x14ac:dyDescent="0.55000000000000004"/>
    <row r="30" ht="14.25" customHeight="1" x14ac:dyDescent="0.55000000000000004"/>
    <row r="31" ht="14.25" customHeight="1" x14ac:dyDescent="0.55000000000000004"/>
    <row r="32"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2">
    <mergeCell ref="B3:G3"/>
    <mergeCell ref="B4:G4"/>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G1000"/>
  <sheetViews>
    <sheetView workbookViewId="0"/>
  </sheetViews>
  <sheetFormatPr defaultColWidth="14.41796875" defaultRowHeight="15" customHeight="1" x14ac:dyDescent="0.55000000000000004"/>
  <cols>
    <col min="1" max="2" width="9.15625" customWidth="1"/>
    <col min="3" max="3" width="31.578125" customWidth="1"/>
    <col min="4" max="7" width="26.41796875" customWidth="1"/>
    <col min="8" max="26" width="9.15625" customWidth="1"/>
  </cols>
  <sheetData>
    <row r="1" spans="2:7" ht="14.25" customHeight="1" x14ac:dyDescent="0.55000000000000004"/>
    <row r="2" spans="2:7" ht="14.25" customHeight="1" x14ac:dyDescent="0.55000000000000004"/>
    <row r="3" spans="2:7" ht="14.25" customHeight="1" x14ac:dyDescent="0.55000000000000004"/>
    <row r="4" spans="2:7" ht="14.25" customHeight="1" x14ac:dyDescent="0.55000000000000004">
      <c r="B4" s="210" t="s">
        <v>150</v>
      </c>
      <c r="C4" s="114"/>
      <c r="D4" s="114"/>
      <c r="E4" s="114"/>
      <c r="F4" s="114"/>
      <c r="G4" s="115"/>
    </row>
    <row r="5" spans="2:7" ht="14.25" customHeight="1" x14ac:dyDescent="0.55000000000000004">
      <c r="B5" s="210" t="s">
        <v>151</v>
      </c>
      <c r="C5" s="114"/>
      <c r="D5" s="114"/>
      <c r="E5" s="114"/>
      <c r="F5" s="114"/>
      <c r="G5" s="115"/>
    </row>
    <row r="6" spans="2:7" ht="14.25" customHeight="1" x14ac:dyDescent="0.55000000000000004">
      <c r="B6" s="211"/>
      <c r="C6" s="211" t="s">
        <v>152</v>
      </c>
      <c r="D6" s="212" t="s">
        <v>153</v>
      </c>
      <c r="E6" s="114"/>
      <c r="F6" s="114"/>
      <c r="G6" s="115"/>
    </row>
    <row r="7" spans="2:7" ht="14.25" customHeight="1" x14ac:dyDescent="0.55000000000000004">
      <c r="B7" s="149"/>
      <c r="C7" s="149"/>
      <c r="D7" s="58" t="s">
        <v>154</v>
      </c>
      <c r="E7" s="58" t="s">
        <v>155</v>
      </c>
      <c r="F7" s="58" t="s">
        <v>156</v>
      </c>
      <c r="G7" s="58" t="s">
        <v>157</v>
      </c>
    </row>
    <row r="8" spans="2:7" ht="14.25" customHeight="1" x14ac:dyDescent="0.55000000000000004">
      <c r="B8" s="150"/>
      <c r="C8" s="150"/>
      <c r="D8" s="58">
        <v>3</v>
      </c>
      <c r="E8" s="58">
        <v>2</v>
      </c>
      <c r="F8" s="58">
        <v>1</v>
      </c>
      <c r="G8" s="58">
        <v>0</v>
      </c>
    </row>
    <row r="9" spans="2:7" ht="14.25" customHeight="1" x14ac:dyDescent="0.55000000000000004">
      <c r="B9" s="59">
        <v>8.1</v>
      </c>
      <c r="C9" s="59" t="s">
        <v>158</v>
      </c>
      <c r="D9" s="60" t="s">
        <v>159</v>
      </c>
      <c r="E9" s="60" t="s">
        <v>160</v>
      </c>
      <c r="F9" s="60" t="s">
        <v>161</v>
      </c>
      <c r="G9" s="60" t="s">
        <v>162</v>
      </c>
    </row>
    <row r="10" spans="2:7" ht="14.25" customHeight="1" x14ac:dyDescent="0.55000000000000004">
      <c r="B10" s="59">
        <v>8.1999999999999993</v>
      </c>
      <c r="C10" s="59" t="s">
        <v>163</v>
      </c>
      <c r="D10" s="60" t="s">
        <v>164</v>
      </c>
      <c r="E10" s="60" t="s">
        <v>165</v>
      </c>
      <c r="F10" s="60" t="s">
        <v>166</v>
      </c>
      <c r="G10" s="60" t="s">
        <v>167</v>
      </c>
    </row>
    <row r="11" spans="2:7" ht="14.25" customHeight="1" x14ac:dyDescent="0.55000000000000004">
      <c r="B11" s="213">
        <v>8.3000000000000007</v>
      </c>
      <c r="C11" s="213" t="s">
        <v>168</v>
      </c>
      <c r="D11" s="209" t="s">
        <v>169</v>
      </c>
      <c r="E11" s="209" t="s">
        <v>170</v>
      </c>
      <c r="F11" s="209" t="s">
        <v>171</v>
      </c>
      <c r="G11" s="209" t="s">
        <v>172</v>
      </c>
    </row>
    <row r="12" spans="2:7" ht="14.25" hidden="1" customHeight="1" x14ac:dyDescent="0.55000000000000004">
      <c r="B12" s="150"/>
      <c r="C12" s="150"/>
      <c r="D12" s="150"/>
      <c r="E12" s="150"/>
      <c r="F12" s="150"/>
      <c r="G12" s="150"/>
    </row>
    <row r="13" spans="2:7" ht="14.25" customHeight="1" x14ac:dyDescent="0.55000000000000004">
      <c r="B13" s="59">
        <v>8.4</v>
      </c>
      <c r="C13" s="59" t="s">
        <v>173</v>
      </c>
      <c r="D13" s="60" t="s">
        <v>174</v>
      </c>
      <c r="E13" s="60" t="s">
        <v>175</v>
      </c>
      <c r="F13" s="60" t="s">
        <v>176</v>
      </c>
      <c r="G13" s="60" t="s">
        <v>177</v>
      </c>
    </row>
    <row r="14" spans="2:7" ht="14.25" customHeight="1" x14ac:dyDescent="0.55000000000000004"/>
    <row r="15" spans="2:7" ht="14.25" customHeight="1" x14ac:dyDescent="0.55000000000000004"/>
    <row r="16" spans="2:7" ht="14.25" customHeight="1" x14ac:dyDescent="0.55000000000000004"/>
    <row r="17" ht="14.25" customHeight="1" x14ac:dyDescent="0.55000000000000004"/>
    <row r="18" ht="14.25" customHeight="1" x14ac:dyDescent="0.55000000000000004"/>
    <row r="19" ht="14.25" customHeight="1" x14ac:dyDescent="0.55000000000000004"/>
    <row r="20" ht="14.25" customHeight="1" x14ac:dyDescent="0.55000000000000004"/>
    <row r="21" ht="14.25" customHeight="1" x14ac:dyDescent="0.55000000000000004"/>
    <row r="22" ht="14.25" customHeight="1" x14ac:dyDescent="0.55000000000000004"/>
    <row r="23" ht="14.25" customHeight="1" x14ac:dyDescent="0.55000000000000004"/>
    <row r="24" ht="14.25" customHeight="1" x14ac:dyDescent="0.55000000000000004"/>
    <row r="25" ht="14.25" customHeight="1" x14ac:dyDescent="0.55000000000000004"/>
    <row r="26" ht="14.25" customHeight="1" x14ac:dyDescent="0.55000000000000004"/>
    <row r="27" ht="14.25" customHeight="1" x14ac:dyDescent="0.55000000000000004"/>
    <row r="28" ht="14.25" customHeight="1" x14ac:dyDescent="0.55000000000000004"/>
    <row r="29" ht="14.25" customHeight="1" x14ac:dyDescent="0.55000000000000004"/>
    <row r="30" ht="14.25" customHeight="1" x14ac:dyDescent="0.55000000000000004"/>
    <row r="31" ht="14.25" customHeight="1" x14ac:dyDescent="0.55000000000000004"/>
    <row r="32"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11">
    <mergeCell ref="D11:D12"/>
    <mergeCell ref="E11:E12"/>
    <mergeCell ref="F11:F12"/>
    <mergeCell ref="G11:G12"/>
    <mergeCell ref="B4:G4"/>
    <mergeCell ref="B5:G5"/>
    <mergeCell ref="B6:B8"/>
    <mergeCell ref="C6:C8"/>
    <mergeCell ref="D6:G6"/>
    <mergeCell ref="B11:B12"/>
    <mergeCell ref="C11:C12"/>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C1:M1000"/>
  <sheetViews>
    <sheetView workbookViewId="0"/>
  </sheetViews>
  <sheetFormatPr defaultColWidth="14.41796875" defaultRowHeight="15" customHeight="1" x14ac:dyDescent="0.55000000000000004"/>
  <cols>
    <col min="1" max="5" width="8.68359375" customWidth="1"/>
    <col min="6" max="6" width="30.41796875" customWidth="1"/>
    <col min="7" max="7" width="8.68359375" customWidth="1"/>
    <col min="8" max="8" width="9.41796875" customWidth="1"/>
    <col min="9" max="9" width="7.83984375" customWidth="1"/>
    <col min="10" max="11" width="8.68359375" customWidth="1"/>
    <col min="12" max="12" width="12.15625" customWidth="1"/>
    <col min="13" max="13" width="122.41796875" customWidth="1"/>
    <col min="14" max="26" width="8.68359375" customWidth="1"/>
  </cols>
  <sheetData>
    <row r="1" spans="3:13" ht="14.25" customHeight="1" x14ac:dyDescent="0.55000000000000004">
      <c r="L1" s="28" t="s">
        <v>178</v>
      </c>
      <c r="M1" s="1" t="s">
        <v>179</v>
      </c>
    </row>
    <row r="2" spans="3:13" ht="14.25" customHeight="1" x14ac:dyDescent="0.55000000000000004">
      <c r="L2" s="28" t="s">
        <v>4</v>
      </c>
      <c r="M2" s="1" t="s">
        <v>180</v>
      </c>
    </row>
    <row r="3" spans="3:13" ht="14.25" customHeight="1" x14ac:dyDescent="0.55000000000000004">
      <c r="L3" s="28" t="s">
        <v>181</v>
      </c>
      <c r="M3" s="1" t="s">
        <v>182</v>
      </c>
    </row>
    <row r="4" spans="3:13" ht="14.25" customHeight="1" x14ac:dyDescent="0.55000000000000004">
      <c r="L4" s="28" t="s">
        <v>5</v>
      </c>
      <c r="M4" s="1" t="s">
        <v>183</v>
      </c>
    </row>
    <row r="5" spans="3:13" ht="14.25" customHeight="1" x14ac:dyDescent="0.55000000000000004">
      <c r="L5" s="28" t="s">
        <v>184</v>
      </c>
      <c r="M5" s="1" t="s">
        <v>185</v>
      </c>
    </row>
    <row r="6" spans="3:13" ht="14.25" customHeight="1" x14ac:dyDescent="0.55000000000000004">
      <c r="L6" s="28" t="s">
        <v>186</v>
      </c>
      <c r="M6" s="1" t="s">
        <v>187</v>
      </c>
    </row>
    <row r="7" spans="3:13" ht="14.25" customHeight="1" x14ac:dyDescent="0.55000000000000004">
      <c r="L7" s="28" t="s">
        <v>188</v>
      </c>
      <c r="M7" s="1" t="s">
        <v>189</v>
      </c>
    </row>
    <row r="8" spans="3:13" ht="14.25" customHeight="1" x14ac:dyDescent="0.55000000000000004">
      <c r="D8" s="214" t="s">
        <v>190</v>
      </c>
      <c r="E8" s="114"/>
      <c r="F8" s="115"/>
      <c r="L8" s="28"/>
    </row>
    <row r="9" spans="3:13" ht="14.25" customHeight="1" x14ac:dyDescent="0.55000000000000004">
      <c r="C9" s="1">
        <v>0</v>
      </c>
      <c r="D9" s="61">
        <v>0</v>
      </c>
      <c r="E9" s="62" t="s">
        <v>56</v>
      </c>
      <c r="F9" s="63" t="s">
        <v>191</v>
      </c>
    </row>
    <row r="10" spans="3:13" ht="14.25" customHeight="1" x14ac:dyDescent="0.55000000000000004">
      <c r="C10" s="1">
        <v>1</v>
      </c>
      <c r="D10" s="61">
        <v>1</v>
      </c>
      <c r="E10" s="62" t="s">
        <v>57</v>
      </c>
      <c r="F10" s="63" t="s">
        <v>156</v>
      </c>
    </row>
    <row r="11" spans="3:13" ht="14.25" customHeight="1" x14ac:dyDescent="0.55000000000000004">
      <c r="C11" s="1">
        <v>2</v>
      </c>
      <c r="D11" s="61">
        <v>2</v>
      </c>
      <c r="E11" s="62" t="s">
        <v>58</v>
      </c>
      <c r="F11" s="63" t="s">
        <v>192</v>
      </c>
    </row>
    <row r="12" spans="3:13" ht="14.25" customHeight="1" x14ac:dyDescent="0.55000000000000004">
      <c r="C12" s="1">
        <v>3</v>
      </c>
      <c r="D12" s="61">
        <v>3</v>
      </c>
      <c r="E12" s="62" t="s">
        <v>59</v>
      </c>
      <c r="F12" s="63" t="s">
        <v>193</v>
      </c>
      <c r="L12" s="1" t="s">
        <v>194</v>
      </c>
    </row>
    <row r="13" spans="3:13" ht="14.25" customHeight="1" x14ac:dyDescent="0.55000000000000004">
      <c r="L13" s="1" t="s">
        <v>195</v>
      </c>
    </row>
    <row r="14" spans="3:13" ht="14.25" customHeight="1" x14ac:dyDescent="0.55000000000000004">
      <c r="L14" s="1" t="s">
        <v>196</v>
      </c>
    </row>
    <row r="15" spans="3:13" ht="14.25" customHeight="1" x14ac:dyDescent="0.55000000000000004">
      <c r="H15" s="1">
        <v>0</v>
      </c>
      <c r="I15" s="1">
        <v>0</v>
      </c>
      <c r="L15" s="1" t="s">
        <v>8</v>
      </c>
    </row>
    <row r="16" spans="3:13" ht="14.25" customHeight="1" x14ac:dyDescent="0.55000000000000004">
      <c r="H16" s="1">
        <v>1</v>
      </c>
      <c r="I16" s="1">
        <v>1</v>
      </c>
      <c r="L16" s="1" t="s">
        <v>197</v>
      </c>
    </row>
    <row r="17" spans="4:9" ht="14.25" customHeight="1" x14ac:dyDescent="0.55000000000000004">
      <c r="I17" s="1">
        <v>2</v>
      </c>
    </row>
    <row r="18" spans="4:9" ht="14.25" customHeight="1" x14ac:dyDescent="0.55000000000000004">
      <c r="D18" s="215" t="s">
        <v>198</v>
      </c>
      <c r="E18" s="114"/>
      <c r="F18" s="115"/>
      <c r="I18" s="1">
        <v>3</v>
      </c>
    </row>
    <row r="19" spans="4:9" ht="14.25" customHeight="1" x14ac:dyDescent="0.55000000000000004">
      <c r="D19" s="64">
        <v>59</v>
      </c>
      <c r="E19" s="65" t="s">
        <v>56</v>
      </c>
      <c r="F19" s="66" t="s">
        <v>199</v>
      </c>
    </row>
    <row r="20" spans="4:9" ht="14.25" customHeight="1" x14ac:dyDescent="0.55000000000000004">
      <c r="D20" s="64">
        <v>69</v>
      </c>
      <c r="E20" s="65" t="s">
        <v>57</v>
      </c>
      <c r="F20" s="66" t="s">
        <v>200</v>
      </c>
    </row>
    <row r="21" spans="4:9" ht="14.25" customHeight="1" x14ac:dyDescent="0.55000000000000004">
      <c r="D21" s="64">
        <v>84</v>
      </c>
      <c r="E21" s="65" t="s">
        <v>58</v>
      </c>
      <c r="F21" s="66" t="s">
        <v>201</v>
      </c>
    </row>
    <row r="22" spans="4:9" ht="14.25" customHeight="1" x14ac:dyDescent="0.55000000000000004">
      <c r="D22" s="64">
        <v>100</v>
      </c>
      <c r="E22" s="65" t="s">
        <v>59</v>
      </c>
      <c r="F22" s="66" t="s">
        <v>202</v>
      </c>
    </row>
    <row r="23" spans="4:9" ht="14.25" customHeight="1" x14ac:dyDescent="0.55000000000000004"/>
    <row r="24" spans="4:9" ht="14.25" customHeight="1" x14ac:dyDescent="0.55000000000000004"/>
    <row r="25" spans="4:9" ht="14.25" customHeight="1" x14ac:dyDescent="0.55000000000000004"/>
    <row r="26" spans="4:9" ht="14.25" customHeight="1" x14ac:dyDescent="0.55000000000000004"/>
    <row r="27" spans="4:9" ht="14.25" customHeight="1" x14ac:dyDescent="0.55000000000000004"/>
    <row r="28" spans="4:9" ht="14.25" customHeight="1" x14ac:dyDescent="0.55000000000000004"/>
    <row r="29" spans="4:9" ht="14.25" customHeight="1" x14ac:dyDescent="0.55000000000000004"/>
    <row r="30" spans="4:9" ht="14.25" customHeight="1" x14ac:dyDescent="0.55000000000000004"/>
    <row r="31" spans="4:9" ht="14.25" customHeight="1" x14ac:dyDescent="0.55000000000000004"/>
    <row r="32" spans="4:9"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2">
    <mergeCell ref="D8:F8"/>
    <mergeCell ref="D18:F18"/>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Main</vt:lpstr>
      <vt:lpstr> Rubric</vt:lpstr>
      <vt:lpstr>SO4 Rubric</vt:lpstr>
      <vt:lpstr>SO4 -Assessment Results</vt:lpstr>
      <vt:lpstr>SO4 Assessment Results</vt:lpstr>
      <vt:lpstr>Student work Description</vt:lpstr>
      <vt:lpstr>SO4</vt:lpstr>
      <vt:lpstr>SO5</vt:lpstr>
      <vt:lpstr>SO6</vt:lpstr>
      <vt:lpstr>SO7</vt:lpstr>
      <vt:lpstr>SO8</vt:lpstr>
      <vt:lpstr>Lookup Tables</vt:lpstr>
      <vt:lpstr>'SO4 -Assessment Results'!Print_Area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Nermeen El Hakim</dc:creator>
  <cp:lastModifiedBy>Maged</cp:lastModifiedBy>
  <cp:lastPrinted>2026-09-01T10:23:24Z</cp:lastPrinted>
  <dcterms:created xsi:type="dcterms:W3CDTF">2012-02-27T07:54:13Z</dcterms:created>
  <dcterms:modified xsi:type="dcterms:W3CDTF">2026-09-05T18:57:50Z</dcterms:modified>
</cp:coreProperties>
</file>