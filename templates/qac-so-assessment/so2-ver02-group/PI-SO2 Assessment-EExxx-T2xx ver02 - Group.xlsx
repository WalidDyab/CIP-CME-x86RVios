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G:\My Drive\Committee Qulaity 26-27\SOs Assessment tools\"/>
    </mc:Choice>
  </mc:AlternateContent>
  <xr:revisionPtr revIDLastSave="0" documentId="13_ncr:1_{0B30DA4B-25F1-4E9D-9421-91EBD107E633}" xr6:coauthVersionLast="47" xr6:coauthVersionMax="47" xr10:uidLastSave="{00000000-0000-0000-0000-000000000000}"/>
  <bookViews>
    <workbookView xWindow="-96" yWindow="-96" windowWidth="23232" windowHeight="13872" activeTab="4" xr2:uid="{00000000-000D-0000-FFFF-FFFF00000000}"/>
  </bookViews>
  <sheets>
    <sheet name="Main" sheetId="1" r:id="rId1"/>
    <sheet name="SO2-PI21 Rubric" sheetId="17" r:id="rId2"/>
    <sheet name="SO2-PI22,PI23&amp;PI24 Rubric" sheetId="5" r:id="rId3"/>
    <sheet name="SO4 Rubric" sheetId="6" state="hidden" r:id="rId4"/>
    <sheet name="SO2 Assessment Results" sheetId="16" r:id="rId5"/>
    <sheet name="SO4 Assessment Results" sheetId="8" state="hidden" r:id="rId6"/>
    <sheet name="Student work Description" sheetId="9" state="hidden" r:id="rId7"/>
    <sheet name="SO4" sheetId="10" state="hidden" r:id="rId8"/>
    <sheet name="SO5" sheetId="11" state="hidden" r:id="rId9"/>
    <sheet name="SO6" sheetId="12" state="hidden" r:id="rId10"/>
    <sheet name="SO7" sheetId="13" state="hidden" r:id="rId11"/>
    <sheet name="SO8" sheetId="14" state="hidden" r:id="rId12"/>
    <sheet name="Lookup Tables" sheetId="15" state="hidden" r:id="rId13"/>
  </sheets>
  <externalReferences>
    <externalReference r:id="rId14"/>
  </externalReferences>
  <definedNames>
    <definedName name="OutcomesList">'[1]Lookups Tables'!$J$3:$J$12</definedName>
    <definedName name="Percentage">'[1]Lookups Tables'!$L$4:$L$23</definedName>
    <definedName name="_xlnm.Print_Area" localSheetId="4">'SO2 Assessment Results'!$A$1:$AA$21</definedName>
  </definedNames>
  <calcPr calcId="181029"/>
  <extLst>
    <ext uri="GoogleSheetsCustomDataVersion2">
      <go:sheetsCustomData xmlns:go="http://customooxmlschemas.google.com/" r:id="rId20" roundtripDataChecksum="drTQ2fKGKNZY76+RHHsCA4X1roIbLT65cjdfwmrplEc="/>
    </ext>
  </extLst>
</workbook>
</file>

<file path=xl/calcChain.xml><?xml version="1.0" encoding="utf-8"?>
<calcChain xmlns="http://schemas.openxmlformats.org/spreadsheetml/2006/main">
  <c r="M7" i="16" l="1"/>
  <c r="O7" i="16" s="1"/>
  <c r="M8" i="16"/>
  <c r="M9" i="16"/>
  <c r="M10" i="16"/>
  <c r="M11" i="16"/>
  <c r="M12" i="16"/>
  <c r="M13" i="16"/>
  <c r="O13" i="16" s="1"/>
  <c r="M14" i="16"/>
  <c r="O14" i="16" s="1"/>
  <c r="M15" i="16"/>
  <c r="O15" i="16" s="1"/>
  <c r="M16" i="16"/>
  <c r="O16" i="16" s="1"/>
  <c r="M17" i="16"/>
  <c r="O17" i="16" s="1"/>
  <c r="M18" i="16"/>
  <c r="O18" i="16" s="1"/>
  <c r="M19" i="16"/>
  <c r="O19" i="16" s="1"/>
  <c r="M6" i="16"/>
  <c r="R20" i="16"/>
  <c r="U20" i="16"/>
  <c r="X20" i="16"/>
  <c r="X7" i="16"/>
  <c r="X8" i="16"/>
  <c r="X9" i="16"/>
  <c r="X10" i="16"/>
  <c r="X11" i="16"/>
  <c r="X12" i="16"/>
  <c r="X13" i="16"/>
  <c r="X14" i="16"/>
  <c r="X15" i="16"/>
  <c r="X16" i="16"/>
  <c r="X17" i="16"/>
  <c r="X18" i="16"/>
  <c r="X19" i="16"/>
  <c r="U7" i="16"/>
  <c r="U8" i="16"/>
  <c r="U9" i="16"/>
  <c r="U10" i="16"/>
  <c r="U11" i="16"/>
  <c r="U12" i="16"/>
  <c r="U13" i="16"/>
  <c r="U14" i="16"/>
  <c r="U15" i="16"/>
  <c r="U16" i="16"/>
  <c r="U17" i="16"/>
  <c r="U18" i="16"/>
  <c r="U19" i="16"/>
  <c r="X6" i="16"/>
  <c r="U6" i="16"/>
  <c r="R7" i="16"/>
  <c r="R8" i="16"/>
  <c r="R9" i="16"/>
  <c r="R10" i="16"/>
  <c r="R11" i="16"/>
  <c r="R12" i="16"/>
  <c r="R13" i="16"/>
  <c r="R14" i="16"/>
  <c r="R15" i="16"/>
  <c r="R16" i="16"/>
  <c r="R17" i="16"/>
  <c r="R18" i="16"/>
  <c r="R19" i="16"/>
  <c r="R6" i="16"/>
  <c r="O8" i="16"/>
  <c r="Y8" i="16" s="1"/>
  <c r="O9" i="16"/>
  <c r="O10" i="16"/>
  <c r="O11" i="16"/>
  <c r="O12" i="16"/>
  <c r="Y7" i="16" l="1"/>
  <c r="Z7" i="16" s="1"/>
  <c r="Z8" i="16"/>
  <c r="Y9" i="16"/>
  <c r="Z9" i="16" s="1"/>
  <c r="Y10" i="16"/>
  <c r="Z10" i="16" s="1"/>
  <c r="Y11" i="16"/>
  <c r="Z11" i="16" s="1"/>
  <c r="Y12" i="16"/>
  <c r="Z12" i="16" s="1"/>
  <c r="Y13" i="16"/>
  <c r="Z13" i="16" s="1"/>
  <c r="Y14" i="16"/>
  <c r="Z14" i="16" s="1"/>
  <c r="Y15" i="16"/>
  <c r="Z15" i="16" s="1"/>
  <c r="Y16" i="16"/>
  <c r="Z16" i="16" s="1"/>
  <c r="Y17" i="16"/>
  <c r="Z17" i="16" s="1"/>
  <c r="Y18" i="16"/>
  <c r="Z18" i="16" s="1"/>
  <c r="Y19" i="16"/>
  <c r="Z19" i="16" s="1"/>
  <c r="O6" i="16"/>
  <c r="O20" i="16" s="1"/>
  <c r="B15" i="9"/>
  <c r="A15" i="9"/>
  <c r="B14" i="9"/>
  <c r="A14" i="9"/>
  <c r="B13" i="9"/>
  <c r="A13" i="9"/>
  <c r="B12" i="9"/>
  <c r="A12" i="9"/>
  <c r="B11" i="9"/>
  <c r="A11" i="9"/>
  <c r="B10" i="9"/>
  <c r="A10" i="9"/>
  <c r="B9" i="9"/>
  <c r="A9" i="9"/>
  <c r="B8" i="9"/>
  <c r="A8" i="9"/>
  <c r="B7" i="9"/>
  <c r="A7" i="9"/>
  <c r="B6" i="9"/>
  <c r="A6" i="9"/>
  <c r="B5" i="9"/>
  <c r="A5" i="9"/>
  <c r="B4" i="9"/>
  <c r="A4" i="9"/>
  <c r="K23" i="8"/>
  <c r="J23" i="8"/>
  <c r="I23" i="8"/>
  <c r="H23" i="8"/>
  <c r="L23" i="8" s="1"/>
  <c r="M23" i="8" s="1"/>
  <c r="E23" i="8" a="1"/>
  <c r="E23" i="8" s="1"/>
  <c r="D23" i="8" a="1"/>
  <c r="D23" i="8" s="1"/>
  <c r="F23" i="8" s="1"/>
  <c r="G23" i="8" s="1"/>
  <c r="C23" i="8"/>
  <c r="B23" i="8"/>
  <c r="K22" i="8"/>
  <c r="J22" i="8"/>
  <c r="I22" i="8"/>
  <c r="H22" i="8"/>
  <c r="E22" i="8" a="1"/>
  <c r="E22" i="8" s="1"/>
  <c r="D22" i="8" a="1"/>
  <c r="D22" i="8" s="1"/>
  <c r="F22" i="8" s="1"/>
  <c r="G22" i="8" s="1"/>
  <c r="C22" i="8"/>
  <c r="B22" i="8"/>
  <c r="K21" i="8"/>
  <c r="L21" i="8" s="1"/>
  <c r="M21" i="8" s="1"/>
  <c r="J21" i="8"/>
  <c r="I21" i="8"/>
  <c r="H21" i="8"/>
  <c r="E21" i="8" a="1"/>
  <c r="E21" i="8" s="1"/>
  <c r="D21" i="8" a="1"/>
  <c r="D21" i="8" s="1"/>
  <c r="F21" i="8" s="1"/>
  <c r="G21" i="8" s="1"/>
  <c r="C21" i="8"/>
  <c r="B21" i="8"/>
  <c r="K20" i="8"/>
  <c r="J20" i="8"/>
  <c r="I20" i="8"/>
  <c r="L20" i="8" s="1"/>
  <c r="M20" i="8" s="1"/>
  <c r="H20" i="8"/>
  <c r="E20" i="8" a="1"/>
  <c r="E20" i="8" s="1"/>
  <c r="D20" i="8" a="1"/>
  <c r="D20" i="8" s="1"/>
  <c r="F20" i="8" s="1"/>
  <c r="G20" i="8" s="1"/>
  <c r="C20" i="8"/>
  <c r="B20" i="8"/>
  <c r="K19" i="8"/>
  <c r="J19" i="8"/>
  <c r="I19" i="8"/>
  <c r="H19" i="8"/>
  <c r="L19" i="8" s="1"/>
  <c r="M19" i="8" s="1"/>
  <c r="E19" i="8" a="1"/>
  <c r="E19" i="8" s="1"/>
  <c r="D19" i="8" a="1"/>
  <c r="D19" i="8" s="1"/>
  <c r="F19" i="8" s="1"/>
  <c r="G19" i="8" s="1"/>
  <c r="C19" i="8"/>
  <c r="B19" i="8"/>
  <c r="K18" i="8"/>
  <c r="J18" i="8"/>
  <c r="I18" i="8"/>
  <c r="H18" i="8"/>
  <c r="L18" i="8" s="1"/>
  <c r="M18" i="8" s="1"/>
  <c r="E18" i="8" a="1"/>
  <c r="E18" i="8" s="1"/>
  <c r="D18" i="8" a="1"/>
  <c r="D18" i="8" s="1"/>
  <c r="F18" i="8" s="1"/>
  <c r="G18" i="8" s="1"/>
  <c r="C18" i="8"/>
  <c r="B18" i="8"/>
  <c r="K17" i="8"/>
  <c r="J17" i="8"/>
  <c r="I17" i="8"/>
  <c r="L17" i="8" s="1"/>
  <c r="M17" i="8" s="1"/>
  <c r="H17" i="8"/>
  <c r="E17" i="8" a="1"/>
  <c r="E17" i="8" s="1"/>
  <c r="D17" i="8" a="1"/>
  <c r="D17" i="8" s="1"/>
  <c r="F17" i="8" s="1"/>
  <c r="G17" i="8" s="1"/>
  <c r="C17" i="8"/>
  <c r="B17" i="8"/>
  <c r="K16" i="8"/>
  <c r="J16" i="8"/>
  <c r="I16" i="8"/>
  <c r="H16" i="8"/>
  <c r="E16" i="8" a="1"/>
  <c r="E16" i="8" s="1"/>
  <c r="D16" i="8" a="1"/>
  <c r="D16" i="8" s="1"/>
  <c r="F16" i="8" s="1"/>
  <c r="G16" i="8" s="1"/>
  <c r="C16" i="8"/>
  <c r="B16" i="8"/>
  <c r="K15" i="8"/>
  <c r="J15" i="8"/>
  <c r="I15" i="8"/>
  <c r="H15" i="8"/>
  <c r="L15" i="8" s="1"/>
  <c r="M15" i="8" s="1"/>
  <c r="E15" i="8" a="1"/>
  <c r="E15" i="8" s="1"/>
  <c r="D15" i="8" a="1"/>
  <c r="D15" i="8" s="1"/>
  <c r="F15" i="8" s="1"/>
  <c r="G15" i="8" s="1"/>
  <c r="C15" i="8"/>
  <c r="B15" i="8"/>
  <c r="K14" i="8"/>
  <c r="J14" i="8"/>
  <c r="I14" i="8"/>
  <c r="H14" i="8"/>
  <c r="L14" i="8" s="1"/>
  <c r="M14" i="8" s="1"/>
  <c r="E14" i="8" a="1"/>
  <c r="E14" i="8" s="1"/>
  <c r="D14" i="8" a="1"/>
  <c r="D14" i="8" s="1"/>
  <c r="F14" i="8" s="1"/>
  <c r="G14" i="8" s="1"/>
  <c r="C14" i="8"/>
  <c r="B14" i="8"/>
  <c r="K13" i="8"/>
  <c r="J13" i="8"/>
  <c r="I13" i="8"/>
  <c r="H13" i="8"/>
  <c r="L13" i="8" s="1"/>
  <c r="M13" i="8" s="1"/>
  <c r="E13" i="8" a="1"/>
  <c r="E13" i="8" s="1"/>
  <c r="D13" i="8" a="1"/>
  <c r="D13" i="8" s="1"/>
  <c r="F13" i="8" s="1"/>
  <c r="G13" i="8" s="1"/>
  <c r="C13" i="8"/>
  <c r="B13" i="8"/>
  <c r="K12" i="8"/>
  <c r="J12" i="8"/>
  <c r="I12" i="8"/>
  <c r="H12" i="8"/>
  <c r="E12" i="8" a="1"/>
  <c r="E12" i="8" s="1"/>
  <c r="D12" i="8" a="1"/>
  <c r="D12" i="8" s="1"/>
  <c r="F12" i="8" s="1"/>
  <c r="G12" i="8" s="1"/>
  <c r="C12" i="8"/>
  <c r="B12" i="8"/>
  <c r="K11" i="8"/>
  <c r="J11" i="8"/>
  <c r="I11" i="8"/>
  <c r="H11" i="8"/>
  <c r="L11" i="8" s="1"/>
  <c r="M11" i="8" s="1"/>
  <c r="E11" i="8" a="1"/>
  <c r="E11" i="8" s="1"/>
  <c r="D11" i="8" a="1"/>
  <c r="D11" i="8" s="1"/>
  <c r="F11" i="8" s="1"/>
  <c r="G11" i="8" s="1"/>
  <c r="C11" i="8"/>
  <c r="B11" i="8"/>
  <c r="E10" i="8" a="1"/>
  <c r="E10" i="8" s="1"/>
  <c r="D10" i="8" a="1"/>
  <c r="D10" i="8" s="1"/>
  <c r="F10" i="8" s="1"/>
  <c r="G10" i="8" s="1"/>
  <c r="C10" i="8"/>
  <c r="B10" i="8"/>
  <c r="E9" i="8" a="1"/>
  <c r="E9" i="8" s="1"/>
  <c r="D9" i="8" a="1"/>
  <c r="D9" i="8" s="1"/>
  <c r="F9" i="8" s="1"/>
  <c r="G9" i="8" s="1"/>
  <c r="C9" i="8"/>
  <c r="B9" i="8"/>
  <c r="E8" i="8" a="1"/>
  <c r="E8" i="8" s="1"/>
  <c r="D8" i="8" a="1"/>
  <c r="D8" i="8" s="1"/>
  <c r="F8" i="8" s="1"/>
  <c r="G8" i="8" s="1"/>
  <c r="C8" i="8"/>
  <c r="B8" i="8"/>
  <c r="E7" i="8" a="1"/>
  <c r="E7" i="8" s="1"/>
  <c r="D7" i="8" a="1"/>
  <c r="D7" i="8" s="1"/>
  <c r="F7" i="8" s="1"/>
  <c r="G7" i="8" s="1"/>
  <c r="C7" i="8"/>
  <c r="B7" i="8"/>
  <c r="E6" i="8" a="1"/>
  <c r="E6" i="8" s="1"/>
  <c r="D6" i="8" a="1"/>
  <c r="D6" i="8" s="1"/>
  <c r="F6" i="8" s="1"/>
  <c r="G6" i="8" s="1"/>
  <c r="C6" i="8"/>
  <c r="B6" i="8"/>
  <c r="E5" i="8" a="1"/>
  <c r="E5" i="8" s="1"/>
  <c r="D5" i="8" a="1"/>
  <c r="D5" i="8" s="1"/>
  <c r="F5" i="8" s="1"/>
  <c r="G5" i="8" s="1"/>
  <c r="C5" i="8"/>
  <c r="B5" i="8"/>
  <c r="E4" i="8" a="1"/>
  <c r="E4" i="8" s="1"/>
  <c r="D4" i="8" a="1"/>
  <c r="D4" i="8" s="1"/>
  <c r="C4" i="8"/>
  <c r="B4" i="8"/>
  <c r="AG2" i="6"/>
  <c r="AE2" i="6"/>
  <c r="AC2" i="6"/>
  <c r="AA2" i="6"/>
  <c r="Y2" i="6"/>
  <c r="W2" i="6"/>
  <c r="U2" i="6"/>
  <c r="S2" i="6"/>
  <c r="Q2" i="6"/>
  <c r="O2" i="6"/>
  <c r="M2" i="6"/>
  <c r="K2" i="6"/>
  <c r="I2" i="6"/>
  <c r="G2" i="6"/>
  <c r="B6" i="1"/>
  <c r="B5" i="1"/>
  <c r="Y6" i="16" l="1"/>
  <c r="Z6" i="16" s="1"/>
  <c r="Z20" i="16" s="1"/>
  <c r="L22" i="8"/>
  <c r="M22" i="8" s="1"/>
  <c r="K26" i="8"/>
  <c r="L16" i="8"/>
  <c r="M16" i="8" s="1"/>
  <c r="L12" i="8"/>
  <c r="M12" i="8" s="1"/>
  <c r="F4" i="8"/>
  <c r="G4" i="8" s="1"/>
  <c r="D27" i="8"/>
  <c r="D26" i="8"/>
  <c r="E27" i="8"/>
  <c r="E26" i="8"/>
  <c r="H24" i="8" l="1"/>
  <c r="H27" i="8"/>
  <c r="H26" i="8"/>
  <c r="H25" i="8"/>
  <c r="I24"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5" authorId="0" shapeId="0" xr:uid="{00000000-0006-0000-0000-000002000000}">
      <text>
        <r>
          <rPr>
            <sz val="11"/>
            <color theme="1"/>
            <rFont val="Calibri"/>
            <family val="2"/>
            <scheme val="minor"/>
          </rPr>
          <t>======
ID#AAABw60pAaI
Maged    (2025-12-02 17:57:03)
-Select the Assessed SO in the course from the drop list. 
-Select the last empty cell from the drop list to avoid selecting an SO</t>
        </r>
      </text>
    </comment>
    <comment ref="A6" authorId="0" shapeId="0" xr:uid="{00000000-0006-0000-0000-000003000000}">
      <text>
        <r>
          <rPr>
            <sz val="11"/>
            <color theme="1"/>
            <rFont val="Calibri"/>
            <family val="2"/>
            <scheme val="minor"/>
          </rPr>
          <t>======
ID#AAABxA1sXBo
Maged    (2025-12-02 17:57:03)
-Select the Assessed SO in the course from the drop list. 
-Select the last empty cell from the drop list to avoid selecting an SO</t>
        </r>
      </text>
    </comment>
  </commentList>
  <extLst>
    <ext xmlns:r="http://schemas.openxmlformats.org/officeDocument/2006/relationships" uri="GoogleSheetsCustomDataVersion2">
      <go:sheetsCustomData xmlns:go="http://customooxmlschemas.google.com/" r:id="rId1" roundtripDataSignature="AMtx7mg/YCPiOLNoE9yHGbvWY9hdkH74UA=="/>
    </ext>
  </extLst>
</comments>
</file>

<file path=xl/sharedStrings.xml><?xml version="1.0" encoding="utf-8"?>
<sst xmlns="http://schemas.openxmlformats.org/spreadsheetml/2006/main" count="392" uniqueCount="312">
  <si>
    <t>Course Name:</t>
  </si>
  <si>
    <t>Course Code:</t>
  </si>
  <si>
    <t xml:space="preserve">SO                                          </t>
  </si>
  <si>
    <t>Mapped PIs</t>
  </si>
  <si>
    <t>SO2</t>
  </si>
  <si>
    <t xml:space="preserve">PI21 Apply engineering design to produce a solution that meets specified needs
PI22 Design Solutions that consider public health, safety, and welfare, as well as global, cultural, social, environmental, and economic factors
PI23 Identify and Justifymultiple realistic constraints relevant to the project design
PI 24 Identify and Apply appropriate engineering standards and codes relevant to the project design
</t>
  </si>
  <si>
    <t>SO4</t>
  </si>
  <si>
    <t>PI41 Recognize ethical and professional responsibilities in engineering situations
PI42 Make informed judgments considering the impact of engineering solutions in global, societal, economic, and environmental contexts</t>
  </si>
  <si>
    <t>3.1 Recognize the engineering profession and the importance of ethical and legal factors in professional duties</t>
  </si>
  <si>
    <t>Assessment type</t>
  </si>
  <si>
    <t xml:space="preserve">Project </t>
  </si>
  <si>
    <t>Name</t>
  </si>
  <si>
    <t>Assessment item</t>
  </si>
  <si>
    <t>Above </t>
  </si>
  <si>
    <t>Meet </t>
  </si>
  <si>
    <t>Developing </t>
  </si>
  <si>
    <t>Below </t>
  </si>
  <si>
    <t>Checklist for Assessment</t>
  </si>
  <si>
    <t>Comment</t>
  </si>
  <si>
    <t>Expectation (3)</t>
  </si>
  <si>
    <t>Expectation (2)</t>
  </si>
  <si>
    <t>Expectation (1)</t>
  </si>
  <si>
    <t>Expectation (0)</t>
  </si>
  <si>
    <t>3. Alternatives &amp; Creativity</t>
  </si>
  <si>
    <t>5. Analysis &amp; System Integration</t>
  </si>
  <si>
    <t>6. Evaluation Against Requirements</t>
  </si>
  <si>
    <t>7. Risks &amp; Trade-offs</t>
  </si>
  <si>
    <t>8. Iteration &amp; Improvement</t>
  </si>
  <si>
    <t>score (0-3)</t>
  </si>
  <si>
    <t>SO4 Rubric</t>
  </si>
  <si>
    <t>PI41. Recognize ethical and professional responsibilities in engineering situations</t>
  </si>
  <si>
    <t>Identifies the ethical responsibilities and references at least one applicable professional code or standard (e.g., IEEE, NSPE, ISO).</t>
  </si>
  <si>
    <t>Describes relevant ethical responsibilities and refers generally to professional obligations or standards (without a specific citation).</t>
  </si>
  <si>
    <t>Acknowledges that an ethical issue exists but provides vague or incomplete responsibilities and no clear connection to professional standards.</t>
  </si>
  <si>
    <t>Fails to identify the ethical issue or misinterprets it.</t>
  </si>
  <si>
    <t>• Does the student clearly identify the ethical issue(s) in the scenario?</t>
  </si>
  <si>
    <t>Clearly identifies safety responsibilities: emergency stops, fail-safe procedures.
Addresses misuse and cybersecurity: limiting physical access, considering unauthorized access.
Explicitly refers to professional codes/standards: IEEE and NSPE.
Mentions transparency and honesty: explaining decisions, assessments, and system limitations.
Connects ethics back to the technical solution: how the drive-by-wire method maintains safety.</t>
  </si>
  <si>
    <t>Explicitly addresses safety responsibilities: emergency stops, fail-safe procedures.
Considers misuse and cybersecurity: restricted physical access, concern about unauthorized access to control systems.
Refers directly to professional codes and standards (IEEE, NSPE) and links them to:
transparency in conclusions and assessments,
being open about limitations,
integrating safety in the drive-by-wire method.</t>
  </si>
  <si>
    <t xml:space="preserve">Explicitly cites IEEE and NSPE codes and standards and links them to behavior: academic integrity, professionalism.
Emphasizes truth and transparency in findings and evaluations.
Acknowledges need to be honest about limits and how safety is incorporated.
Describes fail-safe procedures, emergency stop, and cybersecurity issues (unauthorized access) with restricted physical access to reduce misuse.
</t>
  </si>
  <si>
    <t>Clearly frames DBW as safety-critical, noting failures, unintended behavior, and liability as major ethical concerns.
Explicitly cites IEEE and NSPE standards and connects them to integrity in testing and reporting.
Puts safety above performance (emergency stop circuits, safe-state defaults, robust signal handling).
Acknowledges hacking / misuse risks and mitigates via limited physical access and documentation.
Adopts an explicit ethical stance focused on public protection and professional accountability → exemplary answer.</t>
  </si>
  <si>
    <t>•Do they recognize their professional duties (e.g., safety, honesty, confidentiality, conflict of interest)?</t>
  </si>
  <si>
    <t>•Do they reference or appropriately relate to a professional code/standard (IEEE, NSPE, ISO, etc.)?</t>
  </si>
  <si>
    <t>PI42 Make informed judgments considering the impact of engineering solutions in global, societal, economic, and environmental contexts</t>
  </si>
  <si>
    <r>
      <rPr>
        <b/>
        <sz val="11"/>
        <color rgb="FF000000"/>
        <rFont val="Cambria"/>
        <family val="1"/>
      </rPr>
      <t>Demonstrates strong judgment and</t>
    </r>
    <r>
      <rPr>
        <sz val="11"/>
        <color rgb="FF000000"/>
        <rFont val="Cambria"/>
        <family val="1"/>
      </rPr>
      <t xml:space="preserve"> addresses </t>
    </r>
    <r>
      <rPr>
        <b/>
        <sz val="11"/>
        <color rgb="FF000000"/>
        <rFont val="Cambria"/>
        <family val="1"/>
      </rPr>
      <t>all four</t>
    </r>
    <r>
      <rPr>
        <sz val="11"/>
        <color rgb="FF000000"/>
        <rFont val="Cambria"/>
        <family val="1"/>
      </rPr>
      <t xml:space="preserve"> factors (global, societal, economic, environmental) clearly and explicitly when considering the impact of engineering solutions.</t>
    </r>
  </si>
  <si>
    <r>
      <rPr>
        <sz val="11"/>
        <color rgb="FF000000"/>
        <rFont val="Cambria"/>
        <family val="1"/>
      </rPr>
      <t xml:space="preserve">Capable of making informed judgments in considering the impact of engineering solutions, but </t>
    </r>
    <r>
      <rPr>
        <b/>
        <sz val="11"/>
        <color rgb="FF000000"/>
        <rFont val="Cambria"/>
        <family val="1"/>
      </rPr>
      <t>misses at least one applicable factor</t>
    </r>
    <r>
      <rPr>
        <sz val="11"/>
        <color rgb="FF000000"/>
        <rFont val="Cambria"/>
        <family val="1"/>
      </rPr>
      <t xml:space="preserve"> among global, societal, economic, and environmental contexts.</t>
    </r>
  </si>
  <si>
    <r>
      <rPr>
        <sz val="11"/>
        <color rgb="FF000000"/>
        <rFont val="Cambria"/>
        <family val="1"/>
      </rPr>
      <t xml:space="preserve">Demonstrates a </t>
    </r>
    <r>
      <rPr>
        <b/>
        <sz val="11"/>
        <color rgb="FF000000"/>
        <rFont val="Cambria"/>
        <family val="1"/>
      </rPr>
      <t>basic</t>
    </r>
    <r>
      <rPr>
        <sz val="11"/>
        <color rgb="FF000000"/>
        <rFont val="Cambria"/>
        <family val="1"/>
      </rPr>
      <t xml:space="preserve"> ability to make informed judgments in considering the impact of engineering solutions, but </t>
    </r>
    <r>
      <rPr>
        <b/>
        <sz val="11"/>
        <color rgb="FF000000"/>
        <rFont val="Cambria"/>
        <family val="1"/>
      </rPr>
      <t>misses two or more factors</t>
    </r>
    <r>
      <rPr>
        <sz val="11"/>
        <color rgb="FF000000"/>
        <rFont val="Cambria"/>
        <family val="1"/>
      </rPr>
      <t xml:space="preserve"> in the global, societal, economic, and environmental contexts.</t>
    </r>
  </si>
  <si>
    <r>
      <rPr>
        <b/>
        <sz val="11"/>
        <color rgb="FF000000"/>
        <rFont val="Cambria"/>
        <family val="1"/>
      </rPr>
      <t>Lacks the ability</t>
    </r>
    <r>
      <rPr>
        <sz val="11"/>
        <color rgb="FF000000"/>
        <rFont val="Cambria"/>
        <family val="1"/>
      </rPr>
      <t xml:space="preserve"> to make informed judgments in considering the impact of engineering solutions, </t>
    </r>
    <r>
      <rPr>
        <b/>
        <sz val="11"/>
        <color rgb="FF000000"/>
        <rFont val="Cambria"/>
        <family val="1"/>
      </rPr>
      <t>missing all four factors</t>
    </r>
    <r>
      <rPr>
        <sz val="11"/>
        <color rgb="FF000000"/>
        <rFont val="Cambria"/>
        <family val="1"/>
      </rPr>
      <t xml:space="preserve"> (global, societal, economic, and environmental contexts).</t>
    </r>
  </si>
  <si>
    <t>•Does the student state a clear ethical decision or recommended action?</t>
  </si>
  <si>
    <t>Positive points:
Recognizes need for thorough testing to prevent harm (safety / societal impact).
Acknowledges software failure risks and the duty to be honest about limits → good ethical awareness.
Mentions societal and environmental benefits (safer, more efficient, environmentally friendly EV system).
Missing / weaker parts:
Little to no explicit discussion of economic impact or global/cultural contexts.
The impacts are stated in a general way, without concrete examples or trade-offs across the four dimensions.</t>
  </si>
  <si>
    <t>Positive aspects:
Strong ethical framing: obligation to make the system as safe as possible before deployment, including thorough testing in controlled situations.
Identifies risk of software defects replacing mechanical links and the potential for harm.
Emphasizes duty to be truthful and open about capabilities and constraints.
Addresses societal and environmental impact: safer, more energy-efficient, climate-friendly system.
What’s missing for the very top level:
No explicit mention of economic considerations (cost, affordability, scalability, etc.).
Global / cultural context is not clearly discussed (different regulations, user populations, regions, etc.).</t>
  </si>
  <si>
    <t>Strong ethical framing: “primary goal is not to harm,” recognition that replacing mechanical links with software introduces risk of software bugs.
Emphasizes extensive testing in controlled environments before real use → good safety judgment.
Commits to honesty and transparency in reporting capabilities and limitations, with a concrete example (documenting unsupported failure modes and recommending not to operate).
Notes positive societal impact (improved safety), environmental impact (climate-friendly, energy-efficient).
However:
Does not explicitly discuss economic aspects (cost, affordability, scalability) in this answer.
Global/cultural context is not clearly articulated (regulations in different regions, different users, etc.).
So he clearly makes informed ethical judgments and covers societal and environmental aspects well, but does not fully span all four contexts in this specific response</t>
  </si>
  <si>
    <t>Shows safety judgment: choosing to keep mechanical steering/braking as fallback, explaining the trade-off between “advanced” full electronic control and risk in a student prototype.
Explicitly balances cost, safety, and mission effectiveness in that decision.
Discusses societal benefits: better safety, more efficient energy use.
Mentions environmental impact: less impact due to energy-efficient control.
Addresses economic impact: lower lifetime service costs by reducing mechanical components.
References standards, rules, regulations, and the risk of unsafe deployments without them → clear ethical and professional judgment.
Concludes with global framing: cleaner, more safety-conscious, accessible transportation aligned with global engineering needs.
He explicitly touches all four contexts (global, societal, economic, environmental) plus ethics and trade-offs</t>
  </si>
  <si>
    <t>• Is the final judgment consistent with professional integrity and protection of the public?</t>
  </si>
  <si>
    <t>•  Does the student address each GEES factor (global, economic, environmental, societal), or clearly justify why any factor is not applicable?</t>
  </si>
  <si>
    <t>Evluation Type</t>
  </si>
  <si>
    <t>IE</t>
  </si>
  <si>
    <t>No</t>
  </si>
  <si>
    <t>ID</t>
  </si>
  <si>
    <t xml:space="preserve">Average </t>
  </si>
  <si>
    <t>Achievement</t>
  </si>
  <si>
    <t>Individual evaluation</t>
  </si>
  <si>
    <t>PI Results</t>
  </si>
  <si>
    <t>SO Result</t>
  </si>
  <si>
    <t>BE</t>
  </si>
  <si>
    <t>DE</t>
  </si>
  <si>
    <t>ME</t>
  </si>
  <si>
    <t>AE</t>
  </si>
  <si>
    <t>Comment on the  PIs results if any is below 2 or if the SO is below 70%</t>
  </si>
  <si>
    <t>All PIs and the SO results are above the threshold</t>
  </si>
  <si>
    <t>PI41</t>
  </si>
  <si>
    <t>PI42</t>
  </si>
  <si>
    <t xml:space="preserve">Student Work Description </t>
  </si>
  <si>
    <t>SO - PI</t>
  </si>
  <si>
    <t xml:space="preserve">Assessment Item </t>
  </si>
  <si>
    <t xml:space="preserve">Questions Used </t>
  </si>
  <si>
    <t xml:space="preserve">Justification of assessment item selection </t>
  </si>
  <si>
    <t>Key Performance Indicators and Rubrics for Student Outcome:</t>
  </si>
  <si>
    <t>4. Recognize professional responsibilities and make informed judgments in computing practice based on legal and ethical principles.</t>
  </si>
  <si>
    <t>KPI Nbr.</t>
  </si>
  <si>
    <t>KPI Definition</t>
  </si>
  <si>
    <t>Level 0:  
Below Expectation (BE)</t>
  </si>
  <si>
    <t>Level 1: 
Developing Expectation (DE)</t>
  </si>
  <si>
    <t>Level 2: 
Meet Expectation (ME)</t>
  </si>
  <si>
    <t>Level 3: 
Above Expectation (AE)</t>
  </si>
  <si>
    <t>Demonstrate ability to recognize impact and determine best practices.</t>
  </si>
  <si>
    <t>Little recognition of the impact of computing practices on individuals, organizations and society.</t>
  </si>
  <si>
    <t>Some recognition of the effects of computing practices on individuals, organizations and society, but little demonstrated ability to determine best practices.</t>
  </si>
  <si>
    <t>Recognizes some effects of computing practices onindividuals, organizations
and society, and demonstrates acceptable ability to determine best practices</t>
  </si>
  <si>
    <t>Recognizes the effects of computing practices on individuals, organization, and society and demonstrates good ability to determine good practices</t>
  </si>
  <si>
    <t>Demonstrates an ability to recognize ethical dilemmas and apply professional ethical practices to make appropriate decisions</t>
  </si>
  <si>
    <t>Needs assistance to identify ethical dilemmas and to apply the code of
ethics from professional societies and/or ethical theories</t>
  </si>
  <si>
    <t>Demonstrates some ability to identify ethical dilemmas and is aware of, but cannot necessarily apply, a professional code of ethics and/or ethical theory</t>
  </si>
  <si>
    <t>Demonstrates acceptable ability to identify ethical  dilemmas and recognizes
basic elements of a
professional code of ethics and/or ethical theory</t>
  </si>
  <si>
    <t>Can apply elements from a professional code of ethics
and/or ethical theory to
recognize ethical dilemmas
and analyze them.</t>
  </si>
  <si>
    <t>5. Function effectively as a member or leader of a team engaged in activities appropriate to the program’s discipline.</t>
  </si>
  <si>
    <t>Actively contributes to the classroom learning environment with interest, passion , and curiosity</t>
  </si>
  <si>
    <t>Appears uninterested and does not demonstrate or share curiosity and passion. Is defensive about feedback and suggestions.</t>
  </si>
  <si>
    <t xml:space="preserve">Show some interest. Rarely to ask questions and seeks information related to instruction and classroom practice. </t>
  </si>
  <si>
    <t>Demonstrates interest, passion, and curiosity. Asks questions and seeks information related to instruction and classroom practice. Willingly incorporates suggestions and responds appropriately to feedback.</t>
  </si>
  <si>
    <t>Openly contributes to the classroom learning environment as a result of their interest, passion, and curiosity.</t>
  </si>
  <si>
    <t>Effeciently collects information and propose ideas to the team relevant to the group purpose</t>
  </si>
  <si>
    <t>Does not collect any relevant information; no useful suggestions to address team's needs.</t>
  </si>
  <si>
    <t>Participates in collecting general information related to the project; Do not share useful ideas to meet the team's needs.</t>
  </si>
  <si>
    <t>Collects basic, useful information related to the project; occasionally offers useful ideas to meet the team's needs.</t>
  </si>
  <si>
    <t>Collects and presents to the team a great deal of relevant information; offers welldeveloped and clearly expressed ideas directly related to the group's purpose</t>
  </si>
  <si>
    <t xml:space="preserve">Participate actively all team groups and effectively conduct all assigned tasks </t>
  </si>
  <si>
    <t>Does not perform assigned tasks; often misses meetings and, when present, does not have anything constructive to say; relies on others to do the work.</t>
  </si>
  <si>
    <t>Performs some assigned tasks; miss some meetings,contributes rarely to the team work.</t>
  </si>
  <si>
    <t>Performs all assigned tasks; attends meetings regularly and usually participates effectively; generally reliable.</t>
  </si>
  <si>
    <t>Performs all tasks very effectively; attends all meetings and participates enthusiastically; very reliable.</t>
  </si>
  <si>
    <t>Able as leader to to accept other team members'  ideas and contribute to their development and give them full credit</t>
  </si>
  <si>
    <t>Often argues with team mates; doesn't let anyone else talk; occasional personal attacks and "put-downs"; wants to have things done his way and does not listen to alternate approaches.</t>
  </si>
  <si>
    <t>Sometimes listens to others' points of view but do not make effort to understands other ideas.</t>
  </si>
  <si>
    <t>Generally listens to others' points of view; always uses appropriate and respectful language; tries to make a definite effort to understand others' ideas.</t>
  </si>
  <si>
    <t>Always listens to others and their ideas; helps them develop their ideas while giving them full credit; always helps the team reach a fair decision.</t>
  </si>
  <si>
    <t>6. Support the delivery, use, and management of information systems within an information systems environment.</t>
  </si>
  <si>
    <t>Recall and understand the fundamental of  business  concepts (i.e. marketing, accounting, human resource, etc.), its environment, and  requirements</t>
  </si>
  <si>
    <t>Unable to understand business processes and requirements</t>
  </si>
  <si>
    <t>Recall some business process concepts without being able to apply them</t>
  </si>
  <si>
    <t xml:space="preserve">Recall and understands some business concepts and properly apply them </t>
  </si>
  <si>
    <t>Understands and able to properly analyse a business process in a given context and apply them</t>
  </si>
  <si>
    <t>Correctly apply the the understanding of business processes and environment (i.e. marketing, finance, etc.), for  developing relevant information system solutions to solve business problems</t>
  </si>
  <si>
    <t xml:space="preserve">Unable to apply and develop any system based on the fundamental related concept in business. </t>
  </si>
  <si>
    <t xml:space="preserve">Able to partially apply and develop any system based on the fundamental related concept in business. </t>
  </si>
  <si>
    <t xml:space="preserve">Able to show satisfactory application of business concept and develop any system based on the fundamental related concept in business. </t>
  </si>
  <si>
    <t xml:space="preserve">able to successfully apply business concept and develop any system based on the fundamental related concept in business. </t>
  </si>
  <si>
    <t xml:space="preserve">Evaluate and relates the differences in business functions (i.e. marketing, finance, accounting, etc.) and related entities (people and processes) within the business environment, for getting user requirement and customization of IS solutions (i.e. ERP) </t>
  </si>
  <si>
    <t xml:space="preserve">Unable to identify and differentiate users and their roles in various different functions in the business to create requirements, and perform any customization to IS solution.  </t>
  </si>
  <si>
    <t>Can identify and differentiate some parts of  the user requirements but cannot customize the IS solution properly</t>
  </si>
  <si>
    <t>Can identify and differentiate most of the business user requirements and functions, and customize the IS solution satisfactorily</t>
  </si>
  <si>
    <t xml:space="preserve">Can successfully identify business user requirements,  customize and deliver successfully the IS solution  </t>
  </si>
  <si>
    <t>Identify and evaluate IS technologies and business solutions (DBMS, ERP, etc) by applying  knowledge of the business environment and its functional areas (management, marketing, etc.)</t>
  </si>
  <si>
    <t>Unable to identify and evaluate any IS solution related to any business concepts and environment</t>
  </si>
  <si>
    <t>Able to partially identify and evaluate IS solution related to some concepts in the business environment</t>
  </si>
  <si>
    <t>Able to identify and evaluate satisfactorily IS solution related to some concepts in the business environment</t>
  </si>
  <si>
    <t>Able to identify and evaluate successfully IS solution by effectively relating to all concepts in the business environment</t>
  </si>
  <si>
    <t>7. Develop and evaluate E-commerce systems on different platforms using a variety of technologies.</t>
  </si>
  <si>
    <t>Properly design and develop E-commerce solutions</t>
  </si>
  <si>
    <t xml:space="preserve">Cannot recognize E-commerce solution development process </t>
  </si>
  <si>
    <t xml:space="preserve">Partially recall the phases of the development of E-commerce solutions </t>
  </si>
  <si>
    <t>Fully describe the process for the development of E-commerce solution without being  able to apply it properly</t>
  </si>
  <si>
    <t xml:space="preserve">Successfully design and develop E-commerce Solution </t>
  </si>
  <si>
    <t>Accurately compare and evaluate E-Commerce systems</t>
  </si>
  <si>
    <t>Do not recall the criteria for evaluating and comparing E-commerce solutions</t>
  </si>
  <si>
    <t>Recognize some of the criteria for the evaluation of E-commerce solutions</t>
  </si>
  <si>
    <t xml:space="preserve">Recall all the criteria for the evaluation and the comparison of E-commerce systems </t>
  </si>
  <si>
    <t>Successfully compare and evaluate E-commerce systems</t>
  </si>
  <si>
    <t>Successfully implement E-commerce solutions on different platforms</t>
  </si>
  <si>
    <t xml:space="preserve">Recognize the need for using E-commerce development platforms </t>
  </si>
  <si>
    <t>Cite different E-commerce development platforms</t>
  </si>
  <si>
    <t xml:space="preserve">Partially use at least  one E-commerce development plateform </t>
  </si>
  <si>
    <t>Conveniently use a different platforms for developing E-commerce solutions</t>
  </si>
  <si>
    <t>Successfully use different technologies to develop E-commerce solutions</t>
  </si>
  <si>
    <t>Unable to enumerate some e-commerce development techologies</t>
  </si>
  <si>
    <t xml:space="preserve">Cite and partially define the usefullness of some E-commerce development technologies </t>
  </si>
  <si>
    <t>Partially use some E-commerce development technologies to develop relevent solutions</t>
  </si>
  <si>
    <t>Fully understand and use different E-commerce development technologies to deliver E-commerce solutions</t>
  </si>
  <si>
    <t>Rubrics for Student Outcome 8</t>
  </si>
  <si>
    <t>CYS-SO Apply security principles and practices to the environment , hardware, social and human aspects of a system</t>
  </si>
  <si>
    <t>Criterion</t>
  </si>
  <si>
    <t>Assessment of Criterion</t>
  </si>
  <si>
    <t>Above Expectation</t>
  </si>
  <si>
    <t>Meeting expectation</t>
  </si>
  <si>
    <t>Developing Expectation</t>
  </si>
  <si>
    <t>Below Expectation</t>
  </si>
  <si>
    <t>Describe security as a continuous process of tradeoffs, balancing between protection mechanisms and availability</t>
  </si>
  <si>
    <t>Students are able to Illustrate security as a continuous process of tradeoffs, balancing between protection mechanisms and availability.</t>
  </si>
  <si>
    <t>Students are able to describe security as a continuous process of tradeoffs, balancing between protection mechanisms and availability. </t>
  </si>
  <si>
    <t>Students are able to recognize the importance of security as a continuous process of tradeoffs.</t>
  </si>
  <si>
    <t>Students are not able to recognize the importance of security as a continuous process of tradeoffs.</t>
  </si>
  <si>
    <t> Analyze the tradeoffs of balancing key security properties, including Confidentiality, Integrity, and Availability (CIA).</t>
  </si>
  <si>
    <r>
      <rPr>
        <sz val="11"/>
        <color theme="1"/>
        <rFont val="Calibri"/>
        <family val="2"/>
      </rPr>
      <t>Students are able to e</t>
    </r>
    <r>
      <rPr>
        <sz val="11"/>
        <color rgb="FF000000"/>
        <rFont val="Calibri"/>
        <family val="2"/>
      </rPr>
      <t>valuate the tradeoffs of balancing key security properties, including Confidentiality, Integrity, and Availability (CIA).</t>
    </r>
  </si>
  <si>
    <r>
      <rPr>
        <sz val="11"/>
        <color theme="1"/>
        <rFont val="Calibri"/>
        <family val="2"/>
      </rPr>
      <t>Students are able to a</t>
    </r>
    <r>
      <rPr>
        <sz val="11"/>
        <color rgb="FF000000"/>
        <rFont val="Calibri"/>
        <family val="2"/>
      </rPr>
      <t>nalyze the tradeoffs of balancing key security properties, including Confidentiality, Integrity, and Availability (CIA)</t>
    </r>
  </si>
  <si>
    <t>Students are able to investigate the tradeoffs of balancing key security properties, including Confidentiality, Integrity, and Availability (CIA)</t>
  </si>
  <si>
    <t>Students are not able to investigate the tradeoffs of balancing key security properties, including Confidentiality, Integrity, and Availability (CIA)</t>
  </si>
  <si>
    <t>Illustrate through examples the concepts of security and privacy risk, threats, vulnerabilities, attack vectors, and exploits, noting there is no such thing as perfect security. </t>
  </si>
  <si>
    <t>Students are able to compare the concepts of risk, threats, vulnerabilities, attack vectors, and exploits to a given scenario.</t>
  </si>
  <si>
    <t>Students are able to illustrate through examples the concepts of risk, threats, vulnerabilities, attack vectors, and exploits, noting there is no such thing as perfect security. </t>
  </si>
  <si>
    <t>Students are able to differentiate the concepts of risk, threats, vulnerabilities, attack vectors, and exploits. </t>
  </si>
  <si>
    <t>Students are notable to differentiate the concepts of risk, threats, vulnerabilities, attack vectors, and exploits. </t>
  </si>
  <si>
    <t>Apply security principles and practices for secure software development in a dynamic environment</t>
  </si>
  <si>
    <r>
      <rPr>
        <sz val="11"/>
        <color theme="1"/>
        <rFont val="Calibri"/>
        <family val="2"/>
      </rPr>
      <t>Students are able to e</t>
    </r>
    <r>
      <rPr>
        <sz val="11"/>
        <color rgb="FF000000"/>
        <rFont val="Calibri"/>
        <family val="2"/>
      </rPr>
      <t>xamine security principles and practices for secure software development in a dynamic environment. </t>
    </r>
  </si>
  <si>
    <r>
      <rPr>
        <sz val="11"/>
        <color theme="1"/>
        <rFont val="Calibri"/>
        <family val="2"/>
      </rPr>
      <t xml:space="preserve">Students are able to apply security principles and practices </t>
    </r>
    <r>
      <rPr>
        <sz val="11"/>
        <color rgb="FF000000"/>
        <rFont val="Calibri"/>
        <family val="2"/>
      </rPr>
      <t xml:space="preserve">for secure software development </t>
    </r>
    <r>
      <rPr>
        <sz val="11"/>
        <color theme="1"/>
        <rFont val="Calibri"/>
        <family val="2"/>
      </rPr>
      <t>in a dynamic environment. </t>
    </r>
  </si>
  <si>
    <r>
      <rPr>
        <sz val="11"/>
        <color theme="1"/>
        <rFont val="Calibri"/>
        <family val="2"/>
      </rPr>
      <t xml:space="preserve">Students are able to summarize security principles and practices </t>
    </r>
    <r>
      <rPr>
        <sz val="11"/>
        <color rgb="FF000000"/>
        <rFont val="Calibri"/>
        <family val="2"/>
      </rPr>
      <t>for secure software development</t>
    </r>
    <r>
      <rPr>
        <sz val="11"/>
        <color theme="1"/>
        <rFont val="Calibri"/>
        <family val="2"/>
      </rPr>
      <t>. </t>
    </r>
  </si>
  <si>
    <r>
      <rPr>
        <sz val="11"/>
        <color theme="1"/>
        <rFont val="Calibri"/>
        <family val="2"/>
      </rPr>
      <t xml:space="preserve">Students are not able to summarize security principles and practices </t>
    </r>
    <r>
      <rPr>
        <sz val="11"/>
        <color rgb="FF000000"/>
        <rFont val="Calibri"/>
        <family val="2"/>
      </rPr>
      <t>for secure software development</t>
    </r>
    <r>
      <rPr>
        <sz val="11"/>
        <color theme="1"/>
        <rFont val="Calibri"/>
        <family val="2"/>
      </rPr>
      <t>. </t>
    </r>
  </si>
  <si>
    <t>SO1</t>
  </si>
  <si>
    <t>Ability to identify, formulate, and solve complex engineering problems by applying principles of engineering, science, and mathematics.</t>
  </si>
  <si>
    <t>An ability to apply engineering design to produce solutions that meet specified needs with consideration of public health, safety, and welfare, as well as global, cultural, social, environmental, and economic factors.</t>
  </si>
  <si>
    <t>SO3</t>
  </si>
  <si>
    <t>An ability to communicate effectively with a range of audiences.</t>
  </si>
  <si>
    <t>An ability to recognize ethical and professional responsibilities in engineering situations and make informed judgments, which must consider the impact of engineering solutions in global, economic, environmental, and societal contexts.</t>
  </si>
  <si>
    <t>SO5</t>
  </si>
  <si>
    <t>An ability to function effectively on a team whose members together provide leadership, create a collaborative and inclusive environment, establish goals, plan tasks, and meet objectives.</t>
  </si>
  <si>
    <t>SO6</t>
  </si>
  <si>
    <t>An ability to develop and conduct appropriate experimentation, analyze and interpret data, and use engineering judgment to draw conclusions</t>
  </si>
  <si>
    <t>SO7</t>
  </si>
  <si>
    <t>An ability to acquire and apply new knowledge as needed, using appropriate learning strategies.</t>
  </si>
  <si>
    <t>Student's Satisfaction</t>
  </si>
  <si>
    <t>Below Expextations</t>
  </si>
  <si>
    <t>Meets Expectations</t>
  </si>
  <si>
    <t>Accomplished Expectations</t>
  </si>
  <si>
    <t>Quiz</t>
  </si>
  <si>
    <t xml:space="preserve">Major </t>
  </si>
  <si>
    <t>Final</t>
  </si>
  <si>
    <t>Assignment</t>
  </si>
  <si>
    <t>Section's Satisfaction</t>
  </si>
  <si>
    <t>Less than 60% of students are  achieving the Satisfactory level (ME) or above</t>
  </si>
  <si>
    <t>60% to 69% of students are  achieving the Satisfactory level (ME) or above</t>
  </si>
  <si>
    <t>70% to 79% of students are  achieving the Satisfactory level (ME) or above</t>
  </si>
  <si>
    <t>90% or more  of students are  achieving the Satisfactory level (ME) or above</t>
  </si>
  <si>
    <t>Mapped CLO</t>
  </si>
  <si>
    <t>Design factors</t>
  </si>
  <si>
    <t>Please provide the information below to support the preparation of the Student Outcome assessment report.</t>
  </si>
  <si>
    <t>Justification of the assessment selection (mention how it is related the PIs of the SO2)</t>
  </si>
  <si>
    <t>Student Name</t>
  </si>
  <si>
    <t>SN</t>
  </si>
  <si>
    <t>Class PI %</t>
  </si>
  <si>
    <t>*Add score 0-3 for each item</t>
  </si>
  <si>
    <t>Meet Expectation (2)</t>
  </si>
  <si>
    <t>Below Expectation (0)</t>
  </si>
  <si>
    <t>Developing Expectation (1)</t>
  </si>
  <si>
    <t>Above Expectation (3)</t>
  </si>
  <si>
    <t>Identifies relevant constraints and explains their impact on key design decisions.</t>
  </si>
  <si>
    <t>Identifies some constraints, but justification or connection to design decisions is limited.</t>
  </si>
  <si>
    <t>Constraints are missing, incorrect, or not linked to design decisions.</t>
  </si>
  <si>
    <t>Identifies and justifies multiple relevant constraints and clearly explains their impact on design decisions and trade-offs.</t>
  </si>
  <si>
    <t>Identifies relevant standards/codes, applies them to the design, and clearly explains how they guide design decisions.</t>
  </si>
  <si>
    <t>Identifies relevant standards/codes and applies them to the design.</t>
  </si>
  <si>
    <t>Relevant standards/codes are missing, incorrect, or not applied to the design.</t>
  </si>
  <si>
    <t>Identifies some standards/codes, but their application to the design is limited.</t>
  </si>
  <si>
    <r>
      <rPr>
        <b/>
        <sz val="11"/>
        <rFont val="Calibri"/>
        <family val="2"/>
      </rPr>
      <t>Team assessment (Report):</t>
    </r>
    <r>
      <rPr>
        <sz val="11"/>
        <rFont val="Calibri"/>
        <family val="2"/>
      </rPr>
      <t xml:space="preserve">
• Are relevant constraints identified and, where appropriate, quantified?
• Do the constraints influence design decisions or trade-offs?
</t>
    </r>
    <r>
      <rPr>
        <b/>
        <sz val="11"/>
        <rFont val="Calibri"/>
        <family val="2"/>
      </rPr>
      <t>Individual assessment:</t>
    </r>
    <r>
      <rPr>
        <sz val="11"/>
        <rFont val="Calibri"/>
        <family val="2"/>
      </rPr>
      <t xml:space="preserve">
• Identify one important constraint and explain how it affected a specific design decision.</t>
    </r>
  </si>
  <si>
    <r>
      <rPr>
        <b/>
        <sz val="11"/>
        <rFont val="Calibri"/>
        <family val="2"/>
      </rPr>
      <t>Team assessment (Report):</t>
    </r>
    <r>
      <rPr>
        <sz val="11"/>
        <rFont val="Calibri"/>
        <family val="2"/>
      </rPr>
      <t xml:space="preserve">
•Are relevant standards/codes identified?
•Are they applied to guide design decisions or parameters?
</t>
    </r>
    <r>
      <rPr>
        <b/>
        <sz val="11"/>
        <rFont val="Calibri"/>
        <family val="2"/>
      </rPr>
      <t>Individual assessment:</t>
    </r>
    <r>
      <rPr>
        <sz val="11"/>
        <rFont val="Calibri"/>
        <family val="2"/>
      </rPr>
      <t xml:space="preserve">
• Identify one standard/code used and explain how it affected a specific design decision or parameter.</t>
    </r>
  </si>
  <si>
    <t>The design considers relevant factors such as public health, safety, welfare, global, cultural, social, environmental, and economic factors, and clearly explains how they influence design decisions.</t>
  </si>
  <si>
    <t>The design considers relevant factors such as public health, safety, welfare, global, cultural, social, environmental, and economic factors.</t>
  </si>
  <si>
    <t>Considers some relevant factors, but their connection to the design is limited or unclear.</t>
  </si>
  <si>
    <t>Relevant factors are not adequately considered in the design.</t>
  </si>
  <si>
    <r>
      <rPr>
        <b/>
        <sz val="11"/>
        <rFont val="Calibri"/>
        <family val="2"/>
      </rPr>
      <t>Team assessment (Report):</t>
    </r>
    <r>
      <rPr>
        <sz val="11"/>
        <rFont val="Calibri"/>
        <family val="2"/>
      </rPr>
      <t xml:space="preserve">
• Does the design consider relevant factors such as public health, safety, welfare, global, cultural, social, environmental, and economic factors?
• Does the report explain how the relevant factors influence design decisions?
</t>
    </r>
    <r>
      <rPr>
        <b/>
        <sz val="11"/>
        <rFont val="Calibri"/>
        <family val="2"/>
      </rPr>
      <t>Individual Assessment:</t>
    </r>
    <r>
      <rPr>
        <sz val="11"/>
        <rFont val="Calibri"/>
        <family val="2"/>
      </rPr>
      <t xml:space="preserve">
• Identify one relevant factor considered in the design and explain how it influenced a design decision.</t>
    </r>
  </si>
  <si>
    <t>PI22 Design Solutions that consider public health, safety, and welfare, as well as global, cultural, social, environmental, and economic factors</t>
  </si>
  <si>
    <t>PI23 Identifies and justifies multiple realistic constraints relevant to the project design</t>
  </si>
  <si>
    <t>PI 24 Identifies and applies appropriate engineering standards and codes relevant to the project design</t>
  </si>
  <si>
    <t>1. Problem, Needs &amp; Requirements</t>
  </si>
  <si>
    <t>Clearly defines the problem, needs, requirements, and relevant stakeholders.</t>
  </si>
  <si>
    <t>Defines the problem, needs, requirements, and relevant stakeholders.</t>
  </si>
  <si>
    <t>Defines some elements, but they are incomplete or unclear.</t>
  </si>
  <si>
    <t>Problem, needs, requirements, or stakeholders are missing or incorrect.</t>
  </si>
  <si>
    <t>2. System / Component / Process Design</t>
  </si>
  <si>
    <t>Develops a clear and well-structured design that fully addresses the requirements.</t>
  </si>
  <si>
    <t>Develops an appropriate design that addresses the main requirements.</t>
  </si>
  <si>
    <t>Develops a partial or unclear design with limited connection to requirements.</t>
  </si>
  <si>
    <t>Design is incomplete, inappropriate, or does not address the requirements.</t>
  </si>
  <si>
    <t>Develops and compares multiple feasible alternatives and clearly justifies the selected solution.</t>
  </si>
  <si>
    <t>Develops feasible alternatives and provides justification for the selected solution.</t>
  </si>
  <si>
    <t>Considers limited alternatives with weak comparison or justification.</t>
  </si>
  <si>
    <t>No meaningful alternatives are considered.</t>
  </si>
  <si>
    <t>4. Application of Engineering, Science &amp; Mathematics</t>
  </si>
  <si>
    <t>Correctly applies relevant engineering, science, and mathematics principles and clearly uses the results to support design decisions.</t>
  </si>
  <si>
    <t>Correctly applies relevant engineering, science, and mathematics principles to support the design.</t>
  </si>
  <si>
    <t>Applies some relevant principles, but with gaps or limited connection to the design.</t>
  </si>
  <si>
    <t>Principles are missing, incorrect, or not meaningfully applied.</t>
  </si>
  <si>
    <t>Performs appropriate analysis and clearly demonstrates how system elements work together.</t>
  </si>
  <si>
    <t>Performs appropriate analysis and shows how the main system elements work together.</t>
  </si>
  <si>
    <t>Analysis or integration is limited or only partially demonstrated.</t>
  </si>
  <si>
    <t>Analysis is inadequate or system integration is not demonstrated.</t>
  </si>
  <si>
    <t>Evaluates the design against the requirements and clearly explains results, limitations, or unmet requirements.</t>
  </si>
  <si>
    <t>Evaluates the design against the main requirements.</t>
  </si>
  <si>
    <t>Evaluates only some requirements or provides limited evidence.</t>
  </si>
  <si>
    <t>The design is not meaningfully evaluated against the requirements.</t>
  </si>
  <si>
    <t>Identifies relevant risks and clearly explains important trade-offs and their influence on design decisions.</t>
  </si>
  <si>
    <t>Identifies relevant risks and considers important trade-offs in the design.</t>
  </si>
  <si>
    <t>Identifies some risks or trade-offs, but discussion is limited.</t>
  </si>
  <si>
    <t>Risks and trade-offs are missing or not considered.</t>
  </si>
  <si>
    <t>Uses evaluation, testing, or feedback to make and clearly justify meaningful design improvements.</t>
  </si>
  <si>
    <t>Uses evaluation, testing, or feedback to improve the design.</t>
  </si>
  <si>
    <t>Makes limited improvements with weak connection to evaluation, testing, or feedback.</t>
  </si>
  <si>
    <t>No meaningful design iteration or improvement is demonstrated.</t>
  </si>
  <si>
    <r>
      <rPr>
        <b/>
        <sz val="11"/>
        <rFont val="Cambria"/>
        <family val="1"/>
      </rPr>
      <t>Team assessment (Report):</t>
    </r>
    <r>
      <rPr>
        <sz val="11"/>
        <rFont val="Cambria"/>
        <family val="1"/>
      </rPr>
      <t xml:space="preserve">
• Are relevant engineering, science, and mathematics principles correctly applied?
• Are the results used to support the design?
Individual Assessment (Oral Discussion):
• Explain one principle used in the design and how it supported a design decision.</t>
    </r>
  </si>
  <si>
    <r>
      <rPr>
        <b/>
        <sz val="11"/>
        <rFont val="Cambria"/>
        <family val="1"/>
      </rPr>
      <t>Team assessment (Report):</t>
    </r>
    <r>
      <rPr>
        <sz val="11"/>
        <rFont val="Cambria"/>
        <family val="1"/>
      </rPr>
      <t xml:space="preserve">
• Is the problem clearly defined?
• Are the needs, requirements, and relevant stakeholders identified?
</t>
    </r>
    <r>
      <rPr>
        <b/>
        <sz val="11"/>
        <rFont val="Cambria"/>
        <family val="1"/>
      </rPr>
      <t>Individual Assessment:</t>
    </r>
    <r>
      <rPr>
        <sz val="11"/>
        <rFont val="Cambria"/>
        <family val="1"/>
      </rPr>
      <t xml:space="preserve">
• Explain the main problem and identify one key requirement that influenced the design.</t>
    </r>
  </si>
  <si>
    <r>
      <rPr>
        <b/>
        <sz val="11"/>
        <rFont val="Cambria"/>
        <family val="1"/>
      </rPr>
      <t>Team assessment (Report):</t>
    </r>
    <r>
      <rPr>
        <sz val="11"/>
        <rFont val="Cambria"/>
        <family val="1"/>
      </rPr>
      <t xml:space="preserve">
• Is an appropriate system, component, or process designed?
• Does the design address the specified requirements?
</t>
    </r>
    <r>
      <rPr>
        <b/>
        <sz val="11"/>
        <rFont val="Cambria"/>
        <family val="1"/>
      </rPr>
      <t>Individual Assessment:</t>
    </r>
    <r>
      <rPr>
        <sz val="11"/>
        <rFont val="Cambria"/>
        <family val="1"/>
      </rPr>
      <t xml:space="preserve">
• Explain one important design decision and why it was selected.</t>
    </r>
  </si>
  <si>
    <r>
      <rPr>
        <b/>
        <sz val="11"/>
        <rFont val="Cambria"/>
        <family val="1"/>
      </rPr>
      <t>Team assessment (Report):</t>
    </r>
    <r>
      <rPr>
        <sz val="11"/>
        <rFont val="Cambria"/>
        <family val="1"/>
      </rPr>
      <t xml:space="preserve">
• Is appropriate analysis performed?
• Is it clear how the main elements work together?
</t>
    </r>
    <r>
      <rPr>
        <b/>
        <sz val="11"/>
        <rFont val="Cambria"/>
        <family val="1"/>
      </rPr>
      <t>Individual Assessment:</t>
    </r>
    <r>
      <rPr>
        <sz val="11"/>
        <rFont val="Cambria"/>
        <family val="1"/>
      </rPr>
      <t xml:space="preserve">
• Explain how one part of the design interacts with or affects another part.</t>
    </r>
  </si>
  <si>
    <r>
      <rPr>
        <b/>
        <sz val="11"/>
        <rFont val="Cambria"/>
        <family val="1"/>
      </rPr>
      <t>Team assessment (Report):</t>
    </r>
    <r>
      <rPr>
        <sz val="11"/>
        <rFont val="Cambria"/>
        <family val="1"/>
      </rPr>
      <t xml:space="preserve">
• Is the design evaluated against the specified requirements?
• Are results or limitations discussed?
</t>
    </r>
    <r>
      <rPr>
        <b/>
        <sz val="11"/>
        <rFont val="Cambria"/>
        <family val="1"/>
      </rPr>
      <t>Individual Assessment:</t>
    </r>
    <r>
      <rPr>
        <sz val="11"/>
        <rFont val="Cambria"/>
        <family val="1"/>
      </rPr>
      <t xml:space="preserve">
• Identify one requirement and explain how the design was evaluated against it.</t>
    </r>
  </si>
  <si>
    <r>
      <rPr>
        <b/>
        <sz val="11"/>
        <rFont val="Cambria"/>
        <family val="1"/>
      </rPr>
      <t>Team assessment (Report):</t>
    </r>
    <r>
      <rPr>
        <sz val="11"/>
        <rFont val="Cambria"/>
        <family val="1"/>
      </rPr>
      <t xml:space="preserve">
• Is the design improved based on evaluation, testing, or feedback?
• Are the improvements justified?
</t>
    </r>
    <r>
      <rPr>
        <b/>
        <sz val="11"/>
        <rFont val="Cambria"/>
        <family val="1"/>
      </rPr>
      <t>Individual Assessment:</t>
    </r>
    <r>
      <rPr>
        <sz val="11"/>
        <rFont val="Cambria"/>
        <family val="1"/>
      </rPr>
      <t xml:space="preserve">
• Describe one change made to the design and explain why it was made.</t>
    </r>
  </si>
  <si>
    <r>
      <rPr>
        <b/>
        <sz val="11"/>
        <rFont val="Cambria"/>
        <family val="1"/>
      </rPr>
      <t>Team assessment (Report):</t>
    </r>
    <r>
      <rPr>
        <sz val="11"/>
        <rFont val="Cambria"/>
        <family val="1"/>
      </rPr>
      <t xml:space="preserve">
• Are feasible alternatives considered and compared?
• Is the selected solution justified?
</t>
    </r>
    <r>
      <rPr>
        <b/>
        <sz val="11"/>
        <rFont val="Cambria"/>
        <family val="1"/>
      </rPr>
      <t>Individual Assessment:</t>
    </r>
    <r>
      <rPr>
        <sz val="11"/>
        <rFont val="Cambria"/>
        <family val="1"/>
      </rPr>
      <t xml:space="preserve">
• Identify one alternative considered and explain why it was not selected.</t>
    </r>
  </si>
  <si>
    <r>
      <rPr>
        <b/>
        <sz val="11"/>
        <rFont val="Cambria"/>
        <family val="1"/>
      </rPr>
      <t>Team assessment (Report):</t>
    </r>
    <r>
      <rPr>
        <sz val="11"/>
        <rFont val="Cambria"/>
        <family val="1"/>
      </rPr>
      <t xml:space="preserve">
• Are relevant risks identified?
• Are important trade-offs considered in design decisions?
</t>
    </r>
    <r>
      <rPr>
        <b/>
        <sz val="11"/>
        <rFont val="Cambria"/>
        <family val="1"/>
      </rPr>
      <t>Individual Assessment:</t>
    </r>
    <r>
      <rPr>
        <sz val="11"/>
        <rFont val="Cambria"/>
        <family val="1"/>
      </rPr>
      <t xml:space="preserve">
• Identify one risk or trade-off and explain how it affected the design.</t>
    </r>
  </si>
  <si>
    <t>PIs Avg</t>
  </si>
  <si>
    <t>Attainment</t>
  </si>
  <si>
    <t>Comments: add comment on the team and individual student performance</t>
  </si>
  <si>
    <r>
      <rPr>
        <sz val="11"/>
        <color rgb="FFFF0000"/>
        <rFont val="Calibri"/>
        <family val="2"/>
      </rPr>
      <t xml:space="preserve">[List all assessment instruments used to assess the students for this SO. Mention those are team based and those are invidual }
e.g., </t>
    </r>
    <r>
      <rPr>
        <sz val="11"/>
        <color theme="1"/>
        <rFont val="Calibri"/>
        <family val="2"/>
      </rPr>
      <t xml:space="preserve">
Team based:
-final design report, 
-presentation
-prototype demonstration 
individaul assssment:
-individual oral defense, 
-oral presentation discussion, 
-assignment,
- final-exam question. ]</t>
    </r>
  </si>
  <si>
    <t>Add the CLO mapaped to this SO</t>
  </si>
  <si>
    <t>SO2 Assessment Results</t>
  </si>
  <si>
    <t>PI22, PI23, and PI24 Assessment Rubric</t>
  </si>
  <si>
    <r>
      <rPr>
        <sz val="11"/>
        <color rgb="FFED0000"/>
        <rFont val="Calibri"/>
        <family val="2"/>
      </rPr>
      <t>[Add brief description for how the assessment addressed each PI. See the example below. Below is an example for radar system project]</t>
    </r>
    <r>
      <rPr>
        <sz val="11"/>
        <rFont val="Calibri"/>
        <family val="2"/>
      </rPr>
      <t xml:space="preserve">
</t>
    </r>
    <r>
      <rPr>
        <b/>
        <sz val="11"/>
        <rFont val="Calibri"/>
        <family val="2"/>
      </rPr>
      <t>PI 21:</t>
    </r>
    <r>
      <rPr>
        <sz val="11"/>
        <rFont val="Calibri"/>
        <family val="2"/>
      </rPr>
      <t xml:space="preserve">
The assessment is about designing a radar system to meet specified needs and performance requirements within realistic constraints. It requires students to define the required system performance, develop a suitable design solution, select and calculate the necessary radar parameters, and make engineering decisions based on analysis and trade-offs. The proposed design must then be evaluated to verify that it satisfies the stated requirements, specifications, and constraints, consistent with the ABET definition of engineering design as an iterative decision-making process for developing solutions to meet desired needs and specifications.
</t>
    </r>
    <r>
      <rPr>
        <b/>
        <sz val="11"/>
        <rFont val="Calibri"/>
        <family val="2"/>
      </rPr>
      <t>PI 22:</t>
    </r>
    <r>
      <rPr>
        <sz val="11"/>
        <rFont val="Calibri"/>
        <family val="2"/>
      </rPr>
      <t xml:space="preserve">
The assessment requires the radar design to consider relevant safety, environmental, and economic factors and to incorporate these considerations into the selection of the system configuration and parameters.
</t>
    </r>
    <r>
      <rPr>
        <b/>
        <sz val="11"/>
        <rFont val="Calibri"/>
        <family val="2"/>
      </rPr>
      <t>PI 23:</t>
    </r>
    <r>
      <rPr>
        <sz val="11"/>
        <rFont val="Calibri"/>
        <family val="2"/>
      </rPr>
      <t xml:space="preserve">
The assessment requires the considering multiple realistic design constraints, such as available transmit power, antenna size, bandwidth, cost, and hardware limitations, and consideration of their impact on the radar design.
</t>
    </r>
    <r>
      <rPr>
        <b/>
        <sz val="11"/>
        <rFont val="Calibri"/>
        <family val="2"/>
      </rPr>
      <t>PI 24:</t>
    </r>
    <r>
      <rPr>
        <sz val="11"/>
        <rFont val="Calibri"/>
        <family val="2"/>
      </rPr>
      <t xml:space="preserve">
The assessment requires the use of ETSI EN 301 091-1 for the vehicular radar design. The assessment specifies that the radar operating frequency must be selected within the 76–77 GHz band, and the selected transmitter and antenna parameters must satisfy the applicable transmitted-power limits, including a maximum peak EIRP of 55 dBm. These standard-based parameters are incorporated as design requirements that must be considered when selecting the radar operating frequency, transmit power, and antenna characteristics.</t>
    </r>
  </si>
  <si>
    <t>Semester:</t>
  </si>
  <si>
    <t xml:space="preserve">Instructor: </t>
  </si>
  <si>
    <r>
      <rPr>
        <sz val="11"/>
        <color rgb="FFFF0000"/>
        <rFont val="Calibri"/>
        <family val="2"/>
      </rPr>
      <t xml:space="preserve">[List all relevant design factors considered by the students in the project. Include only the factors that were actually addressed]. 
e.g., </t>
    </r>
    <r>
      <rPr>
        <sz val="11"/>
        <color theme="1"/>
        <rFont val="Calibri"/>
        <family val="2"/>
      </rPr>
      <t xml:space="preserve">
-Public Health, 
-Safety  
-Welfare;
- Global; 
-Cultural; 
-Social; 
-Environmental; 
-Economic. 
If you have more than one project, mention which covered in project x and which covered in project y in case they are different]</t>
    </r>
  </si>
  <si>
    <r>
      <rPr>
        <b/>
        <sz val="10"/>
        <rFont val="Cambria"/>
        <family val="1"/>
      </rPr>
      <t xml:space="preserve">Assessment Note: </t>
    </r>
    <r>
      <rPr>
        <sz val="10"/>
        <rFont val="Cambria"/>
        <family val="1"/>
      </rPr>
      <t xml:space="preserve">
• Team-based assessment is based on team evidence (e.g., final report).
• Individual attainment may be verified through structured oral questions or individual exam questions.</t>
    </r>
  </si>
  <si>
    <t>PI21 Engineering Design</t>
  </si>
  <si>
    <t>Avg</t>
  </si>
  <si>
    <t>Group</t>
  </si>
  <si>
    <t>Individual</t>
  </si>
  <si>
    <t>PI22 Design Factors</t>
  </si>
  <si>
    <t>PI23 Constraints</t>
  </si>
  <si>
    <t>PI24 Standards</t>
  </si>
  <si>
    <t xml:space="preserve">PI21 — Engineering Design Elements </t>
  </si>
  <si>
    <t xml:space="preserve">Project Title </t>
  </si>
  <si>
    <r>
      <rPr>
        <b/>
        <sz val="10"/>
        <rFont val="Arial"/>
        <family val="2"/>
      </rPr>
      <t xml:space="preserve">Notes: </t>
    </r>
    <r>
      <rPr>
        <sz val="10"/>
        <rFont val="Arial"/>
        <family val="2"/>
      </rPr>
      <t xml:space="preserve">
-PI results are calculated as the percentage of students who achieved a score of 2 or higher.
-The SO result is calculated as the percentage of students whose average PI score is 2.0 or higher.
-Group assessment is based on group work, such as a project report, demonstration, presentation, etc.
-Individual assessment is based on each student’s individual performance, such as an oral discussion, individual reflection, exam question, etc.</t>
    </r>
  </si>
  <si>
    <r>
      <rPr>
        <b/>
        <sz val="10"/>
        <rFont val="Cambria"/>
        <family val="1"/>
      </rPr>
      <t xml:space="preserve">Assessment Note: </t>
    </r>
    <r>
      <rPr>
        <sz val="10"/>
        <rFont val="Cambria"/>
        <family val="1"/>
      </rPr>
      <t xml:space="preserve">
• Team-based assessment is based on team evidence (e.g., final report).
• Individual attainment may be verified through structured oral questions,  individual exam questions, individual reflection.
</t>
    </r>
  </si>
  <si>
    <t>Group  Avg</t>
  </si>
  <si>
    <t>fsdfsa</t>
  </si>
  <si>
    <t>asdf</t>
  </si>
  <si>
    <t>PI21 Assessment Rubric</t>
  </si>
  <si>
    <t>Verion</t>
  </si>
  <si>
    <t>Date of update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</si>
</sst>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1" x14ac:knownFonts="1">
    <font>
      <sz val="11"/>
      <color theme="1"/>
      <name val="Calibri"/>
      <scheme val="minor"/>
    </font>
    <font>
      <sz val="11"/>
      <color theme="1"/>
      <name val="Calibri"/>
      <family val="2"/>
      <scheme val="minor"/>
    </font>
    <font>
      <b/>
      <sz val="12"/>
      <color theme="1"/>
      <name val="Times New Roman"/>
      <family val="1"/>
    </font>
    <font>
      <sz val="11"/>
      <name val="Calibri"/>
      <family val="2"/>
    </font>
    <font>
      <sz val="12"/>
      <color theme="1"/>
      <name val="Times New Roman"/>
      <family val="1"/>
    </font>
    <font>
      <sz val="11"/>
      <color theme="1"/>
      <name val="Calibri"/>
      <family val="2"/>
    </font>
    <font>
      <b/>
      <sz val="12"/>
      <color theme="1"/>
      <name val="Calibri"/>
      <family val="2"/>
    </font>
    <font>
      <b/>
      <sz val="11"/>
      <color theme="1"/>
      <name val="Calibri"/>
      <family val="2"/>
    </font>
    <font>
      <sz val="10"/>
      <color rgb="FF000000"/>
      <name val="Calibri"/>
      <family val="2"/>
    </font>
    <font>
      <sz val="10"/>
      <color theme="1"/>
      <name val="Calibri"/>
      <family val="2"/>
    </font>
    <font>
      <sz val="11"/>
      <color theme="1"/>
      <name val="Cambria"/>
      <family val="1"/>
    </font>
    <font>
      <sz val="12"/>
      <color theme="1"/>
      <name val="Calibri"/>
      <family val="2"/>
    </font>
    <font>
      <b/>
      <sz val="12"/>
      <color rgb="FF000000"/>
      <name val="Cambria"/>
      <family val="1"/>
    </font>
    <font>
      <sz val="11"/>
      <color rgb="FF000000"/>
      <name val="Cambria"/>
      <family val="1"/>
    </font>
    <font>
      <b/>
      <sz val="11"/>
      <color rgb="FF000000"/>
      <name val="Cambria"/>
      <family val="1"/>
    </font>
    <font>
      <sz val="12"/>
      <color theme="1"/>
      <name val="Arial"/>
      <family val="2"/>
    </font>
    <font>
      <b/>
      <sz val="12"/>
      <color theme="1"/>
      <name val="Arial"/>
      <family val="2"/>
    </font>
    <font>
      <sz val="11"/>
      <color rgb="FFFF0000"/>
      <name val="Calibri"/>
      <family val="2"/>
    </font>
    <font>
      <b/>
      <sz val="22"/>
      <color theme="1"/>
      <name val="Calibri"/>
      <family val="2"/>
    </font>
    <font>
      <b/>
      <sz val="14"/>
      <color theme="1"/>
      <name val="Calibri"/>
      <family val="2"/>
    </font>
    <font>
      <b/>
      <i/>
      <sz val="11"/>
      <color theme="1"/>
      <name val="Calibri"/>
      <family val="2"/>
    </font>
    <font>
      <b/>
      <sz val="10"/>
      <color theme="1"/>
      <name val="Arial"/>
      <family val="2"/>
    </font>
    <font>
      <sz val="10"/>
      <color theme="1"/>
      <name val="Arial"/>
      <family val="2"/>
    </font>
    <font>
      <sz val="11"/>
      <color rgb="FF000000"/>
      <name val="Calibri"/>
      <family val="2"/>
    </font>
    <font>
      <sz val="11"/>
      <color theme="1"/>
      <name val="Calibri"/>
      <family val="2"/>
    </font>
    <font>
      <sz val="11"/>
      <name val="Calibri"/>
      <family val="2"/>
    </font>
    <font>
      <b/>
      <sz val="11"/>
      <color theme="1"/>
      <name val="Calibri"/>
      <family val="2"/>
    </font>
    <font>
      <sz val="11"/>
      <color rgb="FF000000"/>
      <name val="Cambria"/>
      <family val="1"/>
    </font>
    <font>
      <sz val="11"/>
      <color rgb="FFED0000"/>
      <name val="Calibri"/>
      <family val="2"/>
    </font>
    <font>
      <sz val="9"/>
      <color theme="1"/>
      <name val="Arial"/>
      <family val="2"/>
    </font>
    <font>
      <sz val="10"/>
      <color rgb="FF000000"/>
      <name val="Arial"/>
      <family val="2"/>
    </font>
    <font>
      <i/>
      <sz val="8"/>
      <color theme="1"/>
      <name val="Arial"/>
      <family val="2"/>
    </font>
    <font>
      <b/>
      <sz val="9"/>
      <color theme="1"/>
      <name val="Arial"/>
      <family val="2"/>
    </font>
    <font>
      <b/>
      <sz val="11"/>
      <color theme="1"/>
      <name val="Calibri"/>
      <family val="2"/>
      <scheme val="minor"/>
    </font>
    <font>
      <b/>
      <sz val="11"/>
      <name val="Calibri"/>
      <family val="2"/>
    </font>
    <font>
      <b/>
      <sz val="11"/>
      <color rgb="FF000000"/>
      <name val="Cambria"/>
      <family val="1"/>
    </font>
    <font>
      <sz val="11"/>
      <name val="Cambria"/>
      <family val="1"/>
    </font>
    <font>
      <b/>
      <sz val="11"/>
      <name val="Cambria"/>
      <family val="1"/>
    </font>
    <font>
      <sz val="10"/>
      <color rgb="FFFF0000"/>
      <name val="Calibri"/>
      <family val="2"/>
    </font>
    <font>
      <sz val="8"/>
      <color theme="1"/>
      <name val="Arial"/>
      <family val="2"/>
    </font>
    <font>
      <b/>
      <sz val="12"/>
      <color rgb="FF7030A0"/>
      <name val="Arial"/>
      <family val="2"/>
    </font>
    <font>
      <b/>
      <sz val="12"/>
      <name val="Arial"/>
      <family val="2"/>
    </font>
    <font>
      <sz val="12"/>
      <name val="Arial"/>
      <family val="2"/>
    </font>
    <font>
      <sz val="12"/>
      <color rgb="FF0000FF"/>
      <name val="Arial"/>
      <family val="2"/>
    </font>
    <font>
      <b/>
      <sz val="12"/>
      <color rgb="FF000000"/>
      <name val="Arial"/>
      <family val="2"/>
    </font>
    <font>
      <sz val="12"/>
      <color rgb="FF000000"/>
      <name val="Arial"/>
      <family val="2"/>
    </font>
    <font>
      <b/>
      <sz val="14"/>
      <color theme="1"/>
      <name val="Arial"/>
      <family val="2"/>
    </font>
    <font>
      <b/>
      <sz val="10"/>
      <name val="Arial"/>
      <family val="2"/>
    </font>
    <font>
      <sz val="10"/>
      <name val="Arial"/>
      <family val="2"/>
    </font>
    <font>
      <b/>
      <sz val="10"/>
      <name val="Cambria"/>
      <family val="1"/>
    </font>
    <font>
      <sz val="10"/>
      <name val="Cambria"/>
      <family val="1"/>
    </font>
  </fonts>
  <fills count="28">
    <fill>
      <patternFill patternType="none"/>
    </fill>
    <fill>
      <patternFill patternType="gray125"/>
    </fill>
    <fill>
      <patternFill patternType="solid">
        <fgColor rgb="FFF2F2F2"/>
        <bgColor rgb="FFF2F2F2"/>
      </patternFill>
    </fill>
    <fill>
      <patternFill patternType="solid">
        <fgColor rgb="FFFDE9D9"/>
        <bgColor rgb="FFFDE9D9"/>
      </patternFill>
    </fill>
    <fill>
      <patternFill patternType="solid">
        <fgColor rgb="FFE5DFEC"/>
        <bgColor rgb="FFE5DFEC"/>
      </patternFill>
    </fill>
    <fill>
      <patternFill patternType="solid">
        <fgColor theme="0"/>
        <bgColor theme="0"/>
      </patternFill>
    </fill>
    <fill>
      <patternFill patternType="solid">
        <fgColor rgb="FFDDD9C3"/>
        <bgColor rgb="FFDDD9C3"/>
      </patternFill>
    </fill>
    <fill>
      <patternFill patternType="solid">
        <fgColor rgb="FFD8D8D8"/>
        <bgColor rgb="FFD8D8D8"/>
      </patternFill>
    </fill>
    <fill>
      <patternFill patternType="solid">
        <fgColor rgb="FF92D050"/>
        <bgColor rgb="FF92D050"/>
      </patternFill>
    </fill>
    <fill>
      <patternFill patternType="solid">
        <fgColor rgb="FFFFFFFF"/>
        <bgColor rgb="FFFFFFFF"/>
      </patternFill>
    </fill>
    <fill>
      <patternFill patternType="solid">
        <fgColor rgb="FF95B3D7"/>
        <bgColor rgb="FF95B3D7"/>
      </patternFill>
    </fill>
    <fill>
      <patternFill patternType="solid">
        <fgColor rgb="FFBFBFBF"/>
        <bgColor rgb="FFBFBFBF"/>
      </patternFill>
    </fill>
    <fill>
      <patternFill patternType="solid">
        <fgColor rgb="FFFFC000"/>
        <bgColor rgb="FFFFC000"/>
      </patternFill>
    </fill>
    <fill>
      <patternFill patternType="solid">
        <fgColor rgb="FFD9E1F2"/>
        <bgColor rgb="FFD9E1F2"/>
      </patternFill>
    </fill>
    <fill>
      <patternFill patternType="solid">
        <fgColor theme="9" tint="0.79998168889431442"/>
        <bgColor rgb="FF1F4E78"/>
      </patternFill>
    </fill>
    <fill>
      <patternFill patternType="solid">
        <fgColor theme="9"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6" tint="0.39997558519241921"/>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0"/>
        <bgColor rgb="FFFDE9D9"/>
      </patternFill>
    </fill>
    <fill>
      <patternFill patternType="solid">
        <fgColor rgb="FFFFF2CC"/>
      </patternFill>
    </fill>
    <fill>
      <patternFill patternType="solid">
        <fgColor rgb="FFFFC000"/>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4" tint="0.79998168889431442"/>
        <bgColor rgb="FF1F4E78"/>
      </patternFill>
    </fill>
    <fill>
      <patternFill patternType="solid">
        <fgColor rgb="FFFFFF00"/>
        <bgColor indexed="64"/>
      </patternFill>
    </fill>
  </fills>
  <borders count="66">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right/>
      <top/>
      <bottom/>
      <diagonal/>
    </border>
    <border>
      <left/>
      <right/>
      <top/>
      <bottom/>
      <diagonal/>
    </border>
    <border>
      <left style="thin">
        <color rgb="FF000000"/>
      </left>
      <right/>
      <top/>
      <bottom/>
      <diagonal/>
    </border>
    <border>
      <left style="thin">
        <color rgb="FF000000"/>
      </left>
      <right style="thin">
        <color rgb="FF000000"/>
      </right>
      <top/>
      <bottom/>
      <diagonal/>
    </border>
    <border>
      <left/>
      <right/>
      <top/>
      <bottom/>
      <diagonal/>
    </border>
    <border>
      <left/>
      <right/>
      <top/>
      <bottom/>
      <diagonal/>
    </border>
    <border>
      <left/>
      <right/>
      <top/>
      <bottom/>
      <diagonal/>
    </border>
    <border>
      <left style="thin">
        <color rgb="FF000000"/>
      </left>
      <right/>
      <top/>
      <bottom/>
      <diagonal/>
    </border>
    <border>
      <left/>
      <right/>
      <top/>
      <bottom/>
      <diagonal/>
    </border>
    <border>
      <left/>
      <right/>
      <top style="thin">
        <color rgb="FF000000"/>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
      <left/>
      <right/>
      <top/>
      <bottom style="thin">
        <color rgb="FF000000"/>
      </bottom>
      <diagonal/>
    </border>
    <border>
      <left/>
      <right/>
      <top/>
      <bottom/>
      <diagonal/>
    </border>
    <border>
      <left/>
      <right/>
      <top/>
      <bottom/>
      <diagonal/>
    </border>
    <border>
      <left/>
      <right/>
      <top/>
      <bottom style="thin">
        <color rgb="FF000000"/>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medium">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thin">
        <color rgb="FFB7B7B7"/>
      </bottom>
      <diagonal/>
    </border>
    <border>
      <left/>
      <right style="thin">
        <color rgb="FFB7B7B7"/>
      </right>
      <top/>
      <bottom style="thin">
        <color rgb="FFB7B7B7"/>
      </bottom>
      <diagonal/>
    </border>
    <border>
      <left style="thin">
        <color rgb="FFB7B7B7"/>
      </left>
      <right style="thin">
        <color rgb="FFB7B7B7"/>
      </right>
      <top style="thin">
        <color rgb="FFB7B7B7"/>
      </top>
      <bottom style="thin">
        <color indexed="64"/>
      </bottom>
      <diagonal/>
    </border>
    <border>
      <left/>
      <right/>
      <top/>
      <bottom style="thin">
        <color indexed="64"/>
      </bottom>
      <diagonal/>
    </border>
    <border>
      <left/>
      <right style="thin">
        <color rgb="FFB7B7B7"/>
      </right>
      <top/>
      <bottom/>
      <diagonal/>
    </border>
    <border>
      <left style="thin">
        <color rgb="FFB7B7B7"/>
      </left>
      <right style="thin">
        <color rgb="FFB7B7B7"/>
      </right>
      <top/>
      <bottom style="thin">
        <color indexed="64"/>
      </bottom>
      <diagonal/>
    </border>
    <border>
      <left/>
      <right style="thin">
        <color indexed="64"/>
      </right>
      <top style="thin">
        <color indexed="64"/>
      </top>
      <bottom style="thin">
        <color indexed="64"/>
      </bottom>
      <diagonal/>
    </border>
    <border>
      <left/>
      <right style="thin">
        <color rgb="FFB7B7B7"/>
      </right>
      <top/>
      <bottom style="thin">
        <color indexed="64"/>
      </bottom>
      <diagonal/>
    </border>
    <border>
      <left/>
      <right style="thin">
        <color indexed="64"/>
      </right>
      <top style="thin">
        <color rgb="FFB7B7B7"/>
      </top>
      <bottom/>
      <diagonal/>
    </border>
    <border>
      <left/>
      <right style="thin">
        <color indexed="64"/>
      </right>
      <top/>
      <bottom style="thin">
        <color indexed="64"/>
      </bottom>
      <diagonal/>
    </border>
    <border>
      <left/>
      <right/>
      <top style="thin">
        <color rgb="FFB7B7B7"/>
      </top>
      <bottom/>
      <diagonal/>
    </border>
    <border>
      <left/>
      <right/>
      <top style="thin">
        <color indexed="64"/>
      </top>
      <bottom/>
      <diagonal/>
    </border>
  </borders>
  <cellStyleXfs count="1">
    <xf numFmtId="0" fontId="0" fillId="0" borderId="0"/>
  </cellStyleXfs>
  <cellXfs count="251">
    <xf numFmtId="0" fontId="0" fillId="0" borderId="0" xfId="0"/>
    <xf numFmtId="0" fontId="5" fillId="0" borderId="0" xfId="0" applyFont="1"/>
    <xf numFmtId="0" fontId="7" fillId="3" borderId="7" xfId="0" applyFont="1" applyFill="1" applyBorder="1" applyAlignment="1">
      <alignment horizontal="center" vertical="center"/>
    </xf>
    <xf numFmtId="0" fontId="5" fillId="0" borderId="8" xfId="0" applyFont="1" applyBorder="1" applyAlignment="1">
      <alignment horizontal="center" vertical="center"/>
    </xf>
    <xf numFmtId="0" fontId="9" fillId="0" borderId="8" xfId="0" applyFont="1" applyBorder="1" applyAlignment="1">
      <alignment vertical="center" wrapText="1"/>
    </xf>
    <xf numFmtId="0" fontId="11" fillId="0" borderId="8" xfId="0" applyFont="1" applyBorder="1" applyAlignment="1">
      <alignment horizontal="center"/>
    </xf>
    <xf numFmtId="0" fontId="5" fillId="0" borderId="0" xfId="0" applyFont="1" applyAlignment="1">
      <alignment horizontal="center"/>
    </xf>
    <xf numFmtId="0" fontId="13" fillId="3" borderId="10" xfId="0" applyFont="1" applyFill="1" applyBorder="1" applyAlignment="1">
      <alignment horizontal="center" vertical="center" wrapText="1"/>
    </xf>
    <xf numFmtId="0" fontId="13" fillId="4" borderId="8" xfId="0" applyFont="1" applyFill="1" applyBorder="1" applyAlignment="1">
      <alignment horizontal="center" vertical="center" wrapText="1"/>
    </xf>
    <xf numFmtId="0" fontId="13" fillId="6" borderId="8" xfId="0" applyFont="1" applyFill="1" applyBorder="1" applyAlignment="1">
      <alignment horizontal="center" vertical="center" wrapText="1"/>
    </xf>
    <xf numFmtId="0" fontId="13" fillId="4" borderId="11" xfId="0" applyFont="1" applyFill="1" applyBorder="1" applyAlignment="1">
      <alignment horizontal="center" vertical="center" wrapText="1"/>
    </xf>
    <xf numFmtId="0" fontId="13" fillId="6" borderId="11" xfId="0" applyFont="1" applyFill="1" applyBorder="1" applyAlignment="1">
      <alignment horizontal="center" vertical="center" wrapText="1"/>
    </xf>
    <xf numFmtId="0" fontId="13" fillId="0" borderId="8" xfId="0" applyFont="1" applyBorder="1" applyAlignment="1">
      <alignment vertical="center" wrapText="1"/>
    </xf>
    <xf numFmtId="0" fontId="5" fillId="3" borderId="26" xfId="0" applyFont="1" applyFill="1" applyBorder="1" applyAlignment="1">
      <alignment horizontal="right"/>
    </xf>
    <xf numFmtId="0" fontId="5" fillId="3" borderId="26" xfId="0" applyFont="1" applyFill="1" applyBorder="1" applyAlignment="1">
      <alignment horizontal="center" vertical="center"/>
    </xf>
    <xf numFmtId="0" fontId="7" fillId="4" borderId="8" xfId="0" applyFont="1" applyFill="1" applyBorder="1" applyAlignment="1">
      <alignment horizontal="center" vertical="center"/>
    </xf>
    <xf numFmtId="0" fontId="5" fillId="3" borderId="8" xfId="0" applyFont="1" applyFill="1" applyBorder="1" applyAlignment="1">
      <alignment horizontal="left" vertical="center"/>
    </xf>
    <xf numFmtId="0" fontId="17" fillId="4" borderId="8" xfId="0" applyFont="1" applyFill="1" applyBorder="1" applyAlignment="1">
      <alignment horizontal="center"/>
    </xf>
    <xf numFmtId="0" fontId="5" fillId="0" borderId="8" xfId="0" applyFont="1" applyBorder="1" applyAlignment="1">
      <alignment horizontal="center" vertical="center" wrapText="1"/>
    </xf>
    <xf numFmtId="0" fontId="5" fillId="0" borderId="8" xfId="0" applyFont="1" applyBorder="1" applyAlignment="1">
      <alignment horizontal="left"/>
    </xf>
    <xf numFmtId="0" fontId="5" fillId="0" borderId="8" xfId="0" applyFont="1" applyBorder="1" applyAlignment="1">
      <alignment horizontal="center"/>
    </xf>
    <xf numFmtId="2" fontId="5" fillId="0" borderId="8" xfId="0" applyNumberFormat="1" applyFont="1" applyBorder="1" applyAlignment="1">
      <alignment horizontal="center"/>
    </xf>
    <xf numFmtId="0" fontId="5" fillId="5" borderId="26" xfId="0" applyFont="1" applyFill="1" applyBorder="1"/>
    <xf numFmtId="0" fontId="5" fillId="0" borderId="1" xfId="0" applyFont="1" applyBorder="1" applyAlignment="1">
      <alignment horizontal="center"/>
    </xf>
    <xf numFmtId="2" fontId="5" fillId="0" borderId="0" xfId="0" applyNumberFormat="1" applyFont="1" applyAlignment="1">
      <alignment horizontal="center"/>
    </xf>
    <xf numFmtId="10" fontId="5" fillId="0" borderId="0" xfId="0" applyNumberFormat="1" applyFont="1" applyAlignment="1">
      <alignment horizontal="center"/>
    </xf>
    <xf numFmtId="0" fontId="5" fillId="0" borderId="12" xfId="0" applyFont="1" applyBorder="1" applyAlignment="1">
      <alignment horizontal="center"/>
    </xf>
    <xf numFmtId="0" fontId="5" fillId="0" borderId="0" xfId="0" applyFont="1" applyAlignment="1">
      <alignment horizontal="center" vertical="center" wrapText="1"/>
    </xf>
    <xf numFmtId="0" fontId="5" fillId="0" borderId="0" xfId="0" applyFont="1" applyAlignment="1">
      <alignment horizontal="left"/>
    </xf>
    <xf numFmtId="0" fontId="11" fillId="3" borderId="8" xfId="0" applyFont="1" applyFill="1" applyBorder="1" applyAlignment="1">
      <alignment horizontal="center" vertical="center"/>
    </xf>
    <xf numFmtId="0" fontId="11" fillId="3" borderId="15" xfId="0" applyFont="1" applyFill="1" applyBorder="1" applyAlignment="1">
      <alignment horizontal="center"/>
    </xf>
    <xf numFmtId="0" fontId="7" fillId="0" borderId="8" xfId="0" applyFont="1" applyBorder="1" applyAlignment="1">
      <alignment horizontal="center"/>
    </xf>
    <xf numFmtId="0" fontId="11" fillId="3" borderId="8" xfId="0" applyFont="1" applyFill="1" applyBorder="1" applyAlignment="1">
      <alignment horizontal="center"/>
    </xf>
    <xf numFmtId="0" fontId="6" fillId="5" borderId="26" xfId="0" applyFont="1" applyFill="1" applyBorder="1" applyAlignment="1">
      <alignment horizontal="right"/>
    </xf>
    <xf numFmtId="164" fontId="6" fillId="5" borderId="8" xfId="0" applyNumberFormat="1" applyFont="1" applyFill="1" applyBorder="1" applyAlignment="1">
      <alignment horizontal="center" vertical="center"/>
    </xf>
    <xf numFmtId="0" fontId="5" fillId="0" borderId="0" xfId="0" applyFont="1" applyAlignment="1">
      <alignment horizontal="right"/>
    </xf>
    <xf numFmtId="0" fontId="5" fillId="0" borderId="8" xfId="0" applyFont="1" applyBorder="1" applyAlignment="1">
      <alignment horizontal="center" wrapText="1"/>
    </xf>
    <xf numFmtId="0" fontId="7" fillId="11" borderId="7" xfId="0" applyFont="1" applyFill="1" applyBorder="1" applyAlignment="1">
      <alignment horizontal="center"/>
    </xf>
    <xf numFmtId="0" fontId="5" fillId="0" borderId="39" xfId="0" applyFont="1" applyBorder="1" applyAlignment="1">
      <alignment horizontal="center" vertical="center"/>
    </xf>
    <xf numFmtId="0" fontId="5" fillId="0" borderId="42" xfId="0" applyFont="1" applyBorder="1" applyAlignment="1">
      <alignment horizontal="center" vertical="center"/>
    </xf>
    <xf numFmtId="0" fontId="5" fillId="0" borderId="44" xfId="0" applyFont="1" applyBorder="1" applyAlignment="1">
      <alignment horizontal="center" vertical="center"/>
    </xf>
    <xf numFmtId="0" fontId="5" fillId="0" borderId="48" xfId="0" applyFont="1" applyBorder="1" applyAlignment="1">
      <alignment horizontal="center" vertical="center"/>
    </xf>
    <xf numFmtId="0" fontId="7" fillId="0" borderId="0" xfId="0" applyFont="1"/>
    <xf numFmtId="0" fontId="19" fillId="0" borderId="0" xfId="0" applyFont="1"/>
    <xf numFmtId="0" fontId="11" fillId="0" borderId="0" xfId="0" applyFont="1" applyAlignment="1">
      <alignment wrapText="1"/>
    </xf>
    <xf numFmtId="0" fontId="5" fillId="0" borderId="0" xfId="0" applyFont="1" applyAlignment="1">
      <alignment wrapText="1"/>
    </xf>
    <xf numFmtId="0" fontId="7" fillId="0" borderId="0" xfId="0" applyFont="1" applyAlignment="1">
      <alignment horizontal="center"/>
    </xf>
    <xf numFmtId="0" fontId="6" fillId="0" borderId="8" xfId="0" applyFont="1" applyBorder="1" applyAlignment="1">
      <alignment horizontal="center"/>
    </xf>
    <xf numFmtId="0" fontId="6" fillId="0" borderId="8" xfId="0" applyFont="1" applyBorder="1" applyAlignment="1">
      <alignment horizontal="center" wrapText="1"/>
    </xf>
    <xf numFmtId="0" fontId="5" fillId="0" borderId="8" xfId="0" applyFont="1" applyBorder="1" applyAlignment="1">
      <alignment vertical="top" wrapText="1"/>
    </xf>
    <xf numFmtId="0" fontId="5" fillId="0" borderId="8" xfId="0" applyFont="1" applyBorder="1" applyAlignment="1">
      <alignment wrapText="1"/>
    </xf>
    <xf numFmtId="0" fontId="11" fillId="0" borderId="0" xfId="0" applyFont="1" applyAlignment="1">
      <alignment horizontal="center" wrapText="1"/>
    </xf>
    <xf numFmtId="0" fontId="5" fillId="0" borderId="0" xfId="0" applyFont="1" applyAlignment="1">
      <alignment horizontal="center" wrapText="1"/>
    </xf>
    <xf numFmtId="0" fontId="11" fillId="0" borderId="8" xfId="0" applyFont="1" applyBorder="1" applyAlignment="1">
      <alignment vertical="top" wrapText="1"/>
    </xf>
    <xf numFmtId="0" fontId="6" fillId="7" borderId="8" xfId="0" applyFont="1" applyFill="1" applyBorder="1" applyAlignment="1">
      <alignment horizontal="center"/>
    </xf>
    <xf numFmtId="0" fontId="6" fillId="7" borderId="8" xfId="0" applyFont="1" applyFill="1" applyBorder="1" applyAlignment="1">
      <alignment horizontal="center" wrapText="1"/>
    </xf>
    <xf numFmtId="0" fontId="11" fillId="7" borderId="8" xfId="0" applyFont="1" applyFill="1" applyBorder="1" applyAlignment="1">
      <alignment horizontal="center"/>
    </xf>
    <xf numFmtId="0" fontId="11" fillId="7" borderId="8" xfId="0" applyFont="1" applyFill="1" applyBorder="1" applyAlignment="1">
      <alignment vertical="top" wrapText="1"/>
    </xf>
    <xf numFmtId="0" fontId="7" fillId="7" borderId="8" xfId="0" applyFont="1" applyFill="1" applyBorder="1" applyAlignment="1">
      <alignment horizontal="center" vertical="center" wrapText="1"/>
    </xf>
    <xf numFmtId="0" fontId="7" fillId="7" borderId="8" xfId="0" applyFont="1" applyFill="1" applyBorder="1" applyAlignment="1">
      <alignment vertical="center" wrapText="1"/>
    </xf>
    <xf numFmtId="0" fontId="5" fillId="7" borderId="8" xfId="0" applyFont="1" applyFill="1" applyBorder="1" applyAlignment="1">
      <alignment vertical="center" wrapText="1"/>
    </xf>
    <xf numFmtId="2" fontId="21" fillId="0" borderId="8" xfId="0" applyNumberFormat="1" applyFont="1" applyBorder="1" applyAlignment="1">
      <alignment horizontal="left"/>
    </xf>
    <xf numFmtId="0" fontId="21" fillId="0" borderId="8" xfId="0" applyFont="1" applyBorder="1" applyAlignment="1">
      <alignment horizontal="left"/>
    </xf>
    <xf numFmtId="0" fontId="22" fillId="0" borderId="8" xfId="0" applyFont="1" applyBorder="1"/>
    <xf numFmtId="2" fontId="21" fillId="0" borderId="8" xfId="0" applyNumberFormat="1" applyFont="1" applyBorder="1" applyAlignment="1">
      <alignment horizontal="center" vertical="center"/>
    </xf>
    <xf numFmtId="0" fontId="21" fillId="0" borderId="8" xfId="0" applyFont="1" applyBorder="1" applyAlignment="1">
      <alignment horizontal="center" vertical="center"/>
    </xf>
    <xf numFmtId="0" fontId="22" fillId="0" borderId="8" xfId="0" applyFont="1" applyBorder="1" applyAlignment="1">
      <alignment horizontal="center" vertical="center" wrapText="1"/>
    </xf>
    <xf numFmtId="0" fontId="29" fillId="0" borderId="0" xfId="0" applyFont="1"/>
    <xf numFmtId="0" fontId="30" fillId="0" borderId="0" xfId="0" applyFont="1" applyAlignment="1">
      <alignment horizontal="center" vertical="center" wrapText="1"/>
    </xf>
    <xf numFmtId="0" fontId="34" fillId="0" borderId="50" xfId="0" applyFont="1" applyBorder="1" applyAlignment="1">
      <alignment vertical="center" wrapText="1"/>
    </xf>
    <xf numFmtId="0" fontId="13" fillId="21" borderId="50" xfId="0" applyFont="1" applyFill="1" applyBorder="1" applyAlignment="1">
      <alignment horizontal="center" vertical="center" wrapText="1"/>
    </xf>
    <xf numFmtId="0" fontId="25" fillId="0" borderId="50" xfId="0" applyFont="1" applyBorder="1" applyAlignment="1">
      <alignment wrapText="1"/>
    </xf>
    <xf numFmtId="0" fontId="27" fillId="21" borderId="50" xfId="0" applyFont="1" applyFill="1" applyBorder="1" applyAlignment="1">
      <alignment horizontal="center" vertical="center" wrapText="1"/>
    </xf>
    <xf numFmtId="0" fontId="27" fillId="21" borderId="52" xfId="0" applyFont="1" applyFill="1" applyBorder="1" applyAlignment="1">
      <alignment horizontal="center" vertical="center" wrapText="1"/>
    </xf>
    <xf numFmtId="0" fontId="36" fillId="16" borderId="8" xfId="0" applyFont="1" applyFill="1" applyBorder="1" applyAlignment="1">
      <alignment horizontal="left" vertical="center" wrapText="1"/>
    </xf>
    <xf numFmtId="0" fontId="36" fillId="17" borderId="8" xfId="0" applyFont="1" applyFill="1" applyBorder="1" applyAlignment="1">
      <alignment horizontal="left" vertical="center" wrapText="1"/>
    </xf>
    <xf numFmtId="0" fontId="38" fillId="0" borderId="8" xfId="0" applyFont="1" applyBorder="1" applyAlignment="1">
      <alignment horizontal="center" vertical="center" wrapText="1"/>
    </xf>
    <xf numFmtId="0" fontId="40" fillId="23" borderId="49" xfId="0" applyFont="1" applyFill="1" applyBorder="1"/>
    <xf numFmtId="0" fontId="40" fillId="23" borderId="55" xfId="0" applyFont="1" applyFill="1" applyBorder="1"/>
    <xf numFmtId="0" fontId="40" fillId="23" borderId="54" xfId="0" applyFont="1" applyFill="1" applyBorder="1"/>
    <xf numFmtId="0" fontId="16" fillId="15" borderId="57" xfId="0" applyFont="1" applyFill="1" applyBorder="1" applyAlignment="1">
      <alignment horizontal="center" vertical="center"/>
    </xf>
    <xf numFmtId="0" fontId="41" fillId="14" borderId="56" xfId="0" applyFont="1" applyFill="1" applyBorder="1" applyAlignment="1">
      <alignment horizontal="center" vertical="center" wrapText="1"/>
    </xf>
    <xf numFmtId="0" fontId="16" fillId="13" borderId="50" xfId="0" applyFont="1" applyFill="1" applyBorder="1" applyAlignment="1">
      <alignment horizontal="center" vertical="center" wrapText="1"/>
    </xf>
    <xf numFmtId="164" fontId="44" fillId="20" borderId="50" xfId="0" applyNumberFormat="1" applyFont="1" applyFill="1" applyBorder="1" applyAlignment="1">
      <alignment horizontal="center" vertical="center" wrapText="1"/>
    </xf>
    <xf numFmtId="164" fontId="16" fillId="19" borderId="49" xfId="0" applyNumberFormat="1" applyFont="1" applyFill="1" applyBorder="1" applyAlignment="1">
      <alignment horizontal="center" vertical="center"/>
    </xf>
    <xf numFmtId="0" fontId="15" fillId="18" borderId="49" xfId="0" applyFont="1" applyFill="1" applyBorder="1" applyAlignment="1">
      <alignment horizontal="center" vertical="center"/>
    </xf>
    <xf numFmtId="0" fontId="22" fillId="18" borderId="49" xfId="0" applyFont="1" applyFill="1" applyBorder="1" applyAlignment="1">
      <alignment horizontal="center" vertical="center"/>
    </xf>
    <xf numFmtId="0" fontId="40" fillId="16" borderId="49" xfId="0" applyFont="1" applyFill="1" applyBorder="1"/>
    <xf numFmtId="0" fontId="40" fillId="16" borderId="58" xfId="0" applyFont="1" applyFill="1" applyBorder="1"/>
    <xf numFmtId="0" fontId="41" fillId="14" borderId="59" xfId="0" applyFont="1" applyFill="1" applyBorder="1" applyAlignment="1">
      <alignment horizontal="center" vertical="center" wrapText="1"/>
    </xf>
    <xf numFmtId="164" fontId="44" fillId="25" borderId="50" xfId="0" applyNumberFormat="1" applyFont="1" applyFill="1" applyBorder="1" applyAlignment="1">
      <alignment horizontal="center" vertical="center" wrapText="1"/>
    </xf>
    <xf numFmtId="0" fontId="45" fillId="25" borderId="50" xfId="0" applyFont="1" applyFill="1" applyBorder="1" applyAlignment="1">
      <alignment horizontal="center" vertical="center" wrapText="1"/>
    </xf>
    <xf numFmtId="164" fontId="43" fillId="20" borderId="50" xfId="0" applyNumberFormat="1" applyFont="1" applyFill="1" applyBorder="1" applyAlignment="1">
      <alignment horizontal="center" vertical="center" wrapText="1"/>
    </xf>
    <xf numFmtId="164" fontId="44" fillId="24" borderId="50" xfId="0" applyNumberFormat="1" applyFont="1" applyFill="1" applyBorder="1" applyAlignment="1">
      <alignment horizontal="center" vertical="center" wrapText="1"/>
    </xf>
    <xf numFmtId="0" fontId="41" fillId="26" borderId="59" xfId="0" applyFont="1" applyFill="1" applyBorder="1" applyAlignment="1">
      <alignment horizontal="center" vertical="center" wrapText="1"/>
    </xf>
    <xf numFmtId="0" fontId="41" fillId="26" borderId="61" xfId="0" applyFont="1" applyFill="1" applyBorder="1" applyAlignment="1">
      <alignment horizontal="center" vertical="center" wrapText="1"/>
    </xf>
    <xf numFmtId="0" fontId="41" fillId="14" borderId="50" xfId="0" applyFont="1" applyFill="1" applyBorder="1" applyAlignment="1">
      <alignment horizontal="center" vertical="center" wrapText="1"/>
    </xf>
    <xf numFmtId="0" fontId="15" fillId="16" borderId="50" xfId="0" applyFont="1" applyFill="1" applyBorder="1" applyAlignment="1" applyProtection="1">
      <alignment horizontal="center" vertical="center"/>
      <protection locked="0"/>
    </xf>
    <xf numFmtId="0" fontId="15" fillId="16" borderId="50" xfId="0" applyFont="1" applyFill="1" applyBorder="1" applyAlignment="1" applyProtection="1">
      <alignment horizontal="center"/>
      <protection locked="0"/>
    </xf>
    <xf numFmtId="0" fontId="15" fillId="0" borderId="50" xfId="0" applyFont="1" applyBorder="1" applyAlignment="1" applyProtection="1">
      <alignment horizontal="center" wrapText="1"/>
      <protection locked="0"/>
    </xf>
    <xf numFmtId="0" fontId="43" fillId="0" borderId="50" xfId="0" applyFont="1" applyBorder="1" applyAlignment="1" applyProtection="1">
      <alignment horizontal="center" vertical="center" wrapText="1"/>
      <protection locked="0"/>
    </xf>
    <xf numFmtId="1" fontId="44" fillId="24" borderId="50" xfId="0" applyNumberFormat="1" applyFont="1" applyFill="1" applyBorder="1" applyAlignment="1" applyProtection="1">
      <alignment horizontal="center" vertical="center" wrapText="1"/>
      <protection locked="0"/>
    </xf>
    <xf numFmtId="0" fontId="43" fillId="24" borderId="50" xfId="0" applyFont="1" applyFill="1" applyBorder="1" applyAlignment="1" applyProtection="1">
      <alignment horizontal="center" vertical="center" wrapText="1"/>
      <protection locked="0"/>
    </xf>
    <xf numFmtId="0" fontId="31" fillId="16" borderId="50" xfId="0" applyFont="1" applyFill="1" applyBorder="1" applyAlignment="1" applyProtection="1">
      <alignment horizontal="left" vertical="top" wrapText="1"/>
      <protection locked="0"/>
    </xf>
    <xf numFmtId="0" fontId="15" fillId="17" borderId="50" xfId="0" applyFont="1" applyFill="1" applyBorder="1" applyAlignment="1" applyProtection="1">
      <alignment horizontal="center" vertical="center"/>
      <protection locked="0"/>
    </xf>
    <xf numFmtId="0" fontId="15" fillId="17" borderId="50" xfId="0" applyFont="1" applyFill="1" applyBorder="1" applyAlignment="1" applyProtection="1">
      <alignment horizontal="center"/>
      <protection locked="0"/>
    </xf>
    <xf numFmtId="0" fontId="15" fillId="17" borderId="50" xfId="0" applyFont="1" applyFill="1" applyBorder="1" applyAlignment="1" applyProtection="1">
      <alignment horizontal="center" wrapText="1"/>
      <protection locked="0"/>
    </xf>
    <xf numFmtId="0" fontId="43" fillId="17" borderId="50" xfId="0" applyFont="1" applyFill="1" applyBorder="1" applyAlignment="1" applyProtection="1">
      <alignment horizontal="center" vertical="center" wrapText="1"/>
      <protection locked="0"/>
    </xf>
    <xf numFmtId="0" fontId="31" fillId="17" borderId="50" xfId="0" applyFont="1" applyFill="1" applyBorder="1" applyAlignment="1" applyProtection="1">
      <alignment horizontal="left" vertical="top" wrapText="1"/>
      <protection locked="0"/>
    </xf>
    <xf numFmtId="0" fontId="39" fillId="16" borderId="50" xfId="0" applyFont="1" applyFill="1" applyBorder="1" applyAlignment="1" applyProtection="1">
      <alignment horizontal="left" vertical="top" wrapText="1"/>
      <protection locked="0"/>
    </xf>
    <xf numFmtId="0" fontId="39" fillId="17" borderId="50" xfId="0" applyFont="1" applyFill="1" applyBorder="1" applyAlignment="1" applyProtection="1">
      <alignment horizontal="left" vertical="top" wrapText="1"/>
      <protection locked="0"/>
    </xf>
    <xf numFmtId="0" fontId="15" fillId="17" borderId="50" xfId="0" applyFont="1" applyFill="1" applyBorder="1" applyProtection="1">
      <protection locked="0"/>
    </xf>
    <xf numFmtId="0" fontId="39" fillId="17" borderId="50" xfId="0" applyFont="1" applyFill="1" applyBorder="1" applyAlignment="1" applyProtection="1">
      <alignment wrapText="1"/>
      <protection locked="0"/>
    </xf>
    <xf numFmtId="0" fontId="15" fillId="16" borderId="50" xfId="0" applyFont="1" applyFill="1" applyBorder="1" applyProtection="1">
      <protection locked="0"/>
    </xf>
    <xf numFmtId="0" fontId="39" fillId="16" borderId="50" xfId="0" applyFont="1" applyFill="1" applyBorder="1" applyAlignment="1" applyProtection="1">
      <alignment wrapText="1"/>
      <protection locked="0"/>
    </xf>
    <xf numFmtId="0" fontId="15" fillId="17" borderId="49" xfId="0" applyFont="1" applyFill="1" applyBorder="1" applyAlignment="1" applyProtection="1">
      <alignment horizontal="center"/>
      <protection locked="0"/>
    </xf>
    <xf numFmtId="0" fontId="15" fillId="17" borderId="49" xfId="0" applyFont="1" applyFill="1" applyBorder="1" applyProtection="1">
      <protection locked="0"/>
    </xf>
    <xf numFmtId="164" fontId="16" fillId="19" borderId="49" xfId="0" applyNumberFormat="1" applyFont="1" applyFill="1" applyBorder="1" applyAlignment="1" applyProtection="1">
      <alignment horizontal="center" vertical="center"/>
      <protection locked="0"/>
    </xf>
    <xf numFmtId="0" fontId="15" fillId="17" borderId="49" xfId="0" applyFont="1" applyFill="1" applyBorder="1" applyAlignment="1" applyProtection="1">
      <alignment wrapText="1"/>
      <protection locked="0"/>
    </xf>
    <xf numFmtId="0" fontId="29" fillId="0" borderId="0" xfId="0" applyFont="1" applyProtection="1">
      <protection locked="0"/>
    </xf>
    <xf numFmtId="0" fontId="30" fillId="0" borderId="0" xfId="0" applyFont="1" applyAlignment="1" applyProtection="1">
      <alignment horizontal="center" vertical="center" wrapText="1"/>
      <protection locked="0"/>
    </xf>
    <xf numFmtId="0" fontId="32" fillId="0" borderId="0" xfId="0" applyFont="1" applyProtection="1">
      <protection locked="0"/>
    </xf>
    <xf numFmtId="0" fontId="30" fillId="0" borderId="0" xfId="0" applyFont="1" applyAlignment="1" applyProtection="1">
      <alignment horizontal="center"/>
      <protection locked="0"/>
    </xf>
    <xf numFmtId="0" fontId="5" fillId="0" borderId="0" xfId="0" applyFont="1" applyAlignment="1" applyProtection="1">
      <alignment horizontal="center"/>
      <protection locked="0"/>
    </xf>
    <xf numFmtId="0" fontId="0" fillId="0" borderId="0" xfId="0" applyProtection="1">
      <protection locked="0"/>
    </xf>
    <xf numFmtId="0" fontId="4" fillId="2" borderId="1" xfId="0" applyFont="1" applyFill="1" applyBorder="1" applyAlignment="1">
      <alignment horizontal="left"/>
    </xf>
    <xf numFmtId="0" fontId="3" fillId="0" borderId="3" xfId="0" applyFont="1" applyBorder="1"/>
    <xf numFmtId="0" fontId="3" fillId="0" borderId="2" xfId="0" applyFont="1" applyBorder="1"/>
    <xf numFmtId="0" fontId="24" fillId="0" borderId="50" xfId="0" applyFont="1" applyBorder="1" applyAlignment="1">
      <alignment horizontal="left" vertical="center" wrapText="1"/>
    </xf>
    <xf numFmtId="0" fontId="3" fillId="0" borderId="50" xfId="0" applyFont="1" applyBorder="1"/>
    <xf numFmtId="0" fontId="26" fillId="3" borderId="34" xfId="0" applyFont="1" applyFill="1" applyBorder="1" applyAlignment="1">
      <alignment horizontal="center" vertical="center" wrapText="1"/>
    </xf>
    <xf numFmtId="0" fontId="7" fillId="3" borderId="34" xfId="0" applyFont="1" applyFill="1" applyBorder="1" applyAlignment="1">
      <alignment horizontal="center" vertical="center" wrapText="1"/>
    </xf>
    <xf numFmtId="0" fontId="7" fillId="3" borderId="13" xfId="0" applyFont="1" applyFill="1" applyBorder="1" applyAlignment="1">
      <alignment horizontal="center" vertical="center" wrapText="1"/>
    </xf>
    <xf numFmtId="0" fontId="5" fillId="0" borderId="50" xfId="0" applyFont="1" applyBorder="1" applyAlignment="1">
      <alignment horizontal="left" vertical="top" wrapText="1"/>
    </xf>
    <xf numFmtId="0" fontId="24" fillId="0" borderId="50" xfId="0" applyFont="1" applyBorder="1" applyAlignment="1">
      <alignment horizontal="left" vertical="top" wrapText="1"/>
    </xf>
    <xf numFmtId="0" fontId="26" fillId="3" borderId="12" xfId="0" applyFont="1" applyFill="1" applyBorder="1" applyAlignment="1">
      <alignment horizontal="center" vertical="center"/>
    </xf>
    <xf numFmtId="0" fontId="26" fillId="3" borderId="34" xfId="0" applyFont="1" applyFill="1" applyBorder="1" applyAlignment="1">
      <alignment horizontal="center" vertical="center"/>
    </xf>
    <xf numFmtId="0" fontId="7" fillId="3" borderId="12" xfId="0" applyFont="1" applyFill="1" applyBorder="1" applyAlignment="1">
      <alignment horizontal="center" vertical="center"/>
    </xf>
    <xf numFmtId="0" fontId="3" fillId="0" borderId="13" xfId="0" applyFont="1" applyBorder="1"/>
    <xf numFmtId="0" fontId="2" fillId="2" borderId="1" xfId="0" applyFont="1" applyFill="1" applyBorder="1" applyAlignment="1">
      <alignment horizontal="left"/>
    </xf>
    <xf numFmtId="0" fontId="2" fillId="2" borderId="2" xfId="0" applyFont="1" applyFill="1" applyBorder="1" applyAlignment="1">
      <alignment horizontal="left"/>
    </xf>
    <xf numFmtId="0" fontId="8" fillId="0" borderId="1" xfId="0" applyFont="1" applyBorder="1" applyAlignment="1">
      <alignment horizontal="left" vertical="center" wrapText="1"/>
    </xf>
    <xf numFmtId="0" fontId="5" fillId="0" borderId="33" xfId="0" applyFont="1" applyBorder="1" applyAlignment="1">
      <alignment horizontal="center" vertical="center"/>
    </xf>
    <xf numFmtId="0" fontId="33" fillId="0" borderId="33" xfId="0" applyFont="1" applyBorder="1" applyAlignment="1">
      <alignment horizontal="left"/>
    </xf>
    <xf numFmtId="0" fontId="5" fillId="0" borderId="1" xfId="0" applyFont="1" applyBorder="1" applyAlignment="1">
      <alignment horizontal="left" vertical="center" wrapText="1"/>
    </xf>
    <xf numFmtId="0" fontId="5" fillId="0" borderId="0" xfId="0" applyFont="1"/>
    <xf numFmtId="0" fontId="0" fillId="0" borderId="0" xfId="0"/>
    <xf numFmtId="0" fontId="6" fillId="3" borderId="4" xfId="0" applyFont="1" applyFill="1" applyBorder="1" applyAlignment="1">
      <alignment horizontal="center" vertical="center" wrapText="1"/>
    </xf>
    <xf numFmtId="0" fontId="3" fillId="0" borderId="5" xfId="0" applyFont="1" applyBorder="1"/>
    <xf numFmtId="0" fontId="3" fillId="0" borderId="6" xfId="0" applyFont="1" applyBorder="1"/>
    <xf numFmtId="0" fontId="6" fillId="3" borderId="1" xfId="0" applyFont="1" applyFill="1" applyBorder="1" applyAlignment="1">
      <alignment horizontal="center" vertical="center" wrapText="1"/>
    </xf>
    <xf numFmtId="0" fontId="4" fillId="2" borderId="1" xfId="0" applyFont="1" applyFill="1" applyBorder="1"/>
    <xf numFmtId="0" fontId="35" fillId="3" borderId="53" xfId="0" applyFont="1" applyFill="1" applyBorder="1" applyAlignment="1">
      <alignment horizontal="center" vertical="center" wrapText="1"/>
    </xf>
    <xf numFmtId="0" fontId="35" fillId="3" borderId="52" xfId="0" applyFont="1" applyFill="1" applyBorder="1" applyAlignment="1">
      <alignment horizontal="center" vertical="center" wrapText="1"/>
    </xf>
    <xf numFmtId="0" fontId="50" fillId="22" borderId="8" xfId="0" applyFont="1" applyFill="1" applyBorder="1" applyAlignment="1">
      <alignment horizontal="left" vertical="center" wrapText="1"/>
    </xf>
    <xf numFmtId="0" fontId="1" fillId="0" borderId="0" xfId="0" applyFont="1"/>
    <xf numFmtId="0" fontId="12" fillId="5" borderId="50" xfId="0" applyFont="1" applyFill="1" applyBorder="1" applyAlignment="1">
      <alignment horizontal="center" vertical="center" wrapText="1"/>
    </xf>
    <xf numFmtId="0" fontId="34" fillId="0" borderId="50" xfId="0" applyFont="1" applyBorder="1"/>
    <xf numFmtId="0" fontId="35" fillId="3" borderId="25" xfId="0" applyFont="1" applyFill="1" applyBorder="1" applyAlignment="1">
      <alignment horizontal="center" vertical="center" wrapText="1"/>
    </xf>
    <xf numFmtId="0" fontId="34" fillId="0" borderId="14" xfId="0" applyFont="1" applyBorder="1" applyAlignment="1">
      <alignment horizontal="center"/>
    </xf>
    <xf numFmtId="0" fontId="50" fillId="22" borderId="50" xfId="0" applyFont="1" applyFill="1" applyBorder="1" applyAlignment="1">
      <alignment horizontal="left" vertical="center" wrapText="1"/>
    </xf>
    <xf numFmtId="0" fontId="1" fillId="0" borderId="50" xfId="0" applyFont="1" applyBorder="1"/>
    <xf numFmtId="0" fontId="14" fillId="5" borderId="50" xfId="0" applyFont="1" applyFill="1" applyBorder="1" applyAlignment="1">
      <alignment horizontal="center" vertical="center" wrapText="1"/>
    </xf>
    <xf numFmtId="0" fontId="35" fillId="3" borderId="50" xfId="0" applyFont="1" applyFill="1" applyBorder="1" applyAlignment="1">
      <alignment horizontal="center" vertical="center" wrapText="1"/>
    </xf>
    <xf numFmtId="0" fontId="34" fillId="0" borderId="50" xfId="0" applyFont="1" applyBorder="1" applyAlignment="1">
      <alignment horizontal="center"/>
    </xf>
    <xf numFmtId="0" fontId="35" fillId="3" borderId="51" xfId="0" applyFont="1" applyFill="1" applyBorder="1" applyAlignment="1">
      <alignment horizontal="center" vertical="center" wrapText="1"/>
    </xf>
    <xf numFmtId="0" fontId="5" fillId="0" borderId="18" xfId="0" applyFont="1" applyBorder="1" applyAlignment="1">
      <alignment horizontal="center" vertical="center" wrapText="1"/>
    </xf>
    <xf numFmtId="0" fontId="3" fillId="0" borderId="19" xfId="0" applyFont="1" applyBorder="1"/>
    <xf numFmtId="0" fontId="3" fillId="0" borderId="14" xfId="0" applyFont="1" applyBorder="1"/>
    <xf numFmtId="0" fontId="5" fillId="0" borderId="18" xfId="0" applyFont="1" applyBorder="1" applyAlignment="1">
      <alignment horizontal="center" vertical="center"/>
    </xf>
    <xf numFmtId="0" fontId="5" fillId="0" borderId="18" xfId="0" applyFont="1" applyBorder="1" applyAlignment="1">
      <alignment horizontal="left" vertical="center" wrapText="1"/>
    </xf>
    <xf numFmtId="0" fontId="5" fillId="0" borderId="13" xfId="0" applyFont="1" applyBorder="1" applyAlignment="1">
      <alignment horizontal="center" vertical="center" wrapText="1"/>
    </xf>
    <xf numFmtId="0" fontId="3" fillId="0" borderId="21" xfId="0" applyFont="1" applyBorder="1"/>
    <xf numFmtId="0" fontId="3" fillId="0" borderId="17" xfId="0" applyFont="1" applyBorder="1"/>
    <xf numFmtId="0" fontId="13" fillId="0" borderId="18" xfId="0" applyFont="1" applyBorder="1" applyAlignment="1">
      <alignment vertical="center" wrapText="1"/>
    </xf>
    <xf numFmtId="0" fontId="14" fillId="0" borderId="18" xfId="0" applyFont="1" applyBorder="1" applyAlignment="1">
      <alignment vertical="center" wrapText="1"/>
    </xf>
    <xf numFmtId="0" fontId="14" fillId="5" borderId="1" xfId="0" applyFont="1" applyFill="1" applyBorder="1" applyAlignment="1">
      <alignment horizontal="center" vertical="center" wrapText="1"/>
    </xf>
    <xf numFmtId="0" fontId="13" fillId="3" borderId="9" xfId="0" applyFont="1" applyFill="1" applyBorder="1" applyAlignment="1">
      <alignment horizontal="center" vertical="center" wrapText="1"/>
    </xf>
    <xf numFmtId="0" fontId="3" fillId="0" borderId="25" xfId="0" applyFont="1" applyBorder="1"/>
    <xf numFmtId="0" fontId="13" fillId="3" borderId="9" xfId="0" applyFont="1" applyFill="1" applyBorder="1" applyAlignment="1">
      <alignment vertical="center" wrapText="1"/>
    </xf>
    <xf numFmtId="0" fontId="10" fillId="0" borderId="18" xfId="0" applyFont="1" applyBorder="1" applyAlignment="1">
      <alignment vertical="center" wrapText="1"/>
    </xf>
    <xf numFmtId="0" fontId="13" fillId="0" borderId="18" xfId="0" applyFont="1" applyBorder="1" applyAlignment="1">
      <alignment horizontal="center" vertical="center" wrapText="1"/>
    </xf>
    <xf numFmtId="0" fontId="41" fillId="14" borderId="50" xfId="0" applyFont="1" applyFill="1" applyBorder="1" applyAlignment="1">
      <alignment horizontal="center" vertical="center" wrapText="1"/>
    </xf>
    <xf numFmtId="0" fontId="42" fillId="15" borderId="50" xfId="0" applyFont="1" applyFill="1" applyBorder="1"/>
    <xf numFmtId="0" fontId="22" fillId="19" borderId="49" xfId="0" applyFont="1" applyFill="1" applyBorder="1" applyAlignment="1" applyProtection="1">
      <alignment horizontal="center"/>
      <protection locked="0"/>
    </xf>
    <xf numFmtId="0" fontId="46" fillId="0" borderId="51" xfId="0" applyFont="1" applyBorder="1" applyAlignment="1">
      <alignment horizontal="center" vertical="center"/>
    </xf>
    <xf numFmtId="0" fontId="48" fillId="22" borderId="49" xfId="0" applyFont="1" applyFill="1" applyBorder="1" applyAlignment="1">
      <alignment horizontal="left" vertical="center" wrapText="1"/>
    </xf>
    <xf numFmtId="0" fontId="41" fillId="25" borderId="60" xfId="0" applyFont="1" applyFill="1" applyBorder="1" applyAlignment="1">
      <alignment horizontal="center"/>
    </xf>
    <xf numFmtId="0" fontId="41" fillId="25" borderId="50" xfId="0" applyFont="1" applyFill="1" applyBorder="1" applyAlignment="1">
      <alignment horizontal="center"/>
    </xf>
    <xf numFmtId="0" fontId="41" fillId="15" borderId="50" xfId="0" applyFont="1" applyFill="1" applyBorder="1" applyAlignment="1">
      <alignment horizontal="center" wrapText="1"/>
    </xf>
    <xf numFmtId="0" fontId="41" fillId="15" borderId="50" xfId="0" applyFont="1" applyFill="1" applyBorder="1" applyAlignment="1">
      <alignment horizontal="center"/>
    </xf>
    <xf numFmtId="0" fontId="41" fillId="14" borderId="62" xfId="0" applyFont="1" applyFill="1" applyBorder="1" applyAlignment="1">
      <alignment horizontal="center" vertical="center" wrapText="1"/>
    </xf>
    <xf numFmtId="0" fontId="41" fillId="14" borderId="63" xfId="0" applyFont="1" applyFill="1" applyBorder="1" applyAlignment="1">
      <alignment horizontal="center" vertical="center" wrapText="1"/>
    </xf>
    <xf numFmtId="0" fontId="41" fillId="14" borderId="64" xfId="0" applyFont="1" applyFill="1" applyBorder="1" applyAlignment="1">
      <alignment horizontal="center" vertical="center" wrapText="1"/>
    </xf>
    <xf numFmtId="0" fontId="41" fillId="14" borderId="57" xfId="0" applyFont="1" applyFill="1" applyBorder="1" applyAlignment="1">
      <alignment horizontal="center" vertical="center" wrapText="1"/>
    </xf>
    <xf numFmtId="0" fontId="5" fillId="3" borderId="1" xfId="0" applyFont="1" applyFill="1" applyBorder="1" applyAlignment="1">
      <alignment horizontal="left" vertical="center"/>
    </xf>
    <xf numFmtId="0" fontId="15" fillId="7" borderId="18" xfId="0" applyFont="1" applyFill="1" applyBorder="1" applyAlignment="1">
      <alignment horizontal="center" vertical="center"/>
    </xf>
    <xf numFmtId="0" fontId="16" fillId="7" borderId="18" xfId="0" applyFont="1" applyFill="1" applyBorder="1" applyAlignment="1">
      <alignment horizontal="center" vertical="center"/>
    </xf>
    <xf numFmtId="0" fontId="7" fillId="4" borderId="18" xfId="0" applyFont="1" applyFill="1" applyBorder="1" applyAlignment="1">
      <alignment horizontal="center" vertical="center" wrapText="1"/>
    </xf>
    <xf numFmtId="0" fontId="7" fillId="8" borderId="1" xfId="0" applyFont="1" applyFill="1" applyBorder="1" applyAlignment="1">
      <alignment horizontal="center"/>
    </xf>
    <xf numFmtId="0" fontId="3" fillId="0" borderId="33" xfId="0" applyFont="1" applyBorder="1"/>
    <xf numFmtId="0" fontId="6" fillId="3" borderId="18" xfId="0" applyFont="1" applyFill="1" applyBorder="1" applyAlignment="1">
      <alignment horizontal="center" vertical="center"/>
    </xf>
    <xf numFmtId="0" fontId="5" fillId="8" borderId="24" xfId="0" applyFont="1" applyFill="1" applyBorder="1" applyAlignment="1">
      <alignment horizontal="center" vertical="center"/>
    </xf>
    <xf numFmtId="0" fontId="3" fillId="0" borderId="27" xfId="0" applyFont="1" applyBorder="1"/>
    <xf numFmtId="0" fontId="3" fillId="0" borderId="20" xfId="0" applyFont="1" applyBorder="1"/>
    <xf numFmtId="0" fontId="3" fillId="0" borderId="28" xfId="0" applyFont="1" applyBorder="1"/>
    <xf numFmtId="0" fontId="3" fillId="0" borderId="29" xfId="0" applyFont="1" applyBorder="1"/>
    <xf numFmtId="0" fontId="3" fillId="0" borderId="30" xfId="0" applyFont="1" applyBorder="1"/>
    <xf numFmtId="0" fontId="7" fillId="2" borderId="1" xfId="0" applyFont="1" applyFill="1" applyBorder="1"/>
    <xf numFmtId="0" fontId="5" fillId="9" borderId="12" xfId="0" applyFont="1" applyFill="1" applyBorder="1" applyAlignment="1">
      <alignment horizontal="left" vertical="center" wrapText="1"/>
    </xf>
    <xf numFmtId="0" fontId="3" fillId="0" borderId="31" xfId="0" applyFont="1" applyBorder="1"/>
    <xf numFmtId="0" fontId="3" fillId="0" borderId="34" xfId="0" applyFont="1" applyBorder="1"/>
    <xf numFmtId="0" fontId="3" fillId="0" borderId="16" xfId="0" applyFont="1" applyBorder="1"/>
    <xf numFmtId="0" fontId="3" fillId="0" borderId="32" xfId="0" applyFont="1" applyBorder="1"/>
    <xf numFmtId="0" fontId="3" fillId="0" borderId="35" xfId="0" applyFont="1" applyBorder="1"/>
    <xf numFmtId="0" fontId="7" fillId="0" borderId="48" xfId="0" applyFont="1" applyBorder="1" applyAlignment="1">
      <alignment horizontal="center" vertical="center"/>
    </xf>
    <xf numFmtId="0" fontId="3" fillId="0" borderId="47" xfId="0" applyFont="1" applyBorder="1"/>
    <xf numFmtId="0" fontId="5" fillId="0" borderId="46" xfId="0" applyFont="1" applyBorder="1" applyAlignment="1">
      <alignment horizontal="center" wrapText="1"/>
    </xf>
    <xf numFmtId="0" fontId="3" fillId="0" borderId="46" xfId="0" applyFont="1" applyBorder="1"/>
    <xf numFmtId="0" fontId="7" fillId="0" borderId="44" xfId="0" applyFont="1" applyBorder="1" applyAlignment="1">
      <alignment horizontal="center" vertical="center"/>
    </xf>
    <xf numFmtId="0" fontId="3" fillId="0" borderId="45" xfId="0" applyFont="1" applyBorder="1"/>
    <xf numFmtId="0" fontId="7" fillId="0" borderId="39" xfId="0" applyFont="1" applyBorder="1" applyAlignment="1">
      <alignment horizontal="center" vertical="center"/>
    </xf>
    <xf numFmtId="0" fontId="3" fillId="0" borderId="40" xfId="0" applyFont="1" applyBorder="1"/>
    <xf numFmtId="0" fontId="5" fillId="0" borderId="41" xfId="0" applyFont="1" applyBorder="1" applyAlignment="1">
      <alignment horizontal="center" wrapText="1"/>
    </xf>
    <xf numFmtId="0" fontId="3" fillId="0" borderId="41" xfId="0" applyFont="1" applyBorder="1"/>
    <xf numFmtId="0" fontId="7" fillId="0" borderId="42" xfId="0" applyFont="1" applyBorder="1" applyAlignment="1">
      <alignment horizontal="center" vertical="center"/>
    </xf>
    <xf numFmtId="0" fontId="3" fillId="0" borderId="43" xfId="0" applyFont="1" applyBorder="1"/>
    <xf numFmtId="0" fontId="5" fillId="0" borderId="3" xfId="0" applyFont="1" applyBorder="1" applyAlignment="1">
      <alignment horizontal="center" wrapText="1"/>
    </xf>
    <xf numFmtId="0" fontId="5" fillId="0" borderId="3" xfId="0" applyFont="1" applyBorder="1" applyAlignment="1">
      <alignment horizontal="center" vertical="center" wrapText="1"/>
    </xf>
    <xf numFmtId="0" fontId="18" fillId="10" borderId="36" xfId="0" applyFont="1" applyFill="1" applyBorder="1" applyAlignment="1">
      <alignment horizontal="center" vertical="center"/>
    </xf>
    <xf numFmtId="0" fontId="3" fillId="0" borderId="37" xfId="0" applyFont="1" applyBorder="1"/>
    <xf numFmtId="0" fontId="3" fillId="0" borderId="38" xfId="0" applyFont="1" applyBorder="1"/>
    <xf numFmtId="0" fontId="7" fillId="11" borderId="4" xfId="0" applyFont="1" applyFill="1" applyBorder="1" applyAlignment="1">
      <alignment horizontal="center"/>
    </xf>
    <xf numFmtId="0" fontId="19" fillId="0" borderId="0" xfId="0" applyFont="1" applyAlignment="1">
      <alignment horizontal="center"/>
    </xf>
    <xf numFmtId="0" fontId="6" fillId="0" borderId="1" xfId="0" applyFont="1" applyBorder="1" applyAlignment="1">
      <alignment horizontal="center" wrapText="1"/>
    </xf>
    <xf numFmtId="0" fontId="6" fillId="0" borderId="1" xfId="0" applyFont="1" applyBorder="1" applyAlignment="1">
      <alignment horizontal="center" vertical="center" wrapText="1"/>
    </xf>
    <xf numFmtId="0" fontId="19" fillId="7" borderId="49" xfId="0" applyFont="1" applyFill="1" applyBorder="1" applyAlignment="1">
      <alignment horizontal="center"/>
    </xf>
    <xf numFmtId="0" fontId="3" fillId="0" borderId="22" xfId="0" applyFont="1" applyBorder="1"/>
    <xf numFmtId="0" fontId="3" fillId="0" borderId="23" xfId="0" applyFont="1" applyBorder="1"/>
    <xf numFmtId="0" fontId="6" fillId="7" borderId="1" xfId="0" applyFont="1" applyFill="1" applyBorder="1" applyAlignment="1">
      <alignment horizontal="center" vertical="center" wrapText="1"/>
    </xf>
    <xf numFmtId="0" fontId="5" fillId="7" borderId="18" xfId="0" applyFont="1" applyFill="1" applyBorder="1" applyAlignment="1">
      <alignment vertical="center" wrapText="1"/>
    </xf>
    <xf numFmtId="0" fontId="7" fillId="7" borderId="1" xfId="0" applyFont="1" applyFill="1" applyBorder="1" applyAlignment="1">
      <alignment horizontal="center" vertical="center" wrapText="1"/>
    </xf>
    <xf numFmtId="0" fontId="20" fillId="7" borderId="18" xfId="0" applyFont="1" applyFill="1" applyBorder="1" applyAlignment="1">
      <alignment vertical="center" wrapText="1"/>
    </xf>
    <xf numFmtId="0" fontId="20" fillId="7" borderId="1" xfId="0" applyFont="1" applyFill="1" applyBorder="1" applyAlignment="1">
      <alignment horizontal="center" vertical="center" wrapText="1"/>
    </xf>
    <xf numFmtId="0" fontId="7" fillId="7" borderId="18" xfId="0" applyFont="1" applyFill="1" applyBorder="1" applyAlignment="1">
      <alignment vertical="center" wrapText="1"/>
    </xf>
    <xf numFmtId="0" fontId="21" fillId="12" borderId="1" xfId="0" applyFont="1" applyFill="1" applyBorder="1" applyAlignment="1">
      <alignment horizontal="center"/>
    </xf>
    <xf numFmtId="0" fontId="21" fillId="12" borderId="1" xfId="0" applyFont="1" applyFill="1" applyBorder="1" applyAlignment="1">
      <alignment horizontal="center" vertical="center"/>
    </xf>
    <xf numFmtId="0" fontId="33" fillId="27" borderId="0" xfId="0" applyFont="1" applyFill="1" applyAlignment="1">
      <alignment horizontal="left"/>
    </xf>
    <xf numFmtId="15" fontId="33" fillId="27" borderId="0" xfId="0" applyNumberFormat="1" applyFont="1" applyFill="1" applyAlignment="1">
      <alignment horizontal="left"/>
    </xf>
    <xf numFmtId="0" fontId="33" fillId="27" borderId="65" xfId="0" applyFont="1" applyFill="1" applyBorder="1" applyAlignment="1">
      <alignment horizontal="left"/>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23"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21752_Rachi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51 Atten"/>
      <sheetName val="marks"/>
      <sheetName val="outcomes"/>
      <sheetName val="GradesOutcomes"/>
      <sheetName val="Lookups Tables"/>
      <sheetName val="Lookup Tables"/>
    </sheetNames>
    <sheetDataSet>
      <sheetData sheetId="0"/>
      <sheetData sheetId="1"/>
      <sheetData sheetId="2"/>
      <sheetData sheetId="3"/>
      <sheetData sheetId="4"/>
      <sheetData sheetId="5"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8"/>
  <sheetViews>
    <sheetView topLeftCell="A7" zoomScale="70" zoomScaleNormal="70" workbookViewId="0">
      <selection activeCell="E12" sqref="E12"/>
    </sheetView>
  </sheetViews>
  <sheetFormatPr defaultColWidth="14.41796875" defaultRowHeight="15" customHeight="1" x14ac:dyDescent="0.55000000000000004"/>
  <cols>
    <col min="1" max="1" width="8.68359375" customWidth="1"/>
    <col min="2" max="2" width="6.15625" customWidth="1"/>
    <col min="3" max="3" width="12.41796875" customWidth="1"/>
    <col min="4" max="4" width="8.68359375" customWidth="1"/>
    <col min="5" max="5" width="15.41796875" customWidth="1"/>
    <col min="6" max="6" width="33.41796875" customWidth="1"/>
    <col min="7" max="9" width="8.68359375" customWidth="1"/>
    <col min="10" max="10" width="30.26171875" customWidth="1"/>
    <col min="11" max="26" width="8.68359375" customWidth="1"/>
  </cols>
  <sheetData>
    <row r="1" spans="1:10" ht="14.25" customHeight="1" x14ac:dyDescent="0.55000000000000004">
      <c r="A1" s="139" t="s">
        <v>0</v>
      </c>
      <c r="B1" s="127"/>
      <c r="C1" s="151"/>
      <c r="D1" s="126"/>
      <c r="E1" s="127"/>
      <c r="F1" s="139" t="s">
        <v>291</v>
      </c>
      <c r="G1" s="140"/>
      <c r="H1" s="125"/>
      <c r="I1" s="126"/>
      <c r="J1" s="127"/>
    </row>
    <row r="2" spans="1:10" ht="14.25" customHeight="1" x14ac:dyDescent="0.55000000000000004">
      <c r="A2" s="139" t="s">
        <v>1</v>
      </c>
      <c r="B2" s="127"/>
      <c r="C2" s="125"/>
      <c r="D2" s="126"/>
      <c r="E2" s="127"/>
      <c r="F2" s="139" t="s">
        <v>292</v>
      </c>
      <c r="G2" s="140"/>
      <c r="H2" s="125"/>
      <c r="I2" s="126"/>
      <c r="J2" s="127"/>
    </row>
    <row r="3" spans="1:10" ht="14.25" customHeight="1" x14ac:dyDescent="0.55000000000000004">
      <c r="B3" s="145"/>
      <c r="C3" s="146"/>
      <c r="D3" s="146"/>
      <c r="E3" s="146"/>
    </row>
    <row r="4" spans="1:10" ht="28.5" customHeight="1" x14ac:dyDescent="0.55000000000000004">
      <c r="A4" s="147" t="s">
        <v>2</v>
      </c>
      <c r="B4" s="148"/>
      <c r="C4" s="148"/>
      <c r="D4" s="148"/>
      <c r="E4" s="149"/>
      <c r="F4" s="150" t="s">
        <v>3</v>
      </c>
      <c r="G4" s="126"/>
      <c r="H4" s="126"/>
      <c r="I4" s="127"/>
      <c r="J4" s="2" t="s">
        <v>210</v>
      </c>
    </row>
    <row r="5" spans="1:10" ht="106.5" customHeight="1" x14ac:dyDescent="0.55000000000000004">
      <c r="A5" s="3" t="s">
        <v>4</v>
      </c>
      <c r="B5" s="144" t="str">
        <f>VLOOKUP(A5,'Lookup Tables'!$L$1:$M$7,2,FALSE)</f>
        <v>An ability to apply engineering design to produce solutions that meet specified needs with consideration of public health, safety, and welfare, as well as global, cultural, social, environmental, and economic factors.</v>
      </c>
      <c r="C5" s="126"/>
      <c r="D5" s="126"/>
      <c r="E5" s="127"/>
      <c r="F5" s="141" t="s">
        <v>5</v>
      </c>
      <c r="G5" s="126"/>
      <c r="H5" s="126"/>
      <c r="I5" s="127"/>
      <c r="J5" s="76" t="s">
        <v>287</v>
      </c>
    </row>
    <row r="6" spans="1:10" ht="106.5" hidden="1" customHeight="1" x14ac:dyDescent="0.55000000000000004">
      <c r="A6" s="3" t="s">
        <v>6</v>
      </c>
      <c r="B6" s="144" t="str">
        <f>VLOOKUP(A6,'Lookup Tables'!$L$1:$M$7,2,FALSE)</f>
        <v>An ability to recognize ethical and professional responsibilities in engineering situations and make informed judgments, which must consider the impact of engineering solutions in global, economic, environmental, and societal contexts.</v>
      </c>
      <c r="C6" s="126"/>
      <c r="D6" s="126"/>
      <c r="E6" s="127"/>
      <c r="F6" s="141" t="s">
        <v>7</v>
      </c>
      <c r="G6" s="126"/>
      <c r="H6" s="126"/>
      <c r="I6" s="127"/>
      <c r="J6" s="4" t="s">
        <v>8</v>
      </c>
    </row>
    <row r="7" spans="1:10" ht="14.1" customHeight="1" x14ac:dyDescent="0.55000000000000004">
      <c r="A7" s="142"/>
      <c r="B7" s="142"/>
      <c r="C7" s="142"/>
      <c r="D7" s="142"/>
      <c r="E7" s="142"/>
      <c r="F7" s="142"/>
      <c r="G7" s="142"/>
      <c r="H7" s="142"/>
      <c r="I7" s="142"/>
      <c r="J7" s="142"/>
    </row>
    <row r="8" spans="1:10" ht="23.25" customHeight="1" x14ac:dyDescent="0.55000000000000004">
      <c r="A8" s="143" t="s">
        <v>212</v>
      </c>
      <c r="B8" s="143"/>
      <c r="C8" s="143"/>
      <c r="D8" s="143"/>
      <c r="E8" s="143"/>
      <c r="F8" s="143"/>
      <c r="G8" s="143"/>
      <c r="H8" s="143"/>
      <c r="I8" s="143"/>
      <c r="J8" s="143"/>
    </row>
    <row r="9" spans="1:10" ht="35.25" customHeight="1" x14ac:dyDescent="0.55000000000000004">
      <c r="A9" s="137" t="s">
        <v>9</v>
      </c>
      <c r="B9" s="138"/>
      <c r="C9" s="135" t="s">
        <v>211</v>
      </c>
      <c r="D9" s="136"/>
      <c r="E9" s="136"/>
      <c r="F9" s="130" t="s">
        <v>213</v>
      </c>
      <c r="G9" s="131"/>
      <c r="H9" s="131"/>
      <c r="I9" s="131"/>
      <c r="J9" s="132"/>
    </row>
    <row r="10" spans="1:10" ht="409.5" customHeight="1" x14ac:dyDescent="0.55000000000000004">
      <c r="A10" s="128" t="s">
        <v>286</v>
      </c>
      <c r="B10" s="129"/>
      <c r="C10" s="133" t="s">
        <v>293</v>
      </c>
      <c r="D10" s="134"/>
      <c r="E10" s="134"/>
      <c r="F10" s="133" t="s">
        <v>290</v>
      </c>
      <c r="G10" s="134"/>
      <c r="H10" s="134"/>
      <c r="I10" s="134"/>
      <c r="J10" s="134"/>
    </row>
    <row r="11" spans="1:10" ht="14.25" customHeight="1" x14ac:dyDescent="0.55000000000000004">
      <c r="A11" s="249" t="s">
        <v>310</v>
      </c>
      <c r="B11" s="249"/>
      <c r="C11" s="247">
        <v>2</v>
      </c>
    </row>
    <row r="12" spans="1:10" ht="14.25" customHeight="1" x14ac:dyDescent="0.55000000000000004">
      <c r="A12" s="247" t="s">
        <v>311</v>
      </c>
      <c r="B12" s="247"/>
      <c r="C12" s="248">
        <v>47024</v>
      </c>
    </row>
    <row r="13" spans="1:10" ht="14.25" customHeight="1" x14ac:dyDescent="0.55000000000000004">
      <c r="A13" s="250"/>
      <c r="B13" s="250"/>
    </row>
    <row r="14" spans="1:10" ht="14.25" customHeight="1" x14ac:dyDescent="0.55000000000000004"/>
    <row r="15" spans="1:10" ht="14.25" customHeight="1" x14ac:dyDescent="0.55000000000000004"/>
    <row r="16" spans="1:10" ht="14.25" customHeight="1" x14ac:dyDescent="0.55000000000000004"/>
    <row r="17" ht="14.25" customHeight="1" x14ac:dyDescent="0.55000000000000004"/>
    <row r="18" ht="14.25" customHeight="1" x14ac:dyDescent="0.55000000000000004"/>
    <row r="19" ht="14.25" customHeight="1" x14ac:dyDescent="0.55000000000000004"/>
    <row r="20" ht="14.25" customHeight="1" x14ac:dyDescent="0.55000000000000004"/>
    <row r="21" ht="14.25" customHeight="1" x14ac:dyDescent="0.55000000000000004"/>
    <row r="22" ht="14.25" customHeight="1" x14ac:dyDescent="0.55000000000000004"/>
    <row r="23" ht="14.25" customHeight="1" x14ac:dyDescent="0.55000000000000004"/>
    <row r="24" ht="14.25" customHeight="1" x14ac:dyDescent="0.55000000000000004"/>
    <row r="25" ht="14.25" customHeight="1" x14ac:dyDescent="0.55000000000000004"/>
    <row r="26" ht="14.25" customHeight="1" x14ac:dyDescent="0.55000000000000004"/>
    <row r="27" ht="14.25" customHeight="1" x14ac:dyDescent="0.55000000000000004"/>
    <row r="28" ht="14.25" customHeight="1" x14ac:dyDescent="0.55000000000000004"/>
    <row r="29" ht="14.25" customHeight="1" x14ac:dyDescent="0.55000000000000004"/>
    <row r="30" ht="14.25" customHeight="1" x14ac:dyDescent="0.55000000000000004"/>
    <row r="31" ht="14.25" customHeight="1" x14ac:dyDescent="0.55000000000000004"/>
    <row r="32"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sheetData>
  <mergeCells count="24">
    <mergeCell ref="A11:B11"/>
    <mergeCell ref="F1:G1"/>
    <mergeCell ref="H1:J1"/>
    <mergeCell ref="F6:I6"/>
    <mergeCell ref="A7:J7"/>
    <mergeCell ref="A8:J8"/>
    <mergeCell ref="F2:G2"/>
    <mergeCell ref="B6:E6"/>
    <mergeCell ref="H2:J2"/>
    <mergeCell ref="B3:E3"/>
    <mergeCell ref="A4:E4"/>
    <mergeCell ref="F4:I4"/>
    <mergeCell ref="B5:E5"/>
    <mergeCell ref="F5:I5"/>
    <mergeCell ref="A1:B1"/>
    <mergeCell ref="C1:E1"/>
    <mergeCell ref="A2:B2"/>
    <mergeCell ref="C2:E2"/>
    <mergeCell ref="A10:B10"/>
    <mergeCell ref="F9:J9"/>
    <mergeCell ref="F10:J10"/>
    <mergeCell ref="C9:E9"/>
    <mergeCell ref="C10:E10"/>
    <mergeCell ref="A9:B9"/>
  </mergeCells>
  <pageMargins left="0.7" right="0.7" top="0.75" bottom="0.75" header="0" footer="0"/>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ErrorMessage="1" xr:uid="{00000000-0002-0000-0000-000001000000}">
          <x14:formula1>
            <xm:f>'Lookup Tables'!$L$1:$L$7</xm:f>
          </x14:formula1>
          <xm:sqref>A5:A6</xm:sqref>
        </x14:dataValidation>
        <x14:dataValidation type="list" allowBlank="1" showErrorMessage="1" xr:uid="{00000000-0002-0000-0000-000002000000}">
          <x14:formula1>
            <xm:f>'Lookup Tables'!$L$1:$L$8</xm:f>
          </x14:formula1>
          <xm:sqref>A7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4D675-7947-41FC-B46C-71BC1B1BC4DF}">
  <sheetPr>
    <pageSetUpPr fitToPage="1"/>
  </sheetPr>
  <dimension ref="A1:F970"/>
  <sheetViews>
    <sheetView zoomScale="78" zoomScaleNormal="78" zoomScaleSheetLayoutView="50" workbookViewId="0">
      <selection sqref="A1:F1"/>
    </sheetView>
  </sheetViews>
  <sheetFormatPr defaultColWidth="14.41796875" defaultRowHeight="15" customHeight="1" x14ac:dyDescent="0.55000000000000004"/>
  <cols>
    <col min="1" max="1" width="13.83984375" customWidth="1"/>
    <col min="2" max="2" width="34.83984375" customWidth="1"/>
    <col min="3" max="3" width="33.15625" customWidth="1"/>
    <col min="4" max="4" width="38.83984375" customWidth="1"/>
    <col min="5" max="5" width="35.83984375" customWidth="1"/>
    <col min="6" max="6" width="84.26171875" customWidth="1"/>
  </cols>
  <sheetData>
    <row r="1" spans="1:6" ht="30.75" customHeight="1" x14ac:dyDescent="0.55000000000000004">
      <c r="A1" s="156" t="s">
        <v>309</v>
      </c>
      <c r="B1" s="156"/>
      <c r="C1" s="156"/>
      <c r="D1" s="156"/>
      <c r="E1" s="156"/>
      <c r="F1" s="156"/>
    </row>
    <row r="2" spans="1:6" ht="27" customHeight="1" x14ac:dyDescent="0.55000000000000004">
      <c r="A2" s="153" t="s">
        <v>12</v>
      </c>
      <c r="B2" s="152" t="s">
        <v>221</v>
      </c>
      <c r="C2" s="152" t="s">
        <v>218</v>
      </c>
      <c r="D2" s="152" t="s">
        <v>220</v>
      </c>
      <c r="E2" s="152" t="s">
        <v>219</v>
      </c>
      <c r="F2" s="158" t="s">
        <v>17</v>
      </c>
    </row>
    <row r="3" spans="1:6" ht="14.25" customHeight="1" x14ac:dyDescent="0.55000000000000004">
      <c r="A3" s="157"/>
      <c r="B3" s="153"/>
      <c r="C3" s="153"/>
      <c r="D3" s="153"/>
      <c r="E3" s="153"/>
      <c r="F3" s="159"/>
    </row>
    <row r="4" spans="1:6" ht="85.9" customHeight="1" x14ac:dyDescent="0.55000000000000004">
      <c r="A4" s="74" t="s">
        <v>240</v>
      </c>
      <c r="B4" s="74" t="s">
        <v>241</v>
      </c>
      <c r="C4" s="74" t="s">
        <v>242</v>
      </c>
      <c r="D4" s="74" t="s">
        <v>243</v>
      </c>
      <c r="E4" s="74" t="s">
        <v>244</v>
      </c>
      <c r="F4" s="74" t="s">
        <v>276</v>
      </c>
    </row>
    <row r="5" spans="1:6" ht="91.15" customHeight="1" x14ac:dyDescent="0.55000000000000004">
      <c r="A5" s="75" t="s">
        <v>245</v>
      </c>
      <c r="B5" s="75" t="s">
        <v>246</v>
      </c>
      <c r="C5" s="75" t="s">
        <v>247</v>
      </c>
      <c r="D5" s="75" t="s">
        <v>248</v>
      </c>
      <c r="E5" s="75" t="s">
        <v>249</v>
      </c>
      <c r="F5" s="75" t="s">
        <v>277</v>
      </c>
    </row>
    <row r="6" spans="1:6" ht="91.9" customHeight="1" x14ac:dyDescent="0.55000000000000004">
      <c r="A6" s="74" t="s">
        <v>23</v>
      </c>
      <c r="B6" s="74" t="s">
        <v>250</v>
      </c>
      <c r="C6" s="74" t="s">
        <v>251</v>
      </c>
      <c r="D6" s="74" t="s">
        <v>252</v>
      </c>
      <c r="E6" s="74" t="s">
        <v>253</v>
      </c>
      <c r="F6" s="74" t="s">
        <v>281</v>
      </c>
    </row>
    <row r="7" spans="1:6" ht="95.5" customHeight="1" x14ac:dyDescent="0.55000000000000004">
      <c r="A7" s="75" t="s">
        <v>254</v>
      </c>
      <c r="B7" s="75" t="s">
        <v>255</v>
      </c>
      <c r="C7" s="75" t="s">
        <v>256</v>
      </c>
      <c r="D7" s="75" t="s">
        <v>257</v>
      </c>
      <c r="E7" s="75" t="s">
        <v>258</v>
      </c>
      <c r="F7" s="75" t="s">
        <v>275</v>
      </c>
    </row>
    <row r="8" spans="1:6" ht="84" customHeight="1" x14ac:dyDescent="0.55000000000000004">
      <c r="A8" s="74" t="s">
        <v>24</v>
      </c>
      <c r="B8" s="74" t="s">
        <v>259</v>
      </c>
      <c r="C8" s="74" t="s">
        <v>260</v>
      </c>
      <c r="D8" s="74" t="s">
        <v>261</v>
      </c>
      <c r="E8" s="74" t="s">
        <v>262</v>
      </c>
      <c r="F8" s="74" t="s">
        <v>278</v>
      </c>
    </row>
    <row r="9" spans="1:6" ht="82.8" x14ac:dyDescent="0.55000000000000004">
      <c r="A9" s="75" t="s">
        <v>25</v>
      </c>
      <c r="B9" s="75" t="s">
        <v>263</v>
      </c>
      <c r="C9" s="75" t="s">
        <v>264</v>
      </c>
      <c r="D9" s="75" t="s">
        <v>265</v>
      </c>
      <c r="E9" s="75" t="s">
        <v>266</v>
      </c>
      <c r="F9" s="75" t="s">
        <v>279</v>
      </c>
    </row>
    <row r="10" spans="1:6" ht="88.5" customHeight="1" x14ac:dyDescent="0.55000000000000004">
      <c r="A10" s="74" t="s">
        <v>26</v>
      </c>
      <c r="B10" s="74" t="s">
        <v>267</v>
      </c>
      <c r="C10" s="74" t="s">
        <v>268</v>
      </c>
      <c r="D10" s="74" t="s">
        <v>269</v>
      </c>
      <c r="E10" s="74" t="s">
        <v>270</v>
      </c>
      <c r="F10" s="74" t="s">
        <v>282</v>
      </c>
    </row>
    <row r="11" spans="1:6" ht="82.9" customHeight="1" x14ac:dyDescent="0.55000000000000004">
      <c r="A11" s="75" t="s">
        <v>27</v>
      </c>
      <c r="B11" s="75" t="s">
        <v>271</v>
      </c>
      <c r="C11" s="75" t="s">
        <v>272</v>
      </c>
      <c r="D11" s="75" t="s">
        <v>273</v>
      </c>
      <c r="E11" s="75" t="s">
        <v>274</v>
      </c>
      <c r="F11" s="75" t="s">
        <v>280</v>
      </c>
    </row>
    <row r="12" spans="1:6" ht="50.7" customHeight="1" x14ac:dyDescent="0.55000000000000004">
      <c r="A12" s="154" t="s">
        <v>294</v>
      </c>
      <c r="B12" s="155"/>
      <c r="C12" s="155"/>
      <c r="D12" s="155"/>
      <c r="E12" s="155"/>
      <c r="F12" s="155"/>
    </row>
    <row r="13" spans="1:6" ht="14.25" customHeight="1" x14ac:dyDescent="0.55000000000000004"/>
    <row r="14" spans="1:6" ht="14.25" customHeight="1" x14ac:dyDescent="0.55000000000000004"/>
    <row r="15" spans="1:6" ht="14.25" customHeight="1" x14ac:dyDescent="0.55000000000000004"/>
    <row r="16" spans="1:6" ht="14.25" customHeight="1" x14ac:dyDescent="0.55000000000000004"/>
    <row r="17" ht="14.25" customHeight="1" x14ac:dyDescent="0.55000000000000004"/>
    <row r="18" ht="14.25" customHeight="1" x14ac:dyDescent="0.55000000000000004"/>
    <row r="19" ht="14.25" customHeight="1" x14ac:dyDescent="0.55000000000000004"/>
    <row r="20" ht="14.25" customHeight="1" x14ac:dyDescent="0.55000000000000004"/>
    <row r="21" ht="14.25" customHeight="1" x14ac:dyDescent="0.55000000000000004"/>
    <row r="22" ht="14.25" customHeight="1" x14ac:dyDescent="0.55000000000000004"/>
    <row r="23" ht="14.25" customHeight="1" x14ac:dyDescent="0.55000000000000004"/>
    <row r="24" ht="14.25" customHeight="1" x14ac:dyDescent="0.55000000000000004"/>
    <row r="25" ht="14.25" customHeight="1" x14ac:dyDescent="0.55000000000000004"/>
    <row r="26" ht="14.25" customHeight="1" x14ac:dyDescent="0.55000000000000004"/>
    <row r="27" ht="14.25" customHeight="1" x14ac:dyDescent="0.55000000000000004"/>
    <row r="28" ht="14.25" customHeight="1" x14ac:dyDescent="0.55000000000000004"/>
    <row r="29" ht="14.25" customHeight="1" x14ac:dyDescent="0.55000000000000004"/>
    <row r="30" ht="14.25" customHeight="1" x14ac:dyDescent="0.55000000000000004"/>
    <row r="31" ht="14.25" customHeight="1" x14ac:dyDescent="0.55000000000000004"/>
    <row r="32"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sheetData>
  <mergeCells count="8">
    <mergeCell ref="C2:C3"/>
    <mergeCell ref="D2:D3"/>
    <mergeCell ref="E2:E3"/>
    <mergeCell ref="A12:F12"/>
    <mergeCell ref="A1:F1"/>
    <mergeCell ref="A2:A3"/>
    <mergeCell ref="F2:F3"/>
    <mergeCell ref="B2:B3"/>
  </mergeCells>
  <pageMargins left="0.7" right="0.7" top="0.75" bottom="0.75" header="0" footer="0"/>
  <pageSetup scale="5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994"/>
  <sheetViews>
    <sheetView zoomScale="85" zoomScaleNormal="85" zoomScaleSheetLayoutView="94" workbookViewId="0">
      <selection activeCell="C9" sqref="C9"/>
    </sheetView>
  </sheetViews>
  <sheetFormatPr defaultColWidth="14.41796875" defaultRowHeight="15" customHeight="1" x14ac:dyDescent="0.55000000000000004"/>
  <cols>
    <col min="1" max="1" width="20.15625" customWidth="1"/>
    <col min="2" max="2" width="26.83984375" customWidth="1"/>
    <col min="3" max="3" width="24" customWidth="1"/>
    <col min="4" max="4" width="28.41796875" customWidth="1"/>
    <col min="5" max="5" width="25.68359375" customWidth="1"/>
    <col min="6" max="6" width="43.578125" customWidth="1"/>
    <col min="7" max="23" width="9.15625" customWidth="1"/>
  </cols>
  <sheetData>
    <row r="1" spans="1:6" ht="27" customHeight="1" x14ac:dyDescent="0.55000000000000004">
      <c r="A1" s="162" t="s">
        <v>289</v>
      </c>
      <c r="B1" s="129"/>
      <c r="C1" s="129"/>
      <c r="D1" s="129"/>
      <c r="E1" s="129"/>
      <c r="F1" s="129"/>
    </row>
    <row r="2" spans="1:6" ht="27" customHeight="1" x14ac:dyDescent="0.55000000000000004">
      <c r="A2" s="163" t="s">
        <v>12</v>
      </c>
      <c r="B2" s="165" t="s">
        <v>221</v>
      </c>
      <c r="C2" s="165" t="s">
        <v>218</v>
      </c>
      <c r="D2" s="165" t="s">
        <v>220</v>
      </c>
      <c r="E2" s="165" t="s">
        <v>219</v>
      </c>
      <c r="F2" s="163" t="s">
        <v>17</v>
      </c>
    </row>
    <row r="3" spans="1:6" ht="14.25" customHeight="1" x14ac:dyDescent="0.55000000000000004">
      <c r="A3" s="157"/>
      <c r="B3" s="153"/>
      <c r="C3" s="153"/>
      <c r="D3" s="153"/>
      <c r="E3" s="153"/>
      <c r="F3" s="164"/>
    </row>
    <row r="4" spans="1:6" ht="129.6" x14ac:dyDescent="0.55000000000000004">
      <c r="A4" s="69" t="s">
        <v>237</v>
      </c>
      <c r="B4" s="73" t="s">
        <v>232</v>
      </c>
      <c r="C4" s="73" t="s">
        <v>233</v>
      </c>
      <c r="D4" s="73" t="s">
        <v>234</v>
      </c>
      <c r="E4" s="73" t="s">
        <v>235</v>
      </c>
      <c r="F4" s="71" t="s">
        <v>236</v>
      </c>
    </row>
    <row r="5" spans="1:6" ht="115.2" x14ac:dyDescent="0.55000000000000004">
      <c r="A5" s="69" t="s">
        <v>238</v>
      </c>
      <c r="B5" s="70" t="s">
        <v>225</v>
      </c>
      <c r="C5" s="70" t="s">
        <v>222</v>
      </c>
      <c r="D5" s="70" t="s">
        <v>223</v>
      </c>
      <c r="E5" s="70" t="s">
        <v>224</v>
      </c>
      <c r="F5" s="71" t="s">
        <v>230</v>
      </c>
    </row>
    <row r="6" spans="1:6" ht="121" customHeight="1" x14ac:dyDescent="0.55000000000000004">
      <c r="A6" s="69" t="s">
        <v>239</v>
      </c>
      <c r="B6" s="72" t="s">
        <v>226</v>
      </c>
      <c r="C6" s="72" t="s">
        <v>227</v>
      </c>
      <c r="D6" s="72" t="s">
        <v>229</v>
      </c>
      <c r="E6" s="72" t="s">
        <v>228</v>
      </c>
      <c r="F6" s="71" t="s">
        <v>231</v>
      </c>
    </row>
    <row r="7" spans="1:6" ht="66" customHeight="1" x14ac:dyDescent="0.55000000000000004">
      <c r="A7" s="160" t="s">
        <v>305</v>
      </c>
      <c r="B7" s="161"/>
      <c r="C7" s="161"/>
      <c r="D7" s="161"/>
      <c r="E7" s="161"/>
      <c r="F7" s="161"/>
    </row>
    <row r="8" spans="1:6" ht="14.25" customHeight="1" x14ac:dyDescent="0.55000000000000004"/>
    <row r="9" spans="1:6" ht="14.25" customHeight="1" x14ac:dyDescent="0.55000000000000004"/>
    <row r="10" spans="1:6" ht="14.25" customHeight="1" x14ac:dyDescent="0.55000000000000004"/>
    <row r="11" spans="1:6" ht="14.25" customHeight="1" x14ac:dyDescent="0.55000000000000004"/>
    <row r="12" spans="1:6" ht="14.25" customHeight="1" x14ac:dyDescent="0.55000000000000004"/>
    <row r="13" spans="1:6" ht="14.25" customHeight="1" x14ac:dyDescent="0.55000000000000004"/>
    <row r="14" spans="1:6" ht="14.25" customHeight="1" x14ac:dyDescent="0.55000000000000004"/>
    <row r="15" spans="1:6" ht="14.25" customHeight="1" x14ac:dyDescent="0.55000000000000004"/>
    <row r="16" spans="1:6" ht="14.25" customHeight="1" x14ac:dyDescent="0.55000000000000004"/>
    <row r="17" ht="14.25" customHeight="1" x14ac:dyDescent="0.55000000000000004"/>
    <row r="18" ht="14.25" customHeight="1" x14ac:dyDescent="0.55000000000000004"/>
    <row r="19" ht="14.25" customHeight="1" x14ac:dyDescent="0.55000000000000004"/>
    <row r="20" ht="14.25" customHeight="1" x14ac:dyDescent="0.55000000000000004"/>
    <row r="21" ht="14.25" customHeight="1" x14ac:dyDescent="0.55000000000000004"/>
    <row r="22" ht="14.25" customHeight="1" x14ac:dyDescent="0.55000000000000004"/>
    <row r="23" ht="14.25" customHeight="1" x14ac:dyDescent="0.55000000000000004"/>
    <row r="24" ht="14.25" customHeight="1" x14ac:dyDescent="0.55000000000000004"/>
    <row r="25" ht="14.25" customHeight="1" x14ac:dyDescent="0.55000000000000004"/>
    <row r="26" ht="14.25" customHeight="1" x14ac:dyDescent="0.55000000000000004"/>
    <row r="27" ht="14.25" customHeight="1" x14ac:dyDescent="0.55000000000000004"/>
    <row r="28" ht="14.25" customHeight="1" x14ac:dyDescent="0.55000000000000004"/>
    <row r="29" ht="14.25" customHeight="1" x14ac:dyDescent="0.55000000000000004"/>
    <row r="30" ht="14.25" customHeight="1" x14ac:dyDescent="0.55000000000000004"/>
    <row r="31" ht="14.25" customHeight="1" x14ac:dyDescent="0.55000000000000004"/>
    <row r="32"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sheetData>
  <mergeCells count="8">
    <mergeCell ref="A7:F7"/>
    <mergeCell ref="A1:F1"/>
    <mergeCell ref="A2:A3"/>
    <mergeCell ref="F2:F3"/>
    <mergeCell ref="B2:B3"/>
    <mergeCell ref="C2:C3"/>
    <mergeCell ref="D2:D3"/>
    <mergeCell ref="E2:E3"/>
  </mergeCells>
  <pageMargins left="0.7" right="0.7" top="0.75" bottom="0.75" header="0" footer="0"/>
  <pageSetup scale="72"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H1000"/>
  <sheetViews>
    <sheetView workbookViewId="0"/>
  </sheetViews>
  <sheetFormatPr defaultColWidth="14.41796875" defaultRowHeight="15" customHeight="1" x14ac:dyDescent="0.55000000000000004"/>
  <cols>
    <col min="1" max="1" width="15.83984375" customWidth="1"/>
    <col min="2" max="3" width="24" customWidth="1"/>
    <col min="4" max="4" width="28.41796875" customWidth="1"/>
    <col min="5" max="5" width="25.68359375" customWidth="1"/>
    <col min="6" max="6" width="29.41796875" customWidth="1"/>
    <col min="7" max="7" width="30.41796875" customWidth="1"/>
    <col min="8" max="8" width="6.41796875" customWidth="1"/>
    <col min="9" max="9" width="31" customWidth="1"/>
    <col min="10" max="10" width="6.68359375" customWidth="1"/>
    <col min="11" max="11" width="28.26171875" customWidth="1"/>
    <col min="12" max="12" width="7.578125" customWidth="1"/>
    <col min="13" max="13" width="27.83984375" customWidth="1"/>
    <col min="14" max="14" width="6.41796875" customWidth="1"/>
    <col min="15" max="15" width="27.83984375" customWidth="1"/>
    <col min="16" max="16" width="7.41796875" customWidth="1"/>
    <col min="17" max="17" width="25.15625" customWidth="1"/>
    <col min="18" max="18" width="7" customWidth="1"/>
    <col min="19" max="19" width="23" customWidth="1"/>
    <col min="20" max="20" width="7" customWidth="1"/>
    <col min="21" max="21" width="23.15625" customWidth="1"/>
    <col min="22" max="22" width="7.15625" customWidth="1"/>
    <col min="23" max="23" width="24" customWidth="1"/>
    <col min="24" max="24" width="7.41796875" customWidth="1"/>
    <col min="25" max="25" width="25.83984375" customWidth="1"/>
    <col min="26" max="26" width="7.578125" customWidth="1"/>
    <col min="27" max="27" width="27.83984375" customWidth="1"/>
    <col min="28" max="28" width="7.41796875" customWidth="1"/>
    <col min="29" max="29" width="25.15625" customWidth="1"/>
    <col min="30" max="30" width="7" customWidth="1"/>
    <col min="31" max="31" width="23" customWidth="1"/>
    <col min="32" max="32" width="7" customWidth="1"/>
    <col min="33" max="33" width="23.15625" customWidth="1"/>
    <col min="34" max="34" width="7.15625" customWidth="1"/>
  </cols>
  <sheetData>
    <row r="1" spans="1:34" ht="28.5" customHeight="1" x14ac:dyDescent="0.55000000000000004">
      <c r="A1" s="176" t="s">
        <v>29</v>
      </c>
      <c r="B1" s="126"/>
      <c r="C1" s="126"/>
      <c r="D1" s="126"/>
      <c r="E1" s="126"/>
      <c r="F1" s="127"/>
      <c r="G1" s="1"/>
      <c r="H1" s="1"/>
    </row>
    <row r="2" spans="1:34" ht="27" customHeight="1" x14ac:dyDescent="0.55000000000000004">
      <c r="A2" s="177" t="s">
        <v>12</v>
      </c>
      <c r="B2" s="7" t="s">
        <v>13</v>
      </c>
      <c r="C2" s="7" t="s">
        <v>14</v>
      </c>
      <c r="D2" s="7" t="s">
        <v>15</v>
      </c>
      <c r="E2" s="7" t="s">
        <v>16</v>
      </c>
      <c r="F2" s="179" t="s">
        <v>17</v>
      </c>
      <c r="G2" s="8" t="e">
        <f>"ID# " &amp;#REF!</f>
        <v>#REF!</v>
      </c>
      <c r="H2" s="8"/>
      <c r="I2" s="9" t="e">
        <f>"ID# " &amp;#REF!</f>
        <v>#REF!</v>
      </c>
      <c r="J2" s="9"/>
      <c r="K2" s="8" t="e">
        <f>"ID# " &amp;#REF!</f>
        <v>#REF!</v>
      </c>
      <c r="L2" s="8"/>
      <c r="M2" s="9" t="e">
        <f>"ID# " &amp;#REF!</f>
        <v>#REF!</v>
      </c>
      <c r="N2" s="9"/>
      <c r="O2" s="8" t="e">
        <f>"ID# " &amp;#REF!</f>
        <v>#REF!</v>
      </c>
      <c r="P2" s="8"/>
      <c r="Q2" s="9" t="e">
        <f>"ID# " &amp;#REF!</f>
        <v>#REF!</v>
      </c>
      <c r="R2" s="9"/>
      <c r="S2" s="8" t="e">
        <f>"ID# " &amp;#REF!</f>
        <v>#REF!</v>
      </c>
      <c r="T2" s="8"/>
      <c r="U2" s="9" t="e">
        <f>"ID# " &amp;#REF!</f>
        <v>#REF!</v>
      </c>
      <c r="V2" s="9"/>
      <c r="W2" s="8" t="e">
        <f>"ID# " &amp;#REF!</f>
        <v>#REF!</v>
      </c>
      <c r="X2" s="8"/>
      <c r="Y2" s="9" t="e">
        <f>"ID# " &amp;#REF!</f>
        <v>#REF!</v>
      </c>
      <c r="Z2" s="9"/>
      <c r="AA2" s="8" t="e">
        <f>"ID# " &amp;#REF!</f>
        <v>#REF!</v>
      </c>
      <c r="AB2" s="8"/>
      <c r="AC2" s="9" t="e">
        <f>"ID# " &amp;#REF!</f>
        <v>#REF!</v>
      </c>
      <c r="AD2" s="9"/>
      <c r="AE2" s="8" t="e">
        <f>"ID# " &amp;#REF!</f>
        <v>#REF!</v>
      </c>
      <c r="AF2" s="8"/>
      <c r="AG2" s="9" t="e">
        <f>"ID# " &amp;#REF!</f>
        <v>#REF!</v>
      </c>
      <c r="AH2" s="9"/>
    </row>
    <row r="3" spans="1:34" ht="32.25" customHeight="1" x14ac:dyDescent="0.55000000000000004">
      <c r="A3" s="178"/>
      <c r="B3" s="7" t="s">
        <v>19</v>
      </c>
      <c r="C3" s="7" t="s">
        <v>20</v>
      </c>
      <c r="D3" s="7" t="s">
        <v>21</v>
      </c>
      <c r="E3" s="7" t="s">
        <v>22</v>
      </c>
      <c r="F3" s="178"/>
      <c r="G3" s="10" t="s">
        <v>18</v>
      </c>
      <c r="H3" s="10" t="s">
        <v>28</v>
      </c>
      <c r="I3" s="11" t="s">
        <v>18</v>
      </c>
      <c r="J3" s="11" t="s">
        <v>28</v>
      </c>
      <c r="K3" s="10" t="s">
        <v>18</v>
      </c>
      <c r="L3" s="10" t="s">
        <v>28</v>
      </c>
      <c r="M3" s="11" t="s">
        <v>18</v>
      </c>
      <c r="N3" s="11" t="s">
        <v>28</v>
      </c>
      <c r="O3" s="10" t="s">
        <v>18</v>
      </c>
      <c r="P3" s="10" t="s">
        <v>28</v>
      </c>
      <c r="Q3" s="11" t="s">
        <v>18</v>
      </c>
      <c r="R3" s="11" t="s">
        <v>28</v>
      </c>
      <c r="S3" s="10" t="s">
        <v>18</v>
      </c>
      <c r="T3" s="10" t="s">
        <v>28</v>
      </c>
      <c r="U3" s="11" t="s">
        <v>18</v>
      </c>
      <c r="V3" s="11" t="s">
        <v>28</v>
      </c>
      <c r="W3" s="10" t="s">
        <v>18</v>
      </c>
      <c r="X3" s="10" t="s">
        <v>28</v>
      </c>
      <c r="Y3" s="11" t="s">
        <v>18</v>
      </c>
      <c r="Z3" s="11" t="s">
        <v>28</v>
      </c>
      <c r="AA3" s="10" t="s">
        <v>18</v>
      </c>
      <c r="AB3" s="10" t="s">
        <v>28</v>
      </c>
      <c r="AC3" s="11" t="s">
        <v>18</v>
      </c>
      <c r="AD3" s="11" t="s">
        <v>28</v>
      </c>
      <c r="AE3" s="10" t="s">
        <v>18</v>
      </c>
      <c r="AF3" s="10" t="s">
        <v>28</v>
      </c>
      <c r="AG3" s="11" t="s">
        <v>18</v>
      </c>
      <c r="AH3" s="11" t="s">
        <v>28</v>
      </c>
    </row>
    <row r="4" spans="1:34" ht="84" customHeight="1" x14ac:dyDescent="0.55000000000000004">
      <c r="A4" s="174" t="s">
        <v>30</v>
      </c>
      <c r="B4" s="180" t="s">
        <v>31</v>
      </c>
      <c r="C4" s="180" t="s">
        <v>32</v>
      </c>
      <c r="D4" s="180" t="s">
        <v>33</v>
      </c>
      <c r="E4" s="180" t="s">
        <v>34</v>
      </c>
      <c r="F4" s="12" t="s">
        <v>35</v>
      </c>
      <c r="G4" s="171" t="s">
        <v>36</v>
      </c>
      <c r="H4" s="169">
        <v>3</v>
      </c>
      <c r="I4" s="166" t="s">
        <v>37</v>
      </c>
      <c r="J4" s="169">
        <v>3</v>
      </c>
      <c r="K4" s="166" t="s">
        <v>38</v>
      </c>
      <c r="L4" s="169">
        <v>3</v>
      </c>
      <c r="M4" s="166" t="s">
        <v>39</v>
      </c>
      <c r="N4" s="169">
        <v>3</v>
      </c>
      <c r="O4" s="166"/>
      <c r="P4" s="169">
        <v>3</v>
      </c>
      <c r="Q4" s="166"/>
      <c r="R4" s="169">
        <v>2</v>
      </c>
      <c r="S4" s="166"/>
      <c r="T4" s="169">
        <v>2</v>
      </c>
      <c r="U4" s="166"/>
      <c r="V4" s="169">
        <v>3</v>
      </c>
      <c r="W4" s="166"/>
      <c r="X4" s="169">
        <v>1</v>
      </c>
      <c r="Y4" s="166"/>
      <c r="Z4" s="169">
        <v>2</v>
      </c>
      <c r="AA4" s="166"/>
      <c r="AB4" s="169">
        <v>3</v>
      </c>
      <c r="AC4" s="166"/>
      <c r="AD4" s="169">
        <v>2</v>
      </c>
      <c r="AE4" s="166"/>
      <c r="AF4" s="169">
        <v>2</v>
      </c>
      <c r="AG4" s="166"/>
      <c r="AH4" s="169">
        <v>3</v>
      </c>
    </row>
    <row r="5" spans="1:34" ht="59.25" customHeight="1" x14ac:dyDescent="0.55000000000000004">
      <c r="A5" s="167"/>
      <c r="B5" s="167"/>
      <c r="C5" s="167"/>
      <c r="D5" s="167"/>
      <c r="E5" s="167"/>
      <c r="F5" s="12" t="s">
        <v>40</v>
      </c>
      <c r="G5" s="172"/>
      <c r="H5" s="167"/>
      <c r="I5" s="167"/>
      <c r="J5" s="167"/>
      <c r="K5" s="167"/>
      <c r="L5" s="167"/>
      <c r="M5" s="167"/>
      <c r="N5" s="167"/>
      <c r="O5" s="167"/>
      <c r="P5" s="167"/>
      <c r="Q5" s="167"/>
      <c r="R5" s="167"/>
      <c r="S5" s="167"/>
      <c r="T5" s="167"/>
      <c r="U5" s="167"/>
      <c r="V5" s="167"/>
      <c r="W5" s="167"/>
      <c r="X5" s="167"/>
      <c r="Y5" s="167"/>
      <c r="Z5" s="167"/>
      <c r="AA5" s="167"/>
      <c r="AB5" s="167"/>
      <c r="AC5" s="167"/>
      <c r="AD5" s="167"/>
      <c r="AE5" s="167"/>
      <c r="AF5" s="167"/>
      <c r="AG5" s="167"/>
      <c r="AH5" s="167"/>
    </row>
    <row r="6" spans="1:34" ht="61.5" customHeight="1" x14ac:dyDescent="0.55000000000000004">
      <c r="A6" s="167"/>
      <c r="B6" s="167"/>
      <c r="C6" s="167"/>
      <c r="D6" s="167"/>
      <c r="E6" s="167"/>
      <c r="F6" s="181" t="s">
        <v>41</v>
      </c>
      <c r="G6" s="172"/>
      <c r="H6" s="167"/>
      <c r="I6" s="167"/>
      <c r="J6" s="167"/>
      <c r="K6" s="167"/>
      <c r="L6" s="167"/>
      <c r="M6" s="167"/>
      <c r="N6" s="167"/>
      <c r="O6" s="167"/>
      <c r="P6" s="167"/>
      <c r="Q6" s="167"/>
      <c r="R6" s="167"/>
      <c r="S6" s="167"/>
      <c r="T6" s="167"/>
      <c r="U6" s="167"/>
      <c r="V6" s="167"/>
      <c r="W6" s="167"/>
      <c r="X6" s="167"/>
      <c r="Y6" s="167"/>
      <c r="Z6" s="167"/>
      <c r="AA6" s="167"/>
      <c r="AB6" s="167"/>
      <c r="AC6" s="167"/>
      <c r="AD6" s="167"/>
      <c r="AE6" s="167"/>
      <c r="AF6" s="167"/>
      <c r="AG6" s="167"/>
      <c r="AH6" s="167"/>
    </row>
    <row r="7" spans="1:34" ht="129" customHeight="1" x14ac:dyDescent="0.55000000000000004">
      <c r="A7" s="168"/>
      <c r="B7" s="168"/>
      <c r="C7" s="168"/>
      <c r="D7" s="168"/>
      <c r="E7" s="168"/>
      <c r="F7" s="168"/>
      <c r="G7" s="173"/>
      <c r="H7" s="168"/>
      <c r="I7" s="168"/>
      <c r="J7" s="168"/>
      <c r="K7" s="168"/>
      <c r="L7" s="168"/>
      <c r="M7" s="168"/>
      <c r="N7" s="168"/>
      <c r="O7" s="168"/>
      <c r="P7" s="168"/>
      <c r="Q7" s="168"/>
      <c r="R7" s="168"/>
      <c r="S7" s="168"/>
      <c r="T7" s="168"/>
      <c r="U7" s="168"/>
      <c r="V7" s="168"/>
      <c r="W7" s="168"/>
      <c r="X7" s="168"/>
      <c r="Y7" s="168"/>
      <c r="Z7" s="168"/>
      <c r="AA7" s="168"/>
      <c r="AB7" s="168"/>
      <c r="AC7" s="168"/>
      <c r="AD7" s="168"/>
      <c r="AE7" s="168"/>
      <c r="AF7" s="168"/>
      <c r="AG7" s="168"/>
      <c r="AH7" s="168"/>
    </row>
    <row r="8" spans="1:34" ht="124.5" customHeight="1" x14ac:dyDescent="0.55000000000000004">
      <c r="A8" s="174" t="s">
        <v>42</v>
      </c>
      <c r="B8" s="175" t="s">
        <v>43</v>
      </c>
      <c r="C8" s="174" t="s">
        <v>44</v>
      </c>
      <c r="D8" s="174" t="s">
        <v>45</v>
      </c>
      <c r="E8" s="175" t="s">
        <v>46</v>
      </c>
      <c r="F8" s="12" t="s">
        <v>47</v>
      </c>
      <c r="G8" s="171" t="s">
        <v>48</v>
      </c>
      <c r="H8" s="169">
        <v>2</v>
      </c>
      <c r="I8" s="166" t="s">
        <v>49</v>
      </c>
      <c r="J8" s="169">
        <v>2</v>
      </c>
      <c r="K8" s="170" t="s">
        <v>50</v>
      </c>
      <c r="L8" s="169">
        <v>2</v>
      </c>
      <c r="M8" s="170" t="s">
        <v>51</v>
      </c>
      <c r="N8" s="169">
        <v>3</v>
      </c>
      <c r="O8" s="166"/>
      <c r="P8" s="169">
        <v>3</v>
      </c>
      <c r="Q8" s="166"/>
      <c r="R8" s="169">
        <v>3</v>
      </c>
      <c r="S8" s="166"/>
      <c r="T8" s="169">
        <v>1</v>
      </c>
      <c r="U8" s="166"/>
      <c r="V8" s="169">
        <v>3</v>
      </c>
      <c r="W8" s="166"/>
      <c r="X8" s="169">
        <v>1</v>
      </c>
      <c r="Y8" s="166"/>
      <c r="Z8" s="169">
        <v>2</v>
      </c>
      <c r="AA8" s="166"/>
      <c r="AB8" s="169">
        <v>3</v>
      </c>
      <c r="AC8" s="166"/>
      <c r="AD8" s="169">
        <v>3</v>
      </c>
      <c r="AE8" s="166"/>
      <c r="AF8" s="169">
        <v>1</v>
      </c>
      <c r="AG8" s="166"/>
      <c r="AH8" s="169">
        <v>3</v>
      </c>
    </row>
    <row r="9" spans="1:34" ht="100.5" customHeight="1" x14ac:dyDescent="0.55000000000000004">
      <c r="A9" s="167"/>
      <c r="B9" s="167"/>
      <c r="C9" s="167"/>
      <c r="D9" s="167"/>
      <c r="E9" s="167"/>
      <c r="F9" s="12" t="s">
        <v>52</v>
      </c>
      <c r="G9" s="172"/>
      <c r="H9" s="167"/>
      <c r="I9" s="167"/>
      <c r="J9" s="167"/>
      <c r="K9" s="167"/>
      <c r="L9" s="167"/>
      <c r="M9" s="167"/>
      <c r="N9" s="167"/>
      <c r="O9" s="167"/>
      <c r="P9" s="167"/>
      <c r="Q9" s="167"/>
      <c r="R9" s="167"/>
      <c r="S9" s="167"/>
      <c r="T9" s="167"/>
      <c r="U9" s="167"/>
      <c r="V9" s="167"/>
      <c r="W9" s="167"/>
      <c r="X9" s="167"/>
      <c r="Y9" s="167"/>
      <c r="Z9" s="167"/>
      <c r="AA9" s="167"/>
      <c r="AB9" s="167"/>
      <c r="AC9" s="167"/>
      <c r="AD9" s="167"/>
      <c r="AE9" s="167"/>
      <c r="AF9" s="167"/>
      <c r="AG9" s="167"/>
      <c r="AH9" s="167"/>
    </row>
    <row r="10" spans="1:34" ht="285.75" customHeight="1" x14ac:dyDescent="0.55000000000000004">
      <c r="A10" s="168"/>
      <c r="B10" s="168"/>
      <c r="C10" s="168"/>
      <c r="D10" s="168"/>
      <c r="E10" s="168"/>
      <c r="F10" s="12" t="s">
        <v>53</v>
      </c>
      <c r="G10" s="173"/>
      <c r="H10" s="168"/>
      <c r="I10" s="168"/>
      <c r="J10" s="168"/>
      <c r="K10" s="168"/>
      <c r="L10" s="168"/>
      <c r="M10" s="168"/>
      <c r="N10" s="168"/>
      <c r="O10" s="168"/>
      <c r="P10" s="168"/>
      <c r="Q10" s="168"/>
      <c r="R10" s="168"/>
      <c r="S10" s="168"/>
      <c r="T10" s="168"/>
      <c r="U10" s="168"/>
      <c r="V10" s="168"/>
      <c r="W10" s="168"/>
      <c r="X10" s="168"/>
      <c r="Y10" s="168"/>
      <c r="Z10" s="168"/>
      <c r="AA10" s="168"/>
      <c r="AB10" s="168"/>
      <c r="AC10" s="168"/>
      <c r="AD10" s="168"/>
      <c r="AE10" s="168"/>
      <c r="AF10" s="168"/>
      <c r="AG10" s="168"/>
      <c r="AH10" s="168"/>
    </row>
    <row r="11" spans="1:34" ht="14.25" customHeight="1" x14ac:dyDescent="0.55000000000000004"/>
    <row r="12" spans="1:34" ht="14.25" customHeight="1" x14ac:dyDescent="0.55000000000000004"/>
    <row r="13" spans="1:34" ht="14.25" customHeight="1" x14ac:dyDescent="0.55000000000000004"/>
    <row r="14" spans="1:34" ht="14.25" customHeight="1" x14ac:dyDescent="0.55000000000000004"/>
    <row r="15" spans="1:34" ht="14.25" customHeight="1" x14ac:dyDescent="0.55000000000000004"/>
    <row r="16" spans="1:34" ht="14.25" customHeight="1" x14ac:dyDescent="0.55000000000000004"/>
    <row r="17" ht="14.25" customHeight="1" x14ac:dyDescent="0.55000000000000004"/>
    <row r="18" ht="14.25" customHeight="1" x14ac:dyDescent="0.55000000000000004"/>
    <row r="19" ht="14.25" customHeight="1" x14ac:dyDescent="0.55000000000000004"/>
    <row r="20" ht="14.25" customHeight="1" x14ac:dyDescent="0.55000000000000004"/>
    <row r="21" ht="14.25" customHeight="1" x14ac:dyDescent="0.55000000000000004"/>
    <row r="22" ht="14.25" customHeight="1" x14ac:dyDescent="0.55000000000000004"/>
    <row r="23" ht="14.25" customHeight="1" x14ac:dyDescent="0.55000000000000004"/>
    <row r="24" ht="14.25" customHeight="1" x14ac:dyDescent="0.55000000000000004"/>
    <row r="25" ht="14.25" customHeight="1" x14ac:dyDescent="0.55000000000000004"/>
    <row r="26" ht="14.25" customHeight="1" x14ac:dyDescent="0.55000000000000004"/>
    <row r="27" ht="14.25" customHeight="1" x14ac:dyDescent="0.55000000000000004"/>
    <row r="28" ht="14.25" customHeight="1" x14ac:dyDescent="0.55000000000000004"/>
    <row r="29" ht="14.25" customHeight="1" x14ac:dyDescent="0.55000000000000004"/>
    <row r="30" ht="14.25" customHeight="1" x14ac:dyDescent="0.55000000000000004"/>
    <row r="31" ht="14.25" customHeight="1" x14ac:dyDescent="0.55000000000000004"/>
    <row r="32"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5.75" customHeight="1" x14ac:dyDescent="0.55000000000000004"/>
    <row r="222" ht="15.75" customHeight="1" x14ac:dyDescent="0.55000000000000004"/>
    <row r="223" ht="15.75" customHeight="1" x14ac:dyDescent="0.55000000000000004"/>
    <row r="224" ht="15.75" customHeight="1" x14ac:dyDescent="0.55000000000000004"/>
    <row r="225" ht="15.75" customHeight="1" x14ac:dyDescent="0.55000000000000004"/>
    <row r="226" ht="15.75" customHeight="1" x14ac:dyDescent="0.55000000000000004"/>
    <row r="227" ht="15.75" customHeight="1" x14ac:dyDescent="0.55000000000000004"/>
    <row r="228" ht="15.75" customHeight="1" x14ac:dyDescent="0.55000000000000004"/>
    <row r="229" ht="15.75" customHeight="1" x14ac:dyDescent="0.55000000000000004"/>
    <row r="230" ht="15.75" customHeight="1" x14ac:dyDescent="0.55000000000000004"/>
    <row r="231" ht="15.75" customHeight="1" x14ac:dyDescent="0.55000000000000004"/>
    <row r="232" ht="15.75" customHeight="1" x14ac:dyDescent="0.55000000000000004"/>
    <row r="233" ht="15.75" customHeight="1" x14ac:dyDescent="0.55000000000000004"/>
    <row r="234" ht="15.75" customHeight="1" x14ac:dyDescent="0.55000000000000004"/>
    <row r="235" ht="15.75" customHeight="1" x14ac:dyDescent="0.55000000000000004"/>
    <row r="236" ht="15.75" customHeight="1" x14ac:dyDescent="0.55000000000000004"/>
    <row r="237" ht="15.75" customHeight="1" x14ac:dyDescent="0.55000000000000004"/>
    <row r="238" ht="15.75" customHeight="1" x14ac:dyDescent="0.55000000000000004"/>
    <row r="239" ht="15.75" customHeight="1" x14ac:dyDescent="0.55000000000000004"/>
    <row r="240" ht="15.75" customHeight="1" x14ac:dyDescent="0.55000000000000004"/>
    <row r="241" ht="15.75" customHeight="1" x14ac:dyDescent="0.55000000000000004"/>
    <row r="242" ht="15.75" customHeight="1" x14ac:dyDescent="0.55000000000000004"/>
    <row r="243" ht="15.75" customHeight="1" x14ac:dyDescent="0.55000000000000004"/>
    <row r="244" ht="15.75" customHeight="1" x14ac:dyDescent="0.55000000000000004"/>
    <row r="245" ht="15.75" customHeight="1" x14ac:dyDescent="0.55000000000000004"/>
    <row r="246" ht="15.75" customHeight="1" x14ac:dyDescent="0.55000000000000004"/>
    <row r="247" ht="15.75" customHeight="1" x14ac:dyDescent="0.55000000000000004"/>
    <row r="248" ht="15.75" customHeight="1" x14ac:dyDescent="0.55000000000000004"/>
    <row r="249" ht="15.75" customHeight="1" x14ac:dyDescent="0.55000000000000004"/>
    <row r="250" ht="15.75" customHeight="1" x14ac:dyDescent="0.55000000000000004"/>
    <row r="251" ht="15.75" customHeight="1" x14ac:dyDescent="0.55000000000000004"/>
    <row r="252" ht="15.75" customHeight="1" x14ac:dyDescent="0.55000000000000004"/>
    <row r="253" ht="15.75" customHeight="1" x14ac:dyDescent="0.55000000000000004"/>
    <row r="254" ht="15.75" customHeight="1" x14ac:dyDescent="0.55000000000000004"/>
    <row r="255" ht="15.75" customHeight="1" x14ac:dyDescent="0.55000000000000004"/>
    <row r="256" ht="15.75" customHeight="1" x14ac:dyDescent="0.55000000000000004"/>
    <row r="257" ht="15.75" customHeight="1" x14ac:dyDescent="0.55000000000000004"/>
    <row r="258" ht="15.75" customHeight="1" x14ac:dyDescent="0.55000000000000004"/>
    <row r="259" ht="15.75" customHeight="1" x14ac:dyDescent="0.55000000000000004"/>
    <row r="260" ht="15.75" customHeight="1" x14ac:dyDescent="0.55000000000000004"/>
    <row r="261" ht="15.75" customHeight="1" x14ac:dyDescent="0.55000000000000004"/>
    <row r="262" ht="15.75" customHeight="1" x14ac:dyDescent="0.55000000000000004"/>
    <row r="263" ht="15.75" customHeight="1" x14ac:dyDescent="0.55000000000000004"/>
    <row r="264" ht="15.75" customHeight="1" x14ac:dyDescent="0.55000000000000004"/>
    <row r="265" ht="15.75" customHeight="1" x14ac:dyDescent="0.55000000000000004"/>
    <row r="266" ht="15.75" customHeight="1" x14ac:dyDescent="0.55000000000000004"/>
    <row r="267" ht="15.75" customHeight="1" x14ac:dyDescent="0.55000000000000004"/>
    <row r="268" ht="15.75" customHeight="1" x14ac:dyDescent="0.55000000000000004"/>
    <row r="269" ht="15.75" customHeight="1" x14ac:dyDescent="0.55000000000000004"/>
    <row r="270" ht="15.75" customHeight="1" x14ac:dyDescent="0.55000000000000004"/>
    <row r="271" ht="15.75" customHeight="1" x14ac:dyDescent="0.55000000000000004"/>
    <row r="272" ht="15.75" customHeight="1" x14ac:dyDescent="0.55000000000000004"/>
    <row r="273" ht="15.75" customHeight="1" x14ac:dyDescent="0.55000000000000004"/>
    <row r="274" ht="15.75" customHeight="1" x14ac:dyDescent="0.55000000000000004"/>
    <row r="275" ht="15.75" customHeight="1" x14ac:dyDescent="0.55000000000000004"/>
    <row r="276" ht="15.75" customHeight="1" x14ac:dyDescent="0.55000000000000004"/>
    <row r="277" ht="15.75" customHeight="1" x14ac:dyDescent="0.55000000000000004"/>
    <row r="278" ht="15.75" customHeight="1" x14ac:dyDescent="0.55000000000000004"/>
    <row r="279" ht="15.75" customHeight="1" x14ac:dyDescent="0.55000000000000004"/>
    <row r="280" ht="15.75" customHeight="1" x14ac:dyDescent="0.55000000000000004"/>
    <row r="281" ht="15.75" customHeight="1" x14ac:dyDescent="0.55000000000000004"/>
    <row r="282" ht="15.75" customHeight="1" x14ac:dyDescent="0.55000000000000004"/>
    <row r="283" ht="15.75" customHeight="1" x14ac:dyDescent="0.55000000000000004"/>
    <row r="284" ht="15.75" customHeight="1" x14ac:dyDescent="0.55000000000000004"/>
    <row r="285" ht="15.75" customHeight="1" x14ac:dyDescent="0.55000000000000004"/>
    <row r="286" ht="15.75" customHeight="1" x14ac:dyDescent="0.55000000000000004"/>
    <row r="287" ht="15.75" customHeight="1" x14ac:dyDescent="0.55000000000000004"/>
    <row r="288" ht="15.75" customHeight="1" x14ac:dyDescent="0.55000000000000004"/>
    <row r="289" ht="15.75" customHeight="1" x14ac:dyDescent="0.55000000000000004"/>
    <row r="290" ht="15.75" customHeight="1" x14ac:dyDescent="0.55000000000000004"/>
    <row r="291" ht="15.75" customHeight="1" x14ac:dyDescent="0.55000000000000004"/>
    <row r="292" ht="15.75" customHeight="1" x14ac:dyDescent="0.55000000000000004"/>
    <row r="293" ht="15.75" customHeight="1" x14ac:dyDescent="0.55000000000000004"/>
    <row r="294" ht="15.75" customHeight="1" x14ac:dyDescent="0.55000000000000004"/>
    <row r="295" ht="15.75" customHeight="1" x14ac:dyDescent="0.55000000000000004"/>
    <row r="296" ht="15.75" customHeight="1" x14ac:dyDescent="0.55000000000000004"/>
    <row r="297" ht="15.75" customHeight="1" x14ac:dyDescent="0.55000000000000004"/>
    <row r="298" ht="15.75" customHeight="1" x14ac:dyDescent="0.55000000000000004"/>
    <row r="299" ht="15.75" customHeight="1" x14ac:dyDescent="0.55000000000000004"/>
    <row r="300" ht="15.75" customHeight="1" x14ac:dyDescent="0.55000000000000004"/>
    <row r="301" ht="15.75" customHeight="1" x14ac:dyDescent="0.55000000000000004"/>
    <row r="302" ht="15.75" customHeight="1" x14ac:dyDescent="0.55000000000000004"/>
    <row r="303" ht="15.75" customHeight="1" x14ac:dyDescent="0.55000000000000004"/>
    <row r="304" ht="15.75" customHeight="1" x14ac:dyDescent="0.55000000000000004"/>
    <row r="305" ht="15.75" customHeight="1" x14ac:dyDescent="0.55000000000000004"/>
    <row r="306" ht="15.75" customHeight="1" x14ac:dyDescent="0.55000000000000004"/>
    <row r="307" ht="15.75" customHeight="1" x14ac:dyDescent="0.55000000000000004"/>
    <row r="308" ht="15.75" customHeight="1" x14ac:dyDescent="0.55000000000000004"/>
    <row r="309" ht="15.75" customHeight="1" x14ac:dyDescent="0.55000000000000004"/>
    <row r="310" ht="15.75" customHeight="1" x14ac:dyDescent="0.55000000000000004"/>
    <row r="311" ht="15.75" customHeight="1" x14ac:dyDescent="0.55000000000000004"/>
    <row r="312" ht="15.75" customHeight="1" x14ac:dyDescent="0.55000000000000004"/>
    <row r="313" ht="15.75" customHeight="1" x14ac:dyDescent="0.55000000000000004"/>
    <row r="314" ht="15.75" customHeight="1" x14ac:dyDescent="0.55000000000000004"/>
    <row r="315" ht="15.75" customHeight="1" x14ac:dyDescent="0.55000000000000004"/>
    <row r="316" ht="15.75" customHeight="1" x14ac:dyDescent="0.55000000000000004"/>
    <row r="317" ht="15.75" customHeight="1" x14ac:dyDescent="0.55000000000000004"/>
    <row r="318" ht="15.75" customHeight="1" x14ac:dyDescent="0.55000000000000004"/>
    <row r="319" ht="15.75" customHeight="1" x14ac:dyDescent="0.55000000000000004"/>
    <row r="320" ht="15.75" customHeight="1" x14ac:dyDescent="0.55000000000000004"/>
    <row r="321" ht="15.75" customHeight="1" x14ac:dyDescent="0.55000000000000004"/>
    <row r="322" ht="15.75" customHeight="1" x14ac:dyDescent="0.55000000000000004"/>
    <row r="323" ht="15.75" customHeight="1" x14ac:dyDescent="0.55000000000000004"/>
    <row r="324" ht="15.75" customHeight="1" x14ac:dyDescent="0.55000000000000004"/>
    <row r="325" ht="15.75" customHeight="1" x14ac:dyDescent="0.55000000000000004"/>
    <row r="326" ht="15.75" customHeight="1" x14ac:dyDescent="0.55000000000000004"/>
    <row r="327" ht="15.75" customHeight="1" x14ac:dyDescent="0.55000000000000004"/>
    <row r="328" ht="15.75" customHeight="1" x14ac:dyDescent="0.55000000000000004"/>
    <row r="329" ht="15.75" customHeight="1" x14ac:dyDescent="0.55000000000000004"/>
    <row r="330" ht="15.75" customHeight="1" x14ac:dyDescent="0.55000000000000004"/>
    <row r="331" ht="15.75" customHeight="1" x14ac:dyDescent="0.55000000000000004"/>
    <row r="332" ht="15.75" customHeight="1" x14ac:dyDescent="0.55000000000000004"/>
    <row r="333" ht="15.75" customHeight="1" x14ac:dyDescent="0.55000000000000004"/>
    <row r="334" ht="15.75" customHeight="1" x14ac:dyDescent="0.55000000000000004"/>
    <row r="335" ht="15.75" customHeight="1" x14ac:dyDescent="0.55000000000000004"/>
    <row r="336" ht="15.75" customHeight="1" x14ac:dyDescent="0.55000000000000004"/>
    <row r="337" ht="15.75" customHeight="1" x14ac:dyDescent="0.55000000000000004"/>
    <row r="338" ht="15.75" customHeight="1" x14ac:dyDescent="0.55000000000000004"/>
    <row r="339" ht="15.75" customHeight="1" x14ac:dyDescent="0.55000000000000004"/>
    <row r="340" ht="15.75" customHeight="1" x14ac:dyDescent="0.55000000000000004"/>
    <row r="341" ht="15.75" customHeight="1" x14ac:dyDescent="0.55000000000000004"/>
    <row r="342" ht="15.75" customHeight="1" x14ac:dyDescent="0.55000000000000004"/>
    <row r="343" ht="15.75" customHeight="1" x14ac:dyDescent="0.55000000000000004"/>
    <row r="344" ht="15.75" customHeight="1" x14ac:dyDescent="0.55000000000000004"/>
    <row r="345" ht="15.75" customHeight="1" x14ac:dyDescent="0.55000000000000004"/>
    <row r="346" ht="15.75" customHeight="1" x14ac:dyDescent="0.55000000000000004"/>
    <row r="347" ht="15.75" customHeight="1" x14ac:dyDescent="0.55000000000000004"/>
    <row r="348" ht="15.75" customHeight="1" x14ac:dyDescent="0.55000000000000004"/>
    <row r="349" ht="15.75" customHeight="1" x14ac:dyDescent="0.55000000000000004"/>
    <row r="350" ht="15.75" customHeight="1" x14ac:dyDescent="0.55000000000000004"/>
    <row r="351" ht="15.75" customHeight="1" x14ac:dyDescent="0.55000000000000004"/>
    <row r="352" ht="15.75" customHeight="1" x14ac:dyDescent="0.55000000000000004"/>
    <row r="353" ht="15.75" customHeight="1" x14ac:dyDescent="0.55000000000000004"/>
    <row r="354" ht="15.75" customHeight="1" x14ac:dyDescent="0.55000000000000004"/>
    <row r="355" ht="15.75" customHeight="1" x14ac:dyDescent="0.55000000000000004"/>
    <row r="356" ht="15.75" customHeight="1" x14ac:dyDescent="0.55000000000000004"/>
    <row r="357" ht="15.75" customHeight="1" x14ac:dyDescent="0.55000000000000004"/>
    <row r="358" ht="15.75" customHeight="1" x14ac:dyDescent="0.55000000000000004"/>
    <row r="359" ht="15.75" customHeight="1" x14ac:dyDescent="0.55000000000000004"/>
    <row r="360" ht="15.75" customHeight="1" x14ac:dyDescent="0.55000000000000004"/>
    <row r="361" ht="15.75" customHeight="1" x14ac:dyDescent="0.55000000000000004"/>
    <row r="362" ht="15.75" customHeight="1" x14ac:dyDescent="0.55000000000000004"/>
    <row r="363" ht="15.75" customHeight="1" x14ac:dyDescent="0.55000000000000004"/>
    <row r="364" ht="15.75" customHeight="1" x14ac:dyDescent="0.55000000000000004"/>
    <row r="365" ht="15.75" customHeight="1" x14ac:dyDescent="0.55000000000000004"/>
    <row r="366" ht="15.75" customHeight="1" x14ac:dyDescent="0.55000000000000004"/>
    <row r="367" ht="15.75" customHeight="1" x14ac:dyDescent="0.55000000000000004"/>
    <row r="368" ht="15.75" customHeight="1" x14ac:dyDescent="0.55000000000000004"/>
    <row r="369" ht="15.75" customHeight="1" x14ac:dyDescent="0.55000000000000004"/>
    <row r="370" ht="15.75" customHeight="1" x14ac:dyDescent="0.55000000000000004"/>
    <row r="371" ht="15.75" customHeight="1" x14ac:dyDescent="0.55000000000000004"/>
    <row r="372" ht="15.75" customHeight="1" x14ac:dyDescent="0.55000000000000004"/>
    <row r="373" ht="15.75" customHeight="1" x14ac:dyDescent="0.55000000000000004"/>
    <row r="374" ht="15.75" customHeight="1" x14ac:dyDescent="0.55000000000000004"/>
    <row r="375" ht="15.75" customHeight="1" x14ac:dyDescent="0.55000000000000004"/>
    <row r="376" ht="15.75" customHeight="1" x14ac:dyDescent="0.55000000000000004"/>
    <row r="377" ht="15.75" customHeight="1" x14ac:dyDescent="0.55000000000000004"/>
    <row r="378" ht="15.75" customHeight="1" x14ac:dyDescent="0.55000000000000004"/>
    <row r="379" ht="15.75" customHeight="1" x14ac:dyDescent="0.55000000000000004"/>
    <row r="380" ht="15.75" customHeight="1" x14ac:dyDescent="0.55000000000000004"/>
    <row r="381" ht="15.75" customHeight="1" x14ac:dyDescent="0.55000000000000004"/>
    <row r="382" ht="15.75" customHeight="1" x14ac:dyDescent="0.55000000000000004"/>
    <row r="383" ht="15.75" customHeight="1" x14ac:dyDescent="0.55000000000000004"/>
    <row r="384" ht="15.75" customHeight="1" x14ac:dyDescent="0.55000000000000004"/>
    <row r="385" ht="15.75" customHeight="1" x14ac:dyDescent="0.55000000000000004"/>
    <row r="386" ht="15.75" customHeight="1" x14ac:dyDescent="0.55000000000000004"/>
    <row r="387" ht="15.75" customHeight="1" x14ac:dyDescent="0.55000000000000004"/>
    <row r="388" ht="15.75" customHeight="1" x14ac:dyDescent="0.55000000000000004"/>
    <row r="389" ht="15.75" customHeight="1" x14ac:dyDescent="0.55000000000000004"/>
    <row r="390" ht="15.75" customHeight="1" x14ac:dyDescent="0.55000000000000004"/>
    <row r="391" ht="15.75" customHeight="1" x14ac:dyDescent="0.55000000000000004"/>
    <row r="392" ht="15.75" customHeight="1" x14ac:dyDescent="0.55000000000000004"/>
    <row r="393" ht="15.75" customHeight="1" x14ac:dyDescent="0.55000000000000004"/>
    <row r="394" ht="15.75" customHeight="1" x14ac:dyDescent="0.55000000000000004"/>
    <row r="395" ht="15.75" customHeight="1" x14ac:dyDescent="0.55000000000000004"/>
    <row r="396" ht="15.75" customHeight="1" x14ac:dyDescent="0.55000000000000004"/>
    <row r="397" ht="15.75" customHeight="1" x14ac:dyDescent="0.55000000000000004"/>
    <row r="398" ht="15.75" customHeight="1" x14ac:dyDescent="0.55000000000000004"/>
    <row r="399" ht="15.75" customHeight="1" x14ac:dyDescent="0.55000000000000004"/>
    <row r="400" ht="15.75" customHeight="1" x14ac:dyDescent="0.55000000000000004"/>
    <row r="401" ht="15.75" customHeight="1" x14ac:dyDescent="0.55000000000000004"/>
    <row r="402" ht="15.75" customHeight="1" x14ac:dyDescent="0.55000000000000004"/>
    <row r="403" ht="15.75" customHeight="1" x14ac:dyDescent="0.55000000000000004"/>
    <row r="404" ht="15.75" customHeight="1" x14ac:dyDescent="0.55000000000000004"/>
    <row r="405" ht="15.75" customHeight="1" x14ac:dyDescent="0.55000000000000004"/>
    <row r="406" ht="15.75" customHeight="1" x14ac:dyDescent="0.55000000000000004"/>
    <row r="407" ht="15.75" customHeight="1" x14ac:dyDescent="0.55000000000000004"/>
    <row r="408" ht="15.75" customHeight="1" x14ac:dyDescent="0.55000000000000004"/>
    <row r="409" ht="15.75" customHeight="1" x14ac:dyDescent="0.55000000000000004"/>
    <row r="410" ht="15.75" customHeight="1" x14ac:dyDescent="0.55000000000000004"/>
    <row r="411" ht="15.75" customHeight="1" x14ac:dyDescent="0.55000000000000004"/>
    <row r="412" ht="15.75" customHeight="1" x14ac:dyDescent="0.55000000000000004"/>
    <row r="413" ht="15.75" customHeight="1" x14ac:dyDescent="0.55000000000000004"/>
    <row r="414" ht="15.75" customHeight="1" x14ac:dyDescent="0.55000000000000004"/>
    <row r="415" ht="15.75" customHeight="1" x14ac:dyDescent="0.55000000000000004"/>
    <row r="416" ht="15.75" customHeight="1" x14ac:dyDescent="0.55000000000000004"/>
    <row r="417" ht="15.75" customHeight="1" x14ac:dyDescent="0.55000000000000004"/>
    <row r="418" ht="15.75" customHeight="1" x14ac:dyDescent="0.55000000000000004"/>
    <row r="419" ht="15.75" customHeight="1" x14ac:dyDescent="0.55000000000000004"/>
    <row r="420" ht="15.75" customHeight="1" x14ac:dyDescent="0.55000000000000004"/>
    <row r="421" ht="15.75" customHeight="1" x14ac:dyDescent="0.55000000000000004"/>
    <row r="422" ht="15.75" customHeight="1" x14ac:dyDescent="0.55000000000000004"/>
    <row r="423" ht="15.75" customHeight="1" x14ac:dyDescent="0.55000000000000004"/>
    <row r="424" ht="15.75" customHeight="1" x14ac:dyDescent="0.55000000000000004"/>
    <row r="425" ht="15.75" customHeight="1" x14ac:dyDescent="0.55000000000000004"/>
    <row r="426" ht="15.75" customHeight="1" x14ac:dyDescent="0.55000000000000004"/>
    <row r="427" ht="15.75" customHeight="1" x14ac:dyDescent="0.55000000000000004"/>
    <row r="428" ht="15.75" customHeight="1" x14ac:dyDescent="0.55000000000000004"/>
    <row r="429" ht="15.75" customHeight="1" x14ac:dyDescent="0.55000000000000004"/>
    <row r="430" ht="15.75" customHeight="1" x14ac:dyDescent="0.55000000000000004"/>
    <row r="431" ht="15.75" customHeight="1" x14ac:dyDescent="0.55000000000000004"/>
    <row r="432" ht="15.75" customHeight="1" x14ac:dyDescent="0.55000000000000004"/>
    <row r="433" ht="15.75" customHeight="1" x14ac:dyDescent="0.55000000000000004"/>
    <row r="434" ht="15.75" customHeight="1" x14ac:dyDescent="0.55000000000000004"/>
    <row r="435" ht="15.75" customHeight="1" x14ac:dyDescent="0.55000000000000004"/>
    <row r="436" ht="15.75" customHeight="1" x14ac:dyDescent="0.55000000000000004"/>
    <row r="437" ht="15.75" customHeight="1" x14ac:dyDescent="0.55000000000000004"/>
    <row r="438" ht="15.75" customHeight="1" x14ac:dyDescent="0.55000000000000004"/>
    <row r="439" ht="15.75" customHeight="1" x14ac:dyDescent="0.55000000000000004"/>
    <row r="440" ht="15.75" customHeight="1" x14ac:dyDescent="0.55000000000000004"/>
    <row r="441" ht="15.75" customHeight="1" x14ac:dyDescent="0.55000000000000004"/>
    <row r="442" ht="15.75" customHeight="1" x14ac:dyDescent="0.55000000000000004"/>
    <row r="443" ht="15.75" customHeight="1" x14ac:dyDescent="0.55000000000000004"/>
    <row r="444" ht="15.75" customHeight="1" x14ac:dyDescent="0.55000000000000004"/>
    <row r="445" ht="15.75" customHeight="1" x14ac:dyDescent="0.55000000000000004"/>
    <row r="446" ht="15.75" customHeight="1" x14ac:dyDescent="0.55000000000000004"/>
    <row r="447" ht="15.75" customHeight="1" x14ac:dyDescent="0.55000000000000004"/>
    <row r="448" ht="15.75" customHeight="1" x14ac:dyDescent="0.55000000000000004"/>
    <row r="449" ht="15.75" customHeight="1" x14ac:dyDescent="0.55000000000000004"/>
    <row r="450" ht="15.75" customHeight="1" x14ac:dyDescent="0.55000000000000004"/>
    <row r="451" ht="15.75" customHeight="1" x14ac:dyDescent="0.55000000000000004"/>
    <row r="452" ht="15.75" customHeight="1" x14ac:dyDescent="0.55000000000000004"/>
    <row r="453" ht="15.75" customHeight="1" x14ac:dyDescent="0.55000000000000004"/>
    <row r="454" ht="15.75" customHeight="1" x14ac:dyDescent="0.55000000000000004"/>
    <row r="455" ht="15.75" customHeight="1" x14ac:dyDescent="0.55000000000000004"/>
    <row r="456" ht="15.75" customHeight="1" x14ac:dyDescent="0.55000000000000004"/>
    <row r="457" ht="15.75" customHeight="1" x14ac:dyDescent="0.55000000000000004"/>
    <row r="458" ht="15.75" customHeight="1" x14ac:dyDescent="0.55000000000000004"/>
    <row r="459" ht="15.75" customHeight="1" x14ac:dyDescent="0.55000000000000004"/>
    <row r="460" ht="15.75" customHeight="1" x14ac:dyDescent="0.55000000000000004"/>
    <row r="461" ht="15.75" customHeight="1" x14ac:dyDescent="0.55000000000000004"/>
    <row r="462" ht="15.75" customHeight="1" x14ac:dyDescent="0.55000000000000004"/>
    <row r="463" ht="15.75" customHeight="1" x14ac:dyDescent="0.55000000000000004"/>
    <row r="464" ht="15.75" customHeight="1" x14ac:dyDescent="0.55000000000000004"/>
    <row r="465" ht="15.75" customHeight="1" x14ac:dyDescent="0.55000000000000004"/>
    <row r="466" ht="15.75" customHeight="1" x14ac:dyDescent="0.55000000000000004"/>
    <row r="467" ht="15.75" customHeight="1" x14ac:dyDescent="0.55000000000000004"/>
    <row r="468" ht="15.75" customHeight="1" x14ac:dyDescent="0.55000000000000004"/>
    <row r="469" ht="15.75" customHeight="1" x14ac:dyDescent="0.55000000000000004"/>
    <row r="470" ht="15.75" customHeight="1" x14ac:dyDescent="0.55000000000000004"/>
    <row r="471" ht="15.75" customHeight="1" x14ac:dyDescent="0.55000000000000004"/>
    <row r="472" ht="15.75" customHeight="1" x14ac:dyDescent="0.55000000000000004"/>
    <row r="473" ht="15.75" customHeight="1" x14ac:dyDescent="0.55000000000000004"/>
    <row r="474" ht="15.75" customHeight="1" x14ac:dyDescent="0.55000000000000004"/>
    <row r="475" ht="15.75" customHeight="1" x14ac:dyDescent="0.55000000000000004"/>
    <row r="476" ht="15.75" customHeight="1" x14ac:dyDescent="0.55000000000000004"/>
    <row r="477" ht="15.75" customHeight="1" x14ac:dyDescent="0.55000000000000004"/>
    <row r="478" ht="15.75" customHeight="1" x14ac:dyDescent="0.55000000000000004"/>
    <row r="479" ht="15.75" customHeight="1" x14ac:dyDescent="0.55000000000000004"/>
    <row r="480" ht="15.75" customHeight="1" x14ac:dyDescent="0.55000000000000004"/>
    <row r="481" ht="15.75" customHeight="1" x14ac:dyDescent="0.55000000000000004"/>
    <row r="482" ht="15.75" customHeight="1" x14ac:dyDescent="0.55000000000000004"/>
    <row r="483" ht="15.75" customHeight="1" x14ac:dyDescent="0.55000000000000004"/>
    <row r="484" ht="15.75" customHeight="1" x14ac:dyDescent="0.55000000000000004"/>
    <row r="485" ht="15.75" customHeight="1" x14ac:dyDescent="0.55000000000000004"/>
    <row r="486" ht="15.75" customHeight="1" x14ac:dyDescent="0.55000000000000004"/>
    <row r="487" ht="15.75" customHeight="1" x14ac:dyDescent="0.55000000000000004"/>
    <row r="488" ht="15.75" customHeight="1" x14ac:dyDescent="0.55000000000000004"/>
    <row r="489" ht="15.75" customHeight="1" x14ac:dyDescent="0.55000000000000004"/>
    <row r="490" ht="15.75" customHeight="1" x14ac:dyDescent="0.55000000000000004"/>
    <row r="491" ht="15.75" customHeight="1" x14ac:dyDescent="0.55000000000000004"/>
    <row r="492" ht="15.75" customHeight="1" x14ac:dyDescent="0.55000000000000004"/>
    <row r="493" ht="15.75" customHeight="1" x14ac:dyDescent="0.55000000000000004"/>
    <row r="494" ht="15.75" customHeight="1" x14ac:dyDescent="0.55000000000000004"/>
    <row r="495" ht="15.75" customHeight="1" x14ac:dyDescent="0.55000000000000004"/>
    <row r="496" ht="15.75" customHeight="1" x14ac:dyDescent="0.55000000000000004"/>
    <row r="497" ht="15.75" customHeight="1" x14ac:dyDescent="0.55000000000000004"/>
    <row r="498" ht="15.75" customHeight="1" x14ac:dyDescent="0.55000000000000004"/>
    <row r="499" ht="15.75" customHeight="1" x14ac:dyDescent="0.55000000000000004"/>
    <row r="500" ht="15.75" customHeight="1" x14ac:dyDescent="0.55000000000000004"/>
    <row r="501" ht="15.75" customHeight="1" x14ac:dyDescent="0.55000000000000004"/>
    <row r="502" ht="15.75" customHeight="1" x14ac:dyDescent="0.55000000000000004"/>
    <row r="503" ht="15.75" customHeight="1" x14ac:dyDescent="0.55000000000000004"/>
    <row r="504" ht="15.75" customHeight="1" x14ac:dyDescent="0.55000000000000004"/>
    <row r="505" ht="15.75" customHeight="1" x14ac:dyDescent="0.55000000000000004"/>
    <row r="506" ht="15.75" customHeight="1" x14ac:dyDescent="0.55000000000000004"/>
    <row r="507" ht="15.75" customHeight="1" x14ac:dyDescent="0.55000000000000004"/>
    <row r="508" ht="15.75" customHeight="1" x14ac:dyDescent="0.55000000000000004"/>
    <row r="509" ht="15.75" customHeight="1" x14ac:dyDescent="0.55000000000000004"/>
    <row r="510" ht="15.75" customHeight="1" x14ac:dyDescent="0.55000000000000004"/>
    <row r="511" ht="15.75" customHeight="1" x14ac:dyDescent="0.55000000000000004"/>
    <row r="512" ht="15.75" customHeight="1" x14ac:dyDescent="0.55000000000000004"/>
    <row r="513" ht="15.75" customHeight="1" x14ac:dyDescent="0.55000000000000004"/>
    <row r="514" ht="15.75" customHeight="1" x14ac:dyDescent="0.55000000000000004"/>
    <row r="515" ht="15.75" customHeight="1" x14ac:dyDescent="0.55000000000000004"/>
    <row r="516" ht="15.75" customHeight="1" x14ac:dyDescent="0.55000000000000004"/>
    <row r="517" ht="15.75" customHeight="1" x14ac:dyDescent="0.55000000000000004"/>
    <row r="518" ht="15.75" customHeight="1" x14ac:dyDescent="0.55000000000000004"/>
    <row r="519" ht="15.75" customHeight="1" x14ac:dyDescent="0.55000000000000004"/>
    <row r="520" ht="15.75" customHeight="1" x14ac:dyDescent="0.55000000000000004"/>
    <row r="521" ht="15.75" customHeight="1" x14ac:dyDescent="0.55000000000000004"/>
    <row r="522" ht="15.75" customHeight="1" x14ac:dyDescent="0.55000000000000004"/>
    <row r="523" ht="15.75" customHeight="1" x14ac:dyDescent="0.55000000000000004"/>
    <row r="524" ht="15.75" customHeight="1" x14ac:dyDescent="0.55000000000000004"/>
    <row r="525" ht="15.75" customHeight="1" x14ac:dyDescent="0.55000000000000004"/>
    <row r="526" ht="15.75" customHeight="1" x14ac:dyDescent="0.55000000000000004"/>
    <row r="527" ht="15.75" customHeight="1" x14ac:dyDescent="0.55000000000000004"/>
    <row r="528" ht="15.75" customHeight="1" x14ac:dyDescent="0.55000000000000004"/>
    <row r="529" ht="15.75" customHeight="1" x14ac:dyDescent="0.55000000000000004"/>
    <row r="530" ht="15.75" customHeight="1" x14ac:dyDescent="0.55000000000000004"/>
    <row r="531" ht="15.75" customHeight="1" x14ac:dyDescent="0.55000000000000004"/>
    <row r="532" ht="15.75" customHeight="1" x14ac:dyDescent="0.55000000000000004"/>
    <row r="533" ht="15.75" customHeight="1" x14ac:dyDescent="0.55000000000000004"/>
    <row r="534" ht="15.75" customHeight="1" x14ac:dyDescent="0.55000000000000004"/>
    <row r="535" ht="15.75" customHeight="1" x14ac:dyDescent="0.55000000000000004"/>
    <row r="536" ht="15.75" customHeight="1" x14ac:dyDescent="0.55000000000000004"/>
    <row r="537" ht="15.75" customHeight="1" x14ac:dyDescent="0.55000000000000004"/>
    <row r="538" ht="15.75" customHeight="1" x14ac:dyDescent="0.55000000000000004"/>
    <row r="539" ht="15.75" customHeight="1" x14ac:dyDescent="0.55000000000000004"/>
    <row r="540" ht="15.75" customHeight="1" x14ac:dyDescent="0.55000000000000004"/>
    <row r="541" ht="15.75" customHeight="1" x14ac:dyDescent="0.55000000000000004"/>
    <row r="542" ht="15.75" customHeight="1" x14ac:dyDescent="0.55000000000000004"/>
    <row r="543" ht="15.75" customHeight="1" x14ac:dyDescent="0.55000000000000004"/>
    <row r="544" ht="15.75" customHeight="1" x14ac:dyDescent="0.55000000000000004"/>
    <row r="545" ht="15.75" customHeight="1" x14ac:dyDescent="0.55000000000000004"/>
    <row r="546" ht="15.75" customHeight="1" x14ac:dyDescent="0.55000000000000004"/>
    <row r="547" ht="15.75" customHeight="1" x14ac:dyDescent="0.55000000000000004"/>
    <row r="548" ht="15.75" customHeight="1" x14ac:dyDescent="0.55000000000000004"/>
    <row r="549" ht="15.75" customHeight="1" x14ac:dyDescent="0.55000000000000004"/>
    <row r="550" ht="15.75" customHeight="1" x14ac:dyDescent="0.55000000000000004"/>
    <row r="551" ht="15.75" customHeight="1" x14ac:dyDescent="0.55000000000000004"/>
    <row r="552" ht="15.75" customHeight="1" x14ac:dyDescent="0.55000000000000004"/>
    <row r="553" ht="15.75" customHeight="1" x14ac:dyDescent="0.55000000000000004"/>
    <row r="554" ht="15.75" customHeight="1" x14ac:dyDescent="0.55000000000000004"/>
    <row r="555" ht="15.75" customHeight="1" x14ac:dyDescent="0.55000000000000004"/>
    <row r="556" ht="15.75" customHeight="1" x14ac:dyDescent="0.55000000000000004"/>
    <row r="557" ht="15.75" customHeight="1" x14ac:dyDescent="0.55000000000000004"/>
    <row r="558" ht="15.75" customHeight="1" x14ac:dyDescent="0.55000000000000004"/>
    <row r="559" ht="15.75" customHeight="1" x14ac:dyDescent="0.55000000000000004"/>
    <row r="560" ht="15.75" customHeight="1" x14ac:dyDescent="0.55000000000000004"/>
    <row r="561" ht="15.75" customHeight="1" x14ac:dyDescent="0.55000000000000004"/>
    <row r="562" ht="15.75" customHeight="1" x14ac:dyDescent="0.55000000000000004"/>
    <row r="563" ht="15.75" customHeight="1" x14ac:dyDescent="0.55000000000000004"/>
    <row r="564" ht="15.75" customHeight="1" x14ac:dyDescent="0.55000000000000004"/>
    <row r="565" ht="15.75" customHeight="1" x14ac:dyDescent="0.55000000000000004"/>
    <row r="566" ht="15.75" customHeight="1" x14ac:dyDescent="0.55000000000000004"/>
    <row r="567" ht="15.75" customHeight="1" x14ac:dyDescent="0.55000000000000004"/>
    <row r="568" ht="15.75" customHeight="1" x14ac:dyDescent="0.55000000000000004"/>
    <row r="569" ht="15.75" customHeight="1" x14ac:dyDescent="0.55000000000000004"/>
    <row r="570" ht="15.75" customHeight="1" x14ac:dyDescent="0.55000000000000004"/>
    <row r="571" ht="15.75" customHeight="1" x14ac:dyDescent="0.55000000000000004"/>
    <row r="572" ht="15.75" customHeight="1" x14ac:dyDescent="0.55000000000000004"/>
    <row r="573" ht="15.75" customHeight="1" x14ac:dyDescent="0.55000000000000004"/>
    <row r="574" ht="15.75" customHeight="1" x14ac:dyDescent="0.55000000000000004"/>
    <row r="575" ht="15.75" customHeight="1" x14ac:dyDescent="0.55000000000000004"/>
    <row r="576" ht="15.75" customHeight="1" x14ac:dyDescent="0.55000000000000004"/>
    <row r="577" ht="15.75" customHeight="1" x14ac:dyDescent="0.55000000000000004"/>
    <row r="578" ht="15.75" customHeight="1" x14ac:dyDescent="0.55000000000000004"/>
    <row r="579" ht="15.75" customHeight="1" x14ac:dyDescent="0.55000000000000004"/>
    <row r="580" ht="15.75" customHeight="1" x14ac:dyDescent="0.55000000000000004"/>
    <row r="581" ht="15.75" customHeight="1" x14ac:dyDescent="0.55000000000000004"/>
    <row r="582" ht="15.75" customHeight="1" x14ac:dyDescent="0.55000000000000004"/>
    <row r="583" ht="15.75" customHeight="1" x14ac:dyDescent="0.55000000000000004"/>
    <row r="584" ht="15.75" customHeight="1" x14ac:dyDescent="0.55000000000000004"/>
    <row r="585" ht="15.75" customHeight="1" x14ac:dyDescent="0.55000000000000004"/>
    <row r="586" ht="15.75" customHeight="1" x14ac:dyDescent="0.55000000000000004"/>
    <row r="587" ht="15.75" customHeight="1" x14ac:dyDescent="0.55000000000000004"/>
    <row r="588" ht="15.75" customHeight="1" x14ac:dyDescent="0.55000000000000004"/>
    <row r="589" ht="15.75" customHeight="1" x14ac:dyDescent="0.55000000000000004"/>
    <row r="590" ht="15.75" customHeight="1" x14ac:dyDescent="0.55000000000000004"/>
    <row r="591" ht="15.75" customHeight="1" x14ac:dyDescent="0.55000000000000004"/>
    <row r="592" ht="15.75" customHeight="1" x14ac:dyDescent="0.55000000000000004"/>
    <row r="593" ht="15.75" customHeight="1" x14ac:dyDescent="0.55000000000000004"/>
    <row r="594" ht="15.75" customHeight="1" x14ac:dyDescent="0.55000000000000004"/>
    <row r="595" ht="15.75" customHeight="1" x14ac:dyDescent="0.55000000000000004"/>
    <row r="596" ht="15.75" customHeight="1" x14ac:dyDescent="0.55000000000000004"/>
    <row r="597" ht="15.75" customHeight="1" x14ac:dyDescent="0.55000000000000004"/>
    <row r="598" ht="15.75" customHeight="1" x14ac:dyDescent="0.55000000000000004"/>
    <row r="599" ht="15.75" customHeight="1" x14ac:dyDescent="0.55000000000000004"/>
    <row r="600" ht="15.75" customHeight="1" x14ac:dyDescent="0.55000000000000004"/>
    <row r="601" ht="15.75" customHeight="1" x14ac:dyDescent="0.55000000000000004"/>
    <row r="602" ht="15.75" customHeight="1" x14ac:dyDescent="0.55000000000000004"/>
    <row r="603" ht="15.75" customHeight="1" x14ac:dyDescent="0.55000000000000004"/>
    <row r="604" ht="15.75" customHeight="1" x14ac:dyDescent="0.55000000000000004"/>
    <row r="605" ht="15.75" customHeight="1" x14ac:dyDescent="0.55000000000000004"/>
    <row r="606" ht="15.75" customHeight="1" x14ac:dyDescent="0.55000000000000004"/>
    <row r="607" ht="15.75" customHeight="1" x14ac:dyDescent="0.55000000000000004"/>
    <row r="608" ht="15.75" customHeight="1" x14ac:dyDescent="0.55000000000000004"/>
    <row r="609" ht="15.75" customHeight="1" x14ac:dyDescent="0.55000000000000004"/>
    <row r="610" ht="15.75" customHeight="1" x14ac:dyDescent="0.55000000000000004"/>
    <row r="611" ht="15.75" customHeight="1" x14ac:dyDescent="0.55000000000000004"/>
    <row r="612" ht="15.75" customHeight="1" x14ac:dyDescent="0.55000000000000004"/>
    <row r="613" ht="15.75" customHeight="1" x14ac:dyDescent="0.55000000000000004"/>
    <row r="614" ht="15.75" customHeight="1" x14ac:dyDescent="0.55000000000000004"/>
    <row r="615" ht="15.75" customHeight="1" x14ac:dyDescent="0.55000000000000004"/>
    <row r="616" ht="15.75" customHeight="1" x14ac:dyDescent="0.55000000000000004"/>
    <row r="617" ht="15.75" customHeight="1" x14ac:dyDescent="0.55000000000000004"/>
    <row r="618" ht="15.75" customHeight="1" x14ac:dyDescent="0.55000000000000004"/>
    <row r="619" ht="15.75" customHeight="1" x14ac:dyDescent="0.55000000000000004"/>
    <row r="620" ht="15.75" customHeight="1" x14ac:dyDescent="0.55000000000000004"/>
    <row r="621" ht="15.75" customHeight="1" x14ac:dyDescent="0.55000000000000004"/>
    <row r="622" ht="15.75" customHeight="1" x14ac:dyDescent="0.55000000000000004"/>
    <row r="623" ht="15.75" customHeight="1" x14ac:dyDescent="0.55000000000000004"/>
    <row r="624" ht="15.75" customHeight="1" x14ac:dyDescent="0.55000000000000004"/>
    <row r="625" ht="15.75" customHeight="1" x14ac:dyDescent="0.55000000000000004"/>
    <row r="626" ht="15.75" customHeight="1" x14ac:dyDescent="0.55000000000000004"/>
    <row r="627" ht="15.75" customHeight="1" x14ac:dyDescent="0.55000000000000004"/>
    <row r="628" ht="15.75" customHeight="1" x14ac:dyDescent="0.55000000000000004"/>
    <row r="629" ht="15.75" customHeight="1" x14ac:dyDescent="0.55000000000000004"/>
    <row r="630" ht="15.75" customHeight="1" x14ac:dyDescent="0.55000000000000004"/>
    <row r="631" ht="15.75" customHeight="1" x14ac:dyDescent="0.55000000000000004"/>
    <row r="632" ht="15.75" customHeight="1" x14ac:dyDescent="0.55000000000000004"/>
    <row r="633" ht="15.75" customHeight="1" x14ac:dyDescent="0.55000000000000004"/>
    <row r="634" ht="15.75" customHeight="1" x14ac:dyDescent="0.55000000000000004"/>
    <row r="635" ht="15.75" customHeight="1" x14ac:dyDescent="0.55000000000000004"/>
    <row r="636" ht="15.75" customHeight="1" x14ac:dyDescent="0.55000000000000004"/>
    <row r="637" ht="15.75" customHeight="1" x14ac:dyDescent="0.55000000000000004"/>
    <row r="638" ht="15.75" customHeight="1" x14ac:dyDescent="0.55000000000000004"/>
    <row r="639" ht="15.75" customHeight="1" x14ac:dyDescent="0.55000000000000004"/>
    <row r="640" ht="15.75" customHeight="1" x14ac:dyDescent="0.55000000000000004"/>
    <row r="641" ht="15.75" customHeight="1" x14ac:dyDescent="0.55000000000000004"/>
    <row r="642" ht="15.75" customHeight="1" x14ac:dyDescent="0.55000000000000004"/>
    <row r="643" ht="15.75" customHeight="1" x14ac:dyDescent="0.55000000000000004"/>
    <row r="644" ht="15.75" customHeight="1" x14ac:dyDescent="0.55000000000000004"/>
    <row r="645" ht="15.75" customHeight="1" x14ac:dyDescent="0.55000000000000004"/>
    <row r="646" ht="15.75" customHeight="1" x14ac:dyDescent="0.55000000000000004"/>
    <row r="647" ht="15.75" customHeight="1" x14ac:dyDescent="0.55000000000000004"/>
    <row r="648" ht="15.75" customHeight="1" x14ac:dyDescent="0.55000000000000004"/>
    <row r="649" ht="15.75" customHeight="1" x14ac:dyDescent="0.55000000000000004"/>
    <row r="650" ht="15.75" customHeight="1" x14ac:dyDescent="0.55000000000000004"/>
    <row r="651" ht="15.75" customHeight="1" x14ac:dyDescent="0.55000000000000004"/>
    <row r="652" ht="15.75" customHeight="1" x14ac:dyDescent="0.55000000000000004"/>
    <row r="653" ht="15.75" customHeight="1" x14ac:dyDescent="0.55000000000000004"/>
    <row r="654" ht="15.75" customHeight="1" x14ac:dyDescent="0.55000000000000004"/>
    <row r="655" ht="15.75" customHeight="1" x14ac:dyDescent="0.55000000000000004"/>
    <row r="656" ht="15.75" customHeight="1" x14ac:dyDescent="0.55000000000000004"/>
    <row r="657" ht="15.75" customHeight="1" x14ac:dyDescent="0.55000000000000004"/>
    <row r="658" ht="15.75" customHeight="1" x14ac:dyDescent="0.55000000000000004"/>
    <row r="659" ht="15.75" customHeight="1" x14ac:dyDescent="0.55000000000000004"/>
    <row r="660" ht="15.75" customHeight="1" x14ac:dyDescent="0.55000000000000004"/>
    <row r="661" ht="15.75" customHeight="1" x14ac:dyDescent="0.55000000000000004"/>
    <row r="662" ht="15.75" customHeight="1" x14ac:dyDescent="0.55000000000000004"/>
    <row r="663" ht="15.75" customHeight="1" x14ac:dyDescent="0.55000000000000004"/>
    <row r="664" ht="15.75" customHeight="1" x14ac:dyDescent="0.55000000000000004"/>
    <row r="665" ht="15.75" customHeight="1" x14ac:dyDescent="0.55000000000000004"/>
    <row r="666" ht="15.75" customHeight="1" x14ac:dyDescent="0.55000000000000004"/>
    <row r="667" ht="15.75" customHeight="1" x14ac:dyDescent="0.55000000000000004"/>
    <row r="668" ht="15.75" customHeight="1" x14ac:dyDescent="0.55000000000000004"/>
    <row r="669" ht="15.75" customHeight="1" x14ac:dyDescent="0.55000000000000004"/>
    <row r="670" ht="15.75" customHeight="1" x14ac:dyDescent="0.55000000000000004"/>
    <row r="671" ht="15.75" customHeight="1" x14ac:dyDescent="0.55000000000000004"/>
    <row r="672" ht="15.75" customHeight="1" x14ac:dyDescent="0.55000000000000004"/>
    <row r="673" ht="15.75" customHeight="1" x14ac:dyDescent="0.55000000000000004"/>
    <row r="674" ht="15.75" customHeight="1" x14ac:dyDescent="0.55000000000000004"/>
    <row r="675" ht="15.75" customHeight="1" x14ac:dyDescent="0.55000000000000004"/>
    <row r="676" ht="15.75" customHeight="1" x14ac:dyDescent="0.55000000000000004"/>
    <row r="677" ht="15.75" customHeight="1" x14ac:dyDescent="0.55000000000000004"/>
    <row r="678" ht="15.75" customHeight="1" x14ac:dyDescent="0.55000000000000004"/>
    <row r="679" ht="15.75" customHeight="1" x14ac:dyDescent="0.55000000000000004"/>
    <row r="680" ht="15.75" customHeight="1" x14ac:dyDescent="0.55000000000000004"/>
    <row r="681" ht="15.75" customHeight="1" x14ac:dyDescent="0.55000000000000004"/>
    <row r="682" ht="15.75" customHeight="1" x14ac:dyDescent="0.55000000000000004"/>
    <row r="683" ht="15.75" customHeight="1" x14ac:dyDescent="0.55000000000000004"/>
    <row r="684" ht="15.75" customHeight="1" x14ac:dyDescent="0.55000000000000004"/>
    <row r="685" ht="15.75" customHeight="1" x14ac:dyDescent="0.55000000000000004"/>
    <row r="686" ht="15.75" customHeight="1" x14ac:dyDescent="0.55000000000000004"/>
    <row r="687" ht="15.75" customHeight="1" x14ac:dyDescent="0.55000000000000004"/>
    <row r="688" ht="15.75" customHeight="1" x14ac:dyDescent="0.55000000000000004"/>
    <row r="689" ht="15.75" customHeight="1" x14ac:dyDescent="0.55000000000000004"/>
    <row r="690" ht="15.75" customHeight="1" x14ac:dyDescent="0.55000000000000004"/>
    <row r="691" ht="15.75" customHeight="1" x14ac:dyDescent="0.55000000000000004"/>
    <row r="692" ht="15.75" customHeight="1" x14ac:dyDescent="0.55000000000000004"/>
    <row r="693" ht="15.75" customHeight="1" x14ac:dyDescent="0.55000000000000004"/>
    <row r="694" ht="15.75" customHeight="1" x14ac:dyDescent="0.55000000000000004"/>
    <row r="695" ht="15.75" customHeight="1" x14ac:dyDescent="0.55000000000000004"/>
    <row r="696" ht="15.75" customHeight="1" x14ac:dyDescent="0.55000000000000004"/>
    <row r="697" ht="15.75" customHeight="1" x14ac:dyDescent="0.55000000000000004"/>
    <row r="698" ht="15.75" customHeight="1" x14ac:dyDescent="0.55000000000000004"/>
    <row r="699" ht="15.75" customHeight="1" x14ac:dyDescent="0.55000000000000004"/>
    <row r="700" ht="15.75" customHeight="1" x14ac:dyDescent="0.55000000000000004"/>
    <row r="701" ht="15.75" customHeight="1" x14ac:dyDescent="0.55000000000000004"/>
    <row r="702" ht="15.75" customHeight="1" x14ac:dyDescent="0.55000000000000004"/>
    <row r="703" ht="15.75" customHeight="1" x14ac:dyDescent="0.55000000000000004"/>
    <row r="704" ht="15.75" customHeight="1" x14ac:dyDescent="0.55000000000000004"/>
    <row r="705" ht="15.75" customHeight="1" x14ac:dyDescent="0.55000000000000004"/>
    <row r="706" ht="15.75" customHeight="1" x14ac:dyDescent="0.55000000000000004"/>
    <row r="707" ht="15.75" customHeight="1" x14ac:dyDescent="0.55000000000000004"/>
    <row r="708" ht="15.75" customHeight="1" x14ac:dyDescent="0.55000000000000004"/>
    <row r="709" ht="15.75" customHeight="1" x14ac:dyDescent="0.55000000000000004"/>
    <row r="710" ht="15.75" customHeight="1" x14ac:dyDescent="0.55000000000000004"/>
    <row r="711" ht="15.75" customHeight="1" x14ac:dyDescent="0.55000000000000004"/>
    <row r="712" ht="15.75" customHeight="1" x14ac:dyDescent="0.55000000000000004"/>
    <row r="713" ht="15.75" customHeight="1" x14ac:dyDescent="0.55000000000000004"/>
    <row r="714" ht="15.75" customHeight="1" x14ac:dyDescent="0.55000000000000004"/>
    <row r="715" ht="15.75" customHeight="1" x14ac:dyDescent="0.55000000000000004"/>
    <row r="716" ht="15.75" customHeight="1" x14ac:dyDescent="0.55000000000000004"/>
    <row r="717" ht="15.75" customHeight="1" x14ac:dyDescent="0.55000000000000004"/>
    <row r="718" ht="15.75" customHeight="1" x14ac:dyDescent="0.55000000000000004"/>
    <row r="719" ht="15.75" customHeight="1" x14ac:dyDescent="0.55000000000000004"/>
    <row r="720" ht="15.75" customHeight="1" x14ac:dyDescent="0.55000000000000004"/>
    <row r="721" ht="15.75" customHeight="1" x14ac:dyDescent="0.55000000000000004"/>
    <row r="722" ht="15.75" customHeight="1" x14ac:dyDescent="0.55000000000000004"/>
    <row r="723" ht="15.75" customHeight="1" x14ac:dyDescent="0.55000000000000004"/>
    <row r="724" ht="15.75" customHeight="1" x14ac:dyDescent="0.55000000000000004"/>
    <row r="725" ht="15.75" customHeight="1" x14ac:dyDescent="0.55000000000000004"/>
    <row r="726" ht="15.75" customHeight="1" x14ac:dyDescent="0.55000000000000004"/>
    <row r="727" ht="15.75" customHeight="1" x14ac:dyDescent="0.55000000000000004"/>
    <row r="728" ht="15.75" customHeight="1" x14ac:dyDescent="0.55000000000000004"/>
    <row r="729" ht="15.75" customHeight="1" x14ac:dyDescent="0.55000000000000004"/>
    <row r="730" ht="15.75" customHeight="1" x14ac:dyDescent="0.55000000000000004"/>
    <row r="731" ht="15.75" customHeight="1" x14ac:dyDescent="0.55000000000000004"/>
    <row r="732" ht="15.75" customHeight="1" x14ac:dyDescent="0.55000000000000004"/>
    <row r="733" ht="15.75" customHeight="1" x14ac:dyDescent="0.55000000000000004"/>
    <row r="734" ht="15.75" customHeight="1" x14ac:dyDescent="0.55000000000000004"/>
    <row r="735" ht="15.75" customHeight="1" x14ac:dyDescent="0.55000000000000004"/>
    <row r="736" ht="15.75" customHeight="1" x14ac:dyDescent="0.55000000000000004"/>
    <row r="737" ht="15.75" customHeight="1" x14ac:dyDescent="0.55000000000000004"/>
    <row r="738" ht="15.75" customHeight="1" x14ac:dyDescent="0.55000000000000004"/>
    <row r="739" ht="15.75" customHeight="1" x14ac:dyDescent="0.55000000000000004"/>
    <row r="740" ht="15.75" customHeight="1" x14ac:dyDescent="0.55000000000000004"/>
    <row r="741" ht="15.75" customHeight="1" x14ac:dyDescent="0.55000000000000004"/>
    <row r="742" ht="15.75" customHeight="1" x14ac:dyDescent="0.55000000000000004"/>
    <row r="743" ht="15.75" customHeight="1" x14ac:dyDescent="0.55000000000000004"/>
    <row r="744" ht="15.75" customHeight="1" x14ac:dyDescent="0.55000000000000004"/>
    <row r="745" ht="15.75" customHeight="1" x14ac:dyDescent="0.55000000000000004"/>
    <row r="746" ht="15.75" customHeight="1" x14ac:dyDescent="0.55000000000000004"/>
    <row r="747" ht="15.75" customHeight="1" x14ac:dyDescent="0.55000000000000004"/>
    <row r="748" ht="15.75" customHeight="1" x14ac:dyDescent="0.55000000000000004"/>
    <row r="749" ht="15.75" customHeight="1" x14ac:dyDescent="0.55000000000000004"/>
    <row r="750" ht="15.75" customHeight="1" x14ac:dyDescent="0.55000000000000004"/>
    <row r="751" ht="15.75" customHeight="1" x14ac:dyDescent="0.55000000000000004"/>
    <row r="752" ht="15.75" customHeight="1" x14ac:dyDescent="0.55000000000000004"/>
    <row r="753" ht="15.75" customHeight="1" x14ac:dyDescent="0.55000000000000004"/>
    <row r="754" ht="15.75" customHeight="1" x14ac:dyDescent="0.55000000000000004"/>
    <row r="755" ht="15.75" customHeight="1" x14ac:dyDescent="0.55000000000000004"/>
    <row r="756" ht="15.75" customHeight="1" x14ac:dyDescent="0.55000000000000004"/>
    <row r="757" ht="15.75" customHeight="1" x14ac:dyDescent="0.55000000000000004"/>
    <row r="758" ht="15.75" customHeight="1" x14ac:dyDescent="0.55000000000000004"/>
    <row r="759" ht="15.75" customHeight="1" x14ac:dyDescent="0.55000000000000004"/>
    <row r="760" ht="15.75" customHeight="1" x14ac:dyDescent="0.55000000000000004"/>
    <row r="761" ht="15.75" customHeight="1" x14ac:dyDescent="0.55000000000000004"/>
    <row r="762" ht="15.75" customHeight="1" x14ac:dyDescent="0.55000000000000004"/>
    <row r="763" ht="15.75" customHeight="1" x14ac:dyDescent="0.55000000000000004"/>
    <row r="764" ht="15.75" customHeight="1" x14ac:dyDescent="0.55000000000000004"/>
    <row r="765" ht="15.75" customHeight="1" x14ac:dyDescent="0.55000000000000004"/>
    <row r="766" ht="15.75" customHeight="1" x14ac:dyDescent="0.55000000000000004"/>
    <row r="767" ht="15.75" customHeight="1" x14ac:dyDescent="0.55000000000000004"/>
    <row r="768" ht="15.75" customHeight="1" x14ac:dyDescent="0.55000000000000004"/>
    <row r="769" ht="15.75" customHeight="1" x14ac:dyDescent="0.55000000000000004"/>
    <row r="770" ht="15.75" customHeight="1" x14ac:dyDescent="0.55000000000000004"/>
    <row r="771" ht="15.75" customHeight="1" x14ac:dyDescent="0.55000000000000004"/>
    <row r="772" ht="15.75" customHeight="1" x14ac:dyDescent="0.55000000000000004"/>
    <row r="773" ht="15.75" customHeight="1" x14ac:dyDescent="0.55000000000000004"/>
    <row r="774" ht="15.75" customHeight="1" x14ac:dyDescent="0.55000000000000004"/>
    <row r="775" ht="15.75" customHeight="1" x14ac:dyDescent="0.55000000000000004"/>
    <row r="776" ht="15.75" customHeight="1" x14ac:dyDescent="0.55000000000000004"/>
    <row r="777" ht="15.75" customHeight="1" x14ac:dyDescent="0.55000000000000004"/>
    <row r="778" ht="15.75" customHeight="1" x14ac:dyDescent="0.55000000000000004"/>
    <row r="779" ht="15.75" customHeight="1" x14ac:dyDescent="0.55000000000000004"/>
    <row r="780" ht="15.75" customHeight="1" x14ac:dyDescent="0.55000000000000004"/>
    <row r="781" ht="15.75" customHeight="1" x14ac:dyDescent="0.55000000000000004"/>
    <row r="782" ht="15.75" customHeight="1" x14ac:dyDescent="0.55000000000000004"/>
    <row r="783" ht="15.75" customHeight="1" x14ac:dyDescent="0.55000000000000004"/>
    <row r="784" ht="15.75" customHeight="1" x14ac:dyDescent="0.55000000000000004"/>
    <row r="785" ht="15.75" customHeight="1" x14ac:dyDescent="0.55000000000000004"/>
    <row r="786" ht="15.75" customHeight="1" x14ac:dyDescent="0.55000000000000004"/>
    <row r="787" ht="15.75" customHeight="1" x14ac:dyDescent="0.55000000000000004"/>
    <row r="788" ht="15.75" customHeight="1" x14ac:dyDescent="0.55000000000000004"/>
    <row r="789" ht="15.75" customHeight="1" x14ac:dyDescent="0.55000000000000004"/>
    <row r="790" ht="15.75" customHeight="1" x14ac:dyDescent="0.55000000000000004"/>
    <row r="791" ht="15.75" customHeight="1" x14ac:dyDescent="0.55000000000000004"/>
    <row r="792" ht="15.75" customHeight="1" x14ac:dyDescent="0.55000000000000004"/>
    <row r="793" ht="15.75" customHeight="1" x14ac:dyDescent="0.55000000000000004"/>
    <row r="794" ht="15.75" customHeight="1" x14ac:dyDescent="0.55000000000000004"/>
    <row r="795" ht="15.75" customHeight="1" x14ac:dyDescent="0.55000000000000004"/>
    <row r="796" ht="15.75" customHeight="1" x14ac:dyDescent="0.55000000000000004"/>
    <row r="797" ht="15.75" customHeight="1" x14ac:dyDescent="0.55000000000000004"/>
    <row r="798" ht="15.75" customHeight="1" x14ac:dyDescent="0.55000000000000004"/>
    <row r="799" ht="15.75" customHeight="1" x14ac:dyDescent="0.55000000000000004"/>
    <row r="800" ht="15.75" customHeight="1" x14ac:dyDescent="0.55000000000000004"/>
    <row r="801" ht="15.75" customHeight="1" x14ac:dyDescent="0.55000000000000004"/>
    <row r="802" ht="15.75" customHeight="1" x14ac:dyDescent="0.55000000000000004"/>
    <row r="803" ht="15.75" customHeight="1" x14ac:dyDescent="0.55000000000000004"/>
    <row r="804" ht="15.75" customHeight="1" x14ac:dyDescent="0.55000000000000004"/>
    <row r="805" ht="15.75" customHeight="1" x14ac:dyDescent="0.55000000000000004"/>
    <row r="806" ht="15.75" customHeight="1" x14ac:dyDescent="0.55000000000000004"/>
    <row r="807" ht="15.75" customHeight="1" x14ac:dyDescent="0.55000000000000004"/>
    <row r="808" ht="15.75" customHeight="1" x14ac:dyDescent="0.55000000000000004"/>
    <row r="809" ht="15.75" customHeight="1" x14ac:dyDescent="0.55000000000000004"/>
    <row r="810" ht="15.75" customHeight="1" x14ac:dyDescent="0.55000000000000004"/>
    <row r="811" ht="15.75" customHeight="1" x14ac:dyDescent="0.55000000000000004"/>
    <row r="812" ht="15.75" customHeight="1" x14ac:dyDescent="0.55000000000000004"/>
    <row r="813" ht="15.75" customHeight="1" x14ac:dyDescent="0.55000000000000004"/>
    <row r="814" ht="15.75" customHeight="1" x14ac:dyDescent="0.55000000000000004"/>
    <row r="815" ht="15.75" customHeight="1" x14ac:dyDescent="0.55000000000000004"/>
    <row r="816" ht="15.75" customHeight="1" x14ac:dyDescent="0.55000000000000004"/>
    <row r="817" ht="15.75" customHeight="1" x14ac:dyDescent="0.55000000000000004"/>
    <row r="818" ht="15.75" customHeight="1" x14ac:dyDescent="0.55000000000000004"/>
    <row r="819" ht="15.75" customHeight="1" x14ac:dyDescent="0.55000000000000004"/>
    <row r="820" ht="15.75" customHeight="1" x14ac:dyDescent="0.55000000000000004"/>
    <row r="821" ht="15.75" customHeight="1" x14ac:dyDescent="0.55000000000000004"/>
    <row r="822" ht="15.75" customHeight="1" x14ac:dyDescent="0.55000000000000004"/>
    <row r="823" ht="15.75" customHeight="1" x14ac:dyDescent="0.55000000000000004"/>
    <row r="824" ht="15.75" customHeight="1" x14ac:dyDescent="0.55000000000000004"/>
    <row r="825" ht="15.75" customHeight="1" x14ac:dyDescent="0.55000000000000004"/>
    <row r="826" ht="15.75" customHeight="1" x14ac:dyDescent="0.55000000000000004"/>
    <row r="827" ht="15.75" customHeight="1" x14ac:dyDescent="0.55000000000000004"/>
    <row r="828" ht="15.75" customHeight="1" x14ac:dyDescent="0.55000000000000004"/>
    <row r="829" ht="15.75" customHeight="1" x14ac:dyDescent="0.55000000000000004"/>
    <row r="830" ht="15.75" customHeight="1" x14ac:dyDescent="0.55000000000000004"/>
    <row r="831" ht="15.75" customHeight="1" x14ac:dyDescent="0.55000000000000004"/>
    <row r="832" ht="15.75" customHeight="1" x14ac:dyDescent="0.55000000000000004"/>
    <row r="833" ht="15.75" customHeight="1" x14ac:dyDescent="0.55000000000000004"/>
    <row r="834" ht="15.75" customHeight="1" x14ac:dyDescent="0.55000000000000004"/>
    <row r="835" ht="15.75" customHeight="1" x14ac:dyDescent="0.55000000000000004"/>
    <row r="836" ht="15.75" customHeight="1" x14ac:dyDescent="0.55000000000000004"/>
    <row r="837" ht="15.75" customHeight="1" x14ac:dyDescent="0.55000000000000004"/>
    <row r="838" ht="15.75" customHeight="1" x14ac:dyDescent="0.55000000000000004"/>
    <row r="839" ht="15.75" customHeight="1" x14ac:dyDescent="0.55000000000000004"/>
    <row r="840" ht="15.75" customHeight="1" x14ac:dyDescent="0.55000000000000004"/>
    <row r="841" ht="15.75" customHeight="1" x14ac:dyDescent="0.55000000000000004"/>
    <row r="842" ht="15.75" customHeight="1" x14ac:dyDescent="0.55000000000000004"/>
    <row r="843" ht="15.75" customHeight="1" x14ac:dyDescent="0.55000000000000004"/>
    <row r="844" ht="15.75" customHeight="1" x14ac:dyDescent="0.55000000000000004"/>
    <row r="845" ht="15.75" customHeight="1" x14ac:dyDescent="0.55000000000000004"/>
    <row r="846" ht="15.75" customHeight="1" x14ac:dyDescent="0.55000000000000004"/>
    <row r="847" ht="15.75" customHeight="1" x14ac:dyDescent="0.55000000000000004"/>
    <row r="848" ht="15.75" customHeight="1" x14ac:dyDescent="0.55000000000000004"/>
    <row r="849" ht="15.75" customHeight="1" x14ac:dyDescent="0.55000000000000004"/>
    <row r="850" ht="15.75" customHeight="1" x14ac:dyDescent="0.55000000000000004"/>
    <row r="851" ht="15.75" customHeight="1" x14ac:dyDescent="0.55000000000000004"/>
    <row r="852" ht="15.75" customHeight="1" x14ac:dyDescent="0.55000000000000004"/>
    <row r="853" ht="15.75" customHeight="1" x14ac:dyDescent="0.55000000000000004"/>
    <row r="854" ht="15.75" customHeight="1" x14ac:dyDescent="0.55000000000000004"/>
    <row r="855" ht="15.75" customHeight="1" x14ac:dyDescent="0.55000000000000004"/>
    <row r="856" ht="15.75" customHeight="1" x14ac:dyDescent="0.55000000000000004"/>
    <row r="857" ht="15.75" customHeight="1" x14ac:dyDescent="0.55000000000000004"/>
    <row r="858" ht="15.75" customHeight="1" x14ac:dyDescent="0.55000000000000004"/>
    <row r="859" ht="15.75" customHeight="1" x14ac:dyDescent="0.55000000000000004"/>
    <row r="860" ht="15.75" customHeight="1" x14ac:dyDescent="0.55000000000000004"/>
    <row r="861" ht="15.75" customHeight="1" x14ac:dyDescent="0.55000000000000004"/>
    <row r="862" ht="15.75" customHeight="1" x14ac:dyDescent="0.55000000000000004"/>
    <row r="863" ht="15.75" customHeight="1" x14ac:dyDescent="0.55000000000000004"/>
    <row r="864" ht="15.75" customHeight="1" x14ac:dyDescent="0.55000000000000004"/>
    <row r="865" ht="15.75" customHeight="1" x14ac:dyDescent="0.55000000000000004"/>
    <row r="866" ht="15.75" customHeight="1" x14ac:dyDescent="0.55000000000000004"/>
    <row r="867" ht="15.75" customHeight="1" x14ac:dyDescent="0.55000000000000004"/>
    <row r="868" ht="15.75" customHeight="1" x14ac:dyDescent="0.55000000000000004"/>
    <row r="869" ht="15.75" customHeight="1" x14ac:dyDescent="0.55000000000000004"/>
    <row r="870" ht="15.75" customHeight="1" x14ac:dyDescent="0.55000000000000004"/>
    <row r="871" ht="15.75" customHeight="1" x14ac:dyDescent="0.55000000000000004"/>
    <row r="872" ht="15.75" customHeight="1" x14ac:dyDescent="0.55000000000000004"/>
    <row r="873" ht="15.75" customHeight="1" x14ac:dyDescent="0.55000000000000004"/>
    <row r="874" ht="15.75" customHeight="1" x14ac:dyDescent="0.55000000000000004"/>
    <row r="875" ht="15.75" customHeight="1" x14ac:dyDescent="0.55000000000000004"/>
    <row r="876" ht="15.75" customHeight="1" x14ac:dyDescent="0.55000000000000004"/>
    <row r="877" ht="15.75" customHeight="1" x14ac:dyDescent="0.55000000000000004"/>
    <row r="878" ht="15.75" customHeight="1" x14ac:dyDescent="0.55000000000000004"/>
    <row r="879" ht="15.75" customHeight="1" x14ac:dyDescent="0.55000000000000004"/>
    <row r="880" ht="15.75" customHeight="1" x14ac:dyDescent="0.55000000000000004"/>
    <row r="881" ht="15.75" customHeight="1" x14ac:dyDescent="0.55000000000000004"/>
    <row r="882" ht="15.75" customHeight="1" x14ac:dyDescent="0.55000000000000004"/>
    <row r="883" ht="15.75" customHeight="1" x14ac:dyDescent="0.55000000000000004"/>
    <row r="884" ht="15.75" customHeight="1" x14ac:dyDescent="0.55000000000000004"/>
    <row r="885" ht="15.75" customHeight="1" x14ac:dyDescent="0.55000000000000004"/>
    <row r="886" ht="15.75" customHeight="1" x14ac:dyDescent="0.55000000000000004"/>
    <row r="887" ht="15.75" customHeight="1" x14ac:dyDescent="0.55000000000000004"/>
    <row r="888" ht="15.75" customHeight="1" x14ac:dyDescent="0.55000000000000004"/>
    <row r="889" ht="15.75" customHeight="1" x14ac:dyDescent="0.55000000000000004"/>
    <row r="890" ht="15.75" customHeight="1" x14ac:dyDescent="0.55000000000000004"/>
    <row r="891" ht="15.75" customHeight="1" x14ac:dyDescent="0.55000000000000004"/>
    <row r="892" ht="15.75" customHeight="1" x14ac:dyDescent="0.55000000000000004"/>
    <row r="893" ht="15.75" customHeight="1" x14ac:dyDescent="0.55000000000000004"/>
    <row r="894" ht="15.75" customHeight="1" x14ac:dyDescent="0.55000000000000004"/>
    <row r="895" ht="15.75" customHeight="1" x14ac:dyDescent="0.55000000000000004"/>
    <row r="896" ht="15.75" customHeight="1" x14ac:dyDescent="0.55000000000000004"/>
    <row r="897" ht="15.75" customHeight="1" x14ac:dyDescent="0.55000000000000004"/>
    <row r="898" ht="15.75" customHeight="1" x14ac:dyDescent="0.55000000000000004"/>
    <row r="899" ht="15.75" customHeight="1" x14ac:dyDescent="0.55000000000000004"/>
    <row r="900" ht="15.75" customHeight="1" x14ac:dyDescent="0.55000000000000004"/>
    <row r="901" ht="15.75" customHeight="1" x14ac:dyDescent="0.55000000000000004"/>
    <row r="902" ht="15.75" customHeight="1" x14ac:dyDescent="0.55000000000000004"/>
    <row r="903" ht="15.75" customHeight="1" x14ac:dyDescent="0.55000000000000004"/>
    <row r="904" ht="15.75" customHeight="1" x14ac:dyDescent="0.55000000000000004"/>
    <row r="905" ht="15.75" customHeight="1" x14ac:dyDescent="0.55000000000000004"/>
    <row r="906" ht="15.75" customHeight="1" x14ac:dyDescent="0.55000000000000004"/>
    <row r="907" ht="15.75" customHeight="1" x14ac:dyDescent="0.55000000000000004"/>
    <row r="908" ht="15.75" customHeight="1" x14ac:dyDescent="0.55000000000000004"/>
    <row r="909" ht="15.75" customHeight="1" x14ac:dyDescent="0.55000000000000004"/>
    <row r="910" ht="15.75" customHeight="1" x14ac:dyDescent="0.55000000000000004"/>
    <row r="911" ht="15.75" customHeight="1" x14ac:dyDescent="0.55000000000000004"/>
    <row r="912" ht="15.75" customHeight="1" x14ac:dyDescent="0.55000000000000004"/>
    <row r="913" ht="15.75" customHeight="1" x14ac:dyDescent="0.55000000000000004"/>
    <row r="914" ht="15.75" customHeight="1" x14ac:dyDescent="0.55000000000000004"/>
    <row r="915" ht="15.75" customHeight="1" x14ac:dyDescent="0.55000000000000004"/>
    <row r="916" ht="15.75" customHeight="1" x14ac:dyDescent="0.55000000000000004"/>
    <row r="917" ht="15.75" customHeight="1" x14ac:dyDescent="0.55000000000000004"/>
    <row r="918" ht="15.75" customHeight="1" x14ac:dyDescent="0.55000000000000004"/>
    <row r="919" ht="15.75" customHeight="1" x14ac:dyDescent="0.55000000000000004"/>
    <row r="920" ht="15.75" customHeight="1" x14ac:dyDescent="0.55000000000000004"/>
    <row r="921" ht="15.75" customHeight="1" x14ac:dyDescent="0.55000000000000004"/>
    <row r="922" ht="15.75" customHeight="1" x14ac:dyDescent="0.55000000000000004"/>
    <row r="923" ht="15.75" customHeight="1" x14ac:dyDescent="0.55000000000000004"/>
    <row r="924" ht="15.75" customHeight="1" x14ac:dyDescent="0.55000000000000004"/>
    <row r="925" ht="15.75" customHeight="1" x14ac:dyDescent="0.55000000000000004"/>
    <row r="926" ht="15.75" customHeight="1" x14ac:dyDescent="0.55000000000000004"/>
    <row r="927" ht="15.75" customHeight="1" x14ac:dyDescent="0.55000000000000004"/>
    <row r="928" ht="15.75" customHeight="1" x14ac:dyDescent="0.55000000000000004"/>
    <row r="929" ht="15.75" customHeight="1" x14ac:dyDescent="0.55000000000000004"/>
    <row r="930" ht="15.75" customHeight="1" x14ac:dyDescent="0.55000000000000004"/>
    <row r="931" ht="15.75" customHeight="1" x14ac:dyDescent="0.55000000000000004"/>
    <row r="932" ht="15.75" customHeight="1" x14ac:dyDescent="0.55000000000000004"/>
    <row r="933" ht="15.75" customHeight="1" x14ac:dyDescent="0.55000000000000004"/>
    <row r="934" ht="15.75" customHeight="1" x14ac:dyDescent="0.55000000000000004"/>
    <row r="935" ht="15.75" customHeight="1" x14ac:dyDescent="0.55000000000000004"/>
    <row r="936" ht="15.75" customHeight="1" x14ac:dyDescent="0.55000000000000004"/>
    <row r="937" ht="15.75" customHeight="1" x14ac:dyDescent="0.55000000000000004"/>
    <row r="938" ht="15.75" customHeight="1" x14ac:dyDescent="0.55000000000000004"/>
    <row r="939" ht="15.75" customHeight="1" x14ac:dyDescent="0.55000000000000004"/>
    <row r="940" ht="15.75" customHeight="1" x14ac:dyDescent="0.55000000000000004"/>
    <row r="941" ht="15.75" customHeight="1" x14ac:dyDescent="0.55000000000000004"/>
    <row r="942" ht="15.75" customHeight="1" x14ac:dyDescent="0.55000000000000004"/>
    <row r="943" ht="15.75" customHeight="1" x14ac:dyDescent="0.55000000000000004"/>
    <row r="944" ht="15.75" customHeight="1" x14ac:dyDescent="0.55000000000000004"/>
    <row r="945" ht="15.75" customHeight="1" x14ac:dyDescent="0.55000000000000004"/>
    <row r="946" ht="15.75" customHeight="1" x14ac:dyDescent="0.55000000000000004"/>
    <row r="947" ht="15.75" customHeight="1" x14ac:dyDescent="0.55000000000000004"/>
    <row r="948" ht="15.75" customHeight="1" x14ac:dyDescent="0.55000000000000004"/>
    <row r="949" ht="15.75" customHeight="1" x14ac:dyDescent="0.55000000000000004"/>
    <row r="950" ht="15.75" customHeight="1" x14ac:dyDescent="0.55000000000000004"/>
    <row r="951" ht="15.75" customHeight="1" x14ac:dyDescent="0.55000000000000004"/>
    <row r="952" ht="15.75" customHeight="1" x14ac:dyDescent="0.55000000000000004"/>
    <row r="953" ht="15.75" customHeight="1" x14ac:dyDescent="0.55000000000000004"/>
    <row r="954" ht="15.75" customHeight="1" x14ac:dyDescent="0.55000000000000004"/>
    <row r="955" ht="15.75" customHeight="1" x14ac:dyDescent="0.55000000000000004"/>
    <row r="956" ht="15.75" customHeight="1" x14ac:dyDescent="0.55000000000000004"/>
    <row r="957" ht="15.75" customHeight="1" x14ac:dyDescent="0.55000000000000004"/>
    <row r="958" ht="15.75" customHeight="1" x14ac:dyDescent="0.55000000000000004"/>
    <row r="959" ht="15.75" customHeight="1" x14ac:dyDescent="0.55000000000000004"/>
    <row r="960" ht="15.75" customHeight="1" x14ac:dyDescent="0.55000000000000004"/>
    <row r="961" ht="15.75" customHeight="1" x14ac:dyDescent="0.55000000000000004"/>
    <row r="962" ht="15.75" customHeight="1" x14ac:dyDescent="0.55000000000000004"/>
    <row r="963" ht="15.75" customHeight="1" x14ac:dyDescent="0.55000000000000004"/>
    <row r="964" ht="15.75" customHeight="1" x14ac:dyDescent="0.55000000000000004"/>
    <row r="965" ht="15.75" customHeight="1" x14ac:dyDescent="0.55000000000000004"/>
    <row r="966" ht="15.75" customHeight="1" x14ac:dyDescent="0.55000000000000004"/>
    <row r="967" ht="15.75" customHeight="1" x14ac:dyDescent="0.55000000000000004"/>
    <row r="968" ht="15.75" customHeight="1" x14ac:dyDescent="0.55000000000000004"/>
    <row r="969" ht="15.75" customHeight="1" x14ac:dyDescent="0.55000000000000004"/>
    <row r="970" ht="15.75" customHeight="1" x14ac:dyDescent="0.55000000000000004"/>
    <row r="971" ht="15.75" customHeight="1" x14ac:dyDescent="0.55000000000000004"/>
    <row r="972" ht="15.75" customHeight="1" x14ac:dyDescent="0.55000000000000004"/>
    <row r="973" ht="15.75" customHeight="1" x14ac:dyDescent="0.55000000000000004"/>
    <row r="974" ht="15.75" customHeight="1" x14ac:dyDescent="0.55000000000000004"/>
    <row r="975" ht="15.75" customHeight="1" x14ac:dyDescent="0.55000000000000004"/>
    <row r="976" ht="15.75" customHeight="1" x14ac:dyDescent="0.55000000000000004"/>
    <row r="977" ht="15.75" customHeight="1" x14ac:dyDescent="0.55000000000000004"/>
    <row r="978" ht="15.75" customHeight="1" x14ac:dyDescent="0.55000000000000004"/>
    <row r="979" ht="15.75" customHeight="1" x14ac:dyDescent="0.55000000000000004"/>
    <row r="980" ht="15.75" customHeight="1" x14ac:dyDescent="0.55000000000000004"/>
    <row r="981" ht="15.75" customHeight="1" x14ac:dyDescent="0.55000000000000004"/>
    <row r="982" ht="15.75" customHeight="1" x14ac:dyDescent="0.55000000000000004"/>
    <row r="983" ht="15.75" customHeight="1" x14ac:dyDescent="0.55000000000000004"/>
    <row r="984" ht="15.75" customHeight="1" x14ac:dyDescent="0.55000000000000004"/>
    <row r="985" ht="15.75" customHeight="1" x14ac:dyDescent="0.55000000000000004"/>
    <row r="986" ht="15.75" customHeight="1" x14ac:dyDescent="0.55000000000000004"/>
    <row r="987" ht="15.75" customHeight="1" x14ac:dyDescent="0.55000000000000004"/>
    <row r="988" ht="15.75" customHeight="1" x14ac:dyDescent="0.55000000000000004"/>
    <row r="989" ht="15.75" customHeight="1" x14ac:dyDescent="0.55000000000000004"/>
    <row r="990" ht="15.75" customHeight="1" x14ac:dyDescent="0.55000000000000004"/>
    <row r="991" ht="15.75" customHeight="1" x14ac:dyDescent="0.55000000000000004"/>
    <row r="992" ht="15.75" customHeight="1" x14ac:dyDescent="0.55000000000000004"/>
    <row r="993" ht="15.75" customHeight="1" x14ac:dyDescent="0.55000000000000004"/>
    <row r="994" ht="15.75" customHeight="1" x14ac:dyDescent="0.55000000000000004"/>
    <row r="995" ht="15.75" customHeight="1" x14ac:dyDescent="0.55000000000000004"/>
    <row r="996" ht="15.75" customHeight="1" x14ac:dyDescent="0.55000000000000004"/>
    <row r="997" ht="15.75" customHeight="1" x14ac:dyDescent="0.55000000000000004"/>
    <row r="998" ht="15.75" customHeight="1" x14ac:dyDescent="0.55000000000000004"/>
    <row r="999" ht="15.75" customHeight="1" x14ac:dyDescent="0.55000000000000004"/>
    <row r="1000" ht="15.75" customHeight="1" x14ac:dyDescent="0.55000000000000004"/>
  </sheetData>
  <mergeCells count="70">
    <mergeCell ref="G4:G7"/>
    <mergeCell ref="H4:H7"/>
    <mergeCell ref="I4:I7"/>
    <mergeCell ref="J4:J7"/>
    <mergeCell ref="AE8:AE10"/>
    <mergeCell ref="X8:X10"/>
    <mergeCell ref="Y8:Y10"/>
    <mergeCell ref="Z8:Z10"/>
    <mergeCell ref="AA8:AA10"/>
    <mergeCell ref="AB8:AB10"/>
    <mergeCell ref="AC8:AC10"/>
    <mergeCell ref="AD8:AD10"/>
    <mergeCell ref="V8:V10"/>
    <mergeCell ref="W8:W10"/>
    <mergeCell ref="O8:O10"/>
    <mergeCell ref="P8:P10"/>
    <mergeCell ref="K4:K7"/>
    <mergeCell ref="L4:L7"/>
    <mergeCell ref="M4:M7"/>
    <mergeCell ref="N4:N7"/>
    <mergeCell ref="O4:O7"/>
    <mergeCell ref="A1:F1"/>
    <mergeCell ref="A2:A3"/>
    <mergeCell ref="F2:F3"/>
    <mergeCell ref="B4:B7"/>
    <mergeCell ref="C4:C7"/>
    <mergeCell ref="D4:D7"/>
    <mergeCell ref="F6:F7"/>
    <mergeCell ref="A4:A7"/>
    <mergeCell ref="E4:E7"/>
    <mergeCell ref="A8:A10"/>
    <mergeCell ref="B8:B10"/>
    <mergeCell ref="C8:C10"/>
    <mergeCell ref="D8:D10"/>
    <mergeCell ref="E8:E10"/>
    <mergeCell ref="G8:G10"/>
    <mergeCell ref="H8:H10"/>
    <mergeCell ref="I8:I10"/>
    <mergeCell ref="J8:J10"/>
    <mergeCell ref="K8:K10"/>
    <mergeCell ref="L8:L10"/>
    <mergeCell ref="M8:M10"/>
    <mergeCell ref="N8:N10"/>
    <mergeCell ref="T4:T7"/>
    <mergeCell ref="U4:U7"/>
    <mergeCell ref="P4:P7"/>
    <mergeCell ref="Q4:Q7"/>
    <mergeCell ref="R4:R7"/>
    <mergeCell ref="S4:S7"/>
    <mergeCell ref="Q8:Q10"/>
    <mergeCell ref="R8:R10"/>
    <mergeCell ref="S8:S10"/>
    <mergeCell ref="T8:T10"/>
    <mergeCell ref="U8:U10"/>
    <mergeCell ref="V4:V7"/>
    <mergeCell ref="W4:W7"/>
    <mergeCell ref="X4:X7"/>
    <mergeCell ref="Y4:Y7"/>
    <mergeCell ref="Z4:Z7"/>
    <mergeCell ref="AG4:AG7"/>
    <mergeCell ref="AG8:AG10"/>
    <mergeCell ref="AH8:AH10"/>
    <mergeCell ref="AA4:AA7"/>
    <mergeCell ref="AB4:AB7"/>
    <mergeCell ref="AC4:AC7"/>
    <mergeCell ref="AD4:AD7"/>
    <mergeCell ref="AE4:AE7"/>
    <mergeCell ref="AF4:AF7"/>
    <mergeCell ref="AH4:AH7"/>
    <mergeCell ref="AF8:AF10"/>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2AB82-666F-43D3-9D21-56EB71830555}">
  <sheetPr>
    <pageSetUpPr fitToPage="1"/>
  </sheetPr>
  <dimension ref="A1:AD974"/>
  <sheetViews>
    <sheetView tabSelected="1" view="pageBreakPreview" topLeftCell="D1" zoomScale="68" zoomScaleNormal="68" zoomScaleSheetLayoutView="68" workbookViewId="0">
      <selection activeCell="M6" sqref="M6"/>
    </sheetView>
  </sheetViews>
  <sheetFormatPr defaultColWidth="14.41796875" defaultRowHeight="15" customHeight="1" x14ac:dyDescent="0.55000000000000004"/>
  <cols>
    <col min="1" max="1" width="5.41796875" style="124" customWidth="1"/>
    <col min="2" max="2" width="16.15625" style="124" customWidth="1"/>
    <col min="3" max="3" width="13.15625" style="124" customWidth="1"/>
    <col min="4" max="4" width="28.15625" style="124" customWidth="1"/>
    <col min="5" max="5" width="7.68359375" style="124" customWidth="1"/>
    <col min="6" max="6" width="8.578125" style="124" customWidth="1"/>
    <col min="7" max="7" width="7.68359375" style="124" customWidth="1"/>
    <col min="8" max="8" width="6.68359375" style="124" customWidth="1"/>
    <col min="9" max="9" width="7.15625" style="124" customWidth="1"/>
    <col min="10" max="10" width="7" style="124" customWidth="1"/>
    <col min="11" max="11" width="6.41796875" style="124" customWidth="1"/>
    <col min="12" max="12" width="6.578125" style="124" customWidth="1"/>
    <col min="13" max="13" width="7.68359375" customWidth="1"/>
    <col min="14" max="14" width="11.47265625" style="124" customWidth="1"/>
    <col min="15" max="15" width="7.68359375" customWidth="1"/>
    <col min="16" max="16" width="10.26171875" style="124" customWidth="1"/>
    <col min="17" max="17" width="11.3671875" style="124" customWidth="1"/>
    <col min="18" max="18" width="10.26171875" customWidth="1"/>
    <col min="19" max="20" width="11.68359375" style="124" customWidth="1"/>
    <col min="21" max="21" width="11.68359375" customWidth="1"/>
    <col min="22" max="22" width="11" style="124" customWidth="1"/>
    <col min="23" max="23" width="12.20703125" style="124" customWidth="1"/>
    <col min="24" max="24" width="9.3671875" customWidth="1"/>
    <col min="25" max="25" width="9.15625" customWidth="1"/>
    <col min="26" max="26" width="12.62890625" customWidth="1"/>
    <col min="27" max="27" width="45.15625" style="124" customWidth="1"/>
    <col min="28" max="30" width="9.15625" style="124" customWidth="1"/>
  </cols>
  <sheetData>
    <row r="1" spans="1:27" ht="31.2" customHeight="1" x14ac:dyDescent="0.55000000000000004">
      <c r="A1" s="185" t="s">
        <v>288</v>
      </c>
      <c r="B1" s="185"/>
      <c r="C1" s="185"/>
      <c r="D1" s="185"/>
      <c r="E1" s="185"/>
      <c r="F1" s="185"/>
      <c r="G1" s="185"/>
      <c r="H1" s="185"/>
      <c r="I1" s="185"/>
      <c r="J1" s="185"/>
      <c r="K1" s="185"/>
      <c r="L1" s="185"/>
      <c r="M1" s="185"/>
      <c r="N1" s="185"/>
      <c r="O1" s="185"/>
      <c r="P1" s="185"/>
      <c r="Q1" s="185"/>
      <c r="R1" s="185"/>
      <c r="S1" s="185"/>
      <c r="T1" s="185"/>
      <c r="U1" s="185"/>
      <c r="V1" s="185"/>
      <c r="W1" s="185"/>
      <c r="X1" s="185"/>
      <c r="Y1" s="185"/>
      <c r="Z1" s="185"/>
      <c r="AA1" s="185"/>
    </row>
    <row r="2" spans="1:27" ht="15" customHeight="1" x14ac:dyDescent="0.55000000000000004">
      <c r="A2" s="77" t="s">
        <v>217</v>
      </c>
      <c r="B2" s="78"/>
      <c r="C2" s="79"/>
      <c r="D2" s="79"/>
      <c r="E2" s="77"/>
      <c r="F2" s="77"/>
      <c r="G2" s="77"/>
      <c r="H2" s="77"/>
      <c r="I2" s="77"/>
      <c r="J2" s="77"/>
      <c r="K2" s="77"/>
      <c r="L2" s="77"/>
      <c r="M2" s="77"/>
      <c r="N2" s="77"/>
      <c r="O2" s="77"/>
      <c r="P2" s="77"/>
      <c r="Q2" s="77"/>
      <c r="R2" s="77"/>
      <c r="S2" s="77"/>
      <c r="T2" s="77"/>
      <c r="U2" s="77"/>
      <c r="V2" s="77"/>
      <c r="W2" s="77"/>
      <c r="X2" s="77"/>
      <c r="Y2" s="79"/>
      <c r="Z2" s="79"/>
      <c r="AA2" s="79"/>
    </row>
    <row r="3" spans="1:27" ht="15" customHeight="1" x14ac:dyDescent="0.55000000000000004">
      <c r="A3" s="87"/>
      <c r="B3" s="88"/>
      <c r="C3" s="87"/>
      <c r="D3" s="191" t="s">
        <v>303</v>
      </c>
      <c r="E3" s="190" t="s">
        <v>295</v>
      </c>
      <c r="F3" s="190"/>
      <c r="G3" s="190"/>
      <c r="H3" s="190"/>
      <c r="I3" s="190"/>
      <c r="J3" s="190"/>
      <c r="K3" s="190"/>
      <c r="L3" s="190"/>
      <c r="M3" s="190"/>
      <c r="N3" s="190"/>
      <c r="O3" s="190"/>
      <c r="P3" s="187" t="s">
        <v>299</v>
      </c>
      <c r="Q3" s="188"/>
      <c r="R3" s="188"/>
      <c r="S3" s="189" t="s">
        <v>300</v>
      </c>
      <c r="T3" s="190"/>
      <c r="U3" s="190"/>
      <c r="V3" s="188" t="s">
        <v>301</v>
      </c>
      <c r="W3" s="188"/>
      <c r="X3" s="188"/>
      <c r="Y3" s="193" t="s">
        <v>283</v>
      </c>
      <c r="Z3" s="193" t="s">
        <v>284</v>
      </c>
      <c r="AA3" s="193" t="s">
        <v>285</v>
      </c>
    </row>
    <row r="4" spans="1:27" ht="45.4" customHeight="1" x14ac:dyDescent="0.55000000000000004">
      <c r="A4" s="80" t="s">
        <v>215</v>
      </c>
      <c r="B4" s="81" t="s">
        <v>214</v>
      </c>
      <c r="C4" s="81" t="s">
        <v>57</v>
      </c>
      <c r="D4" s="192"/>
      <c r="E4" s="182" t="s">
        <v>302</v>
      </c>
      <c r="F4" s="183"/>
      <c r="G4" s="183"/>
      <c r="H4" s="183"/>
      <c r="I4" s="183"/>
      <c r="J4" s="183"/>
      <c r="K4" s="183"/>
      <c r="L4" s="183"/>
      <c r="M4" s="96" t="s">
        <v>306</v>
      </c>
      <c r="N4" s="96" t="s">
        <v>298</v>
      </c>
      <c r="O4" s="96" t="s">
        <v>296</v>
      </c>
      <c r="P4" s="95" t="s">
        <v>297</v>
      </c>
      <c r="Q4" s="94" t="s">
        <v>298</v>
      </c>
      <c r="R4" s="94" t="s">
        <v>296</v>
      </c>
      <c r="S4" s="89" t="s">
        <v>297</v>
      </c>
      <c r="T4" s="89" t="s">
        <v>298</v>
      </c>
      <c r="U4" s="89" t="s">
        <v>296</v>
      </c>
      <c r="V4" s="94" t="s">
        <v>297</v>
      </c>
      <c r="W4" s="94" t="s">
        <v>298</v>
      </c>
      <c r="X4" s="94" t="s">
        <v>296</v>
      </c>
      <c r="Y4" s="194"/>
      <c r="Z4" s="194"/>
      <c r="AA4" s="194"/>
    </row>
    <row r="5" spans="1:27" ht="14.25" customHeight="1" x14ac:dyDescent="0.55000000000000004">
      <c r="A5" s="82"/>
      <c r="B5" s="82"/>
      <c r="C5" s="82"/>
      <c r="D5" s="82"/>
      <c r="E5" s="82">
        <v>1.1000000000000001</v>
      </c>
      <c r="F5" s="82">
        <v>1.2</v>
      </c>
      <c r="G5" s="82">
        <v>1.3</v>
      </c>
      <c r="H5" s="82">
        <v>1.4</v>
      </c>
      <c r="I5" s="82">
        <v>1.5</v>
      </c>
      <c r="J5" s="82">
        <v>1.6</v>
      </c>
      <c r="K5" s="82">
        <v>1.7</v>
      </c>
      <c r="L5" s="82">
        <v>1.8</v>
      </c>
      <c r="M5" s="82"/>
      <c r="N5" s="82"/>
      <c r="O5" s="82"/>
      <c r="P5" s="82"/>
      <c r="Q5" s="82"/>
      <c r="R5" s="82"/>
      <c r="S5" s="82"/>
      <c r="T5" s="82"/>
      <c r="U5" s="82"/>
      <c r="V5" s="82"/>
      <c r="W5" s="82"/>
      <c r="X5" s="82"/>
      <c r="Y5" s="82"/>
      <c r="Z5" s="82"/>
      <c r="AA5" s="82"/>
    </row>
    <row r="6" spans="1:27" ht="28.5" customHeight="1" x14ac:dyDescent="0.55000000000000004">
      <c r="A6" s="97">
        <v>1</v>
      </c>
      <c r="B6" s="98" t="s">
        <v>307</v>
      </c>
      <c r="C6" s="99" t="s">
        <v>308</v>
      </c>
      <c r="D6" s="99"/>
      <c r="E6" s="100"/>
      <c r="F6" s="100"/>
      <c r="G6" s="100"/>
      <c r="H6" s="100"/>
      <c r="I6" s="100"/>
      <c r="J6" s="100"/>
      <c r="K6" s="100"/>
      <c r="L6" s="100"/>
      <c r="M6" s="93" t="str">
        <f>IF(COUNT(E6:L6)=0,"",AVERAGE(E6:L6))</f>
        <v/>
      </c>
      <c r="N6" s="101"/>
      <c r="O6" s="83" t="str">
        <f>IF(COUNT(M6:N6)=0,"",AVERAGE(M6:N6))</f>
        <v/>
      </c>
      <c r="P6" s="102"/>
      <c r="Q6" s="102"/>
      <c r="R6" s="92" t="str">
        <f>IF(COUNT(P6:Q6)=0,"",AVERAGE(P6:Q6))</f>
        <v/>
      </c>
      <c r="S6" s="102"/>
      <c r="T6" s="102"/>
      <c r="U6" s="92" t="str">
        <f>IF(COUNT(S6:T6)=0,"",AVERAGE(S6:T6))</f>
        <v/>
      </c>
      <c r="V6" s="102"/>
      <c r="W6" s="102"/>
      <c r="X6" s="92" t="str">
        <f>IF(COUNT(V6:W6)=0,"",AVERAGE(V6:W6))</f>
        <v/>
      </c>
      <c r="Y6" s="90" t="str">
        <f t="shared" ref="Y6:Y19" si="0">IF(COUNT(M6:V6)=0,"",AVERAGE(M6:V6))</f>
        <v/>
      </c>
      <c r="Z6" s="91" t="str">
        <f>IF(Y6="","",IF(Y6&lt;1,"BE",IF(Y6&lt;2,"DE",IF(Y6&lt;3,"ME","AE"))))</f>
        <v/>
      </c>
      <c r="AA6" s="103"/>
    </row>
    <row r="7" spans="1:27" ht="33.75" customHeight="1" x14ac:dyDescent="0.55000000000000004">
      <c r="A7" s="104">
        <v>2</v>
      </c>
      <c r="B7" s="105"/>
      <c r="C7" s="106"/>
      <c r="D7" s="106"/>
      <c r="E7" s="107"/>
      <c r="F7" s="107"/>
      <c r="G7" s="107"/>
      <c r="H7" s="107"/>
      <c r="I7" s="107"/>
      <c r="J7" s="107"/>
      <c r="K7" s="107"/>
      <c r="L7" s="107"/>
      <c r="M7" s="93" t="str">
        <f t="shared" ref="M7:M19" si="1">IF(COUNT(E7:L7)=0,"",AVERAGE(E7:L7))</f>
        <v/>
      </c>
      <c r="N7" s="101"/>
      <c r="O7" s="83" t="str">
        <f t="shared" ref="O7:O19" si="2">IF(COUNT(M7:N7)=0,"",AVERAGE(M7:N7))</f>
        <v/>
      </c>
      <c r="P7" s="102"/>
      <c r="Q7" s="102"/>
      <c r="R7" s="92" t="str">
        <f t="shared" ref="R7:R19" si="3">IF(COUNT(P7:Q7)=0,"",AVERAGE(P7:Q7))</f>
        <v/>
      </c>
      <c r="S7" s="102"/>
      <c r="T7" s="102"/>
      <c r="U7" s="92" t="str">
        <f t="shared" ref="U7:U19" si="4">IF(COUNT(S7:T7)=0,"",AVERAGE(S7:T7))</f>
        <v/>
      </c>
      <c r="V7" s="102"/>
      <c r="W7" s="102"/>
      <c r="X7" s="92" t="str">
        <f t="shared" ref="X7:X19" si="5">IF(COUNT(V7:W7)=0,"",AVERAGE(V7:W7))</f>
        <v/>
      </c>
      <c r="Y7" s="90" t="str">
        <f t="shared" si="0"/>
        <v/>
      </c>
      <c r="Z7" s="91" t="str">
        <f t="shared" ref="Z7:Z19" si="6">IF(Y7="","",IF(Y7&lt;1,"BE",IF(Y7&lt;2,"DE",IF(Y7&lt;3,"ME","AE"))))</f>
        <v/>
      </c>
      <c r="AA7" s="108"/>
    </row>
    <row r="8" spans="1:27" ht="31.5" customHeight="1" x14ac:dyDescent="0.55000000000000004">
      <c r="A8" s="97">
        <v>3</v>
      </c>
      <c r="B8" s="98"/>
      <c r="C8" s="99"/>
      <c r="D8" s="99"/>
      <c r="E8" s="100"/>
      <c r="F8" s="100"/>
      <c r="G8" s="100"/>
      <c r="H8" s="100"/>
      <c r="I8" s="100"/>
      <c r="J8" s="100"/>
      <c r="K8" s="100"/>
      <c r="L8" s="100"/>
      <c r="M8" s="93" t="str">
        <f t="shared" si="1"/>
        <v/>
      </c>
      <c r="N8" s="101"/>
      <c r="O8" s="83" t="str">
        <f t="shared" si="2"/>
        <v/>
      </c>
      <c r="P8" s="102"/>
      <c r="Q8" s="102"/>
      <c r="R8" s="92" t="str">
        <f t="shared" si="3"/>
        <v/>
      </c>
      <c r="S8" s="102"/>
      <c r="T8" s="102"/>
      <c r="U8" s="92" t="str">
        <f t="shared" si="4"/>
        <v/>
      </c>
      <c r="V8" s="102"/>
      <c r="W8" s="102"/>
      <c r="X8" s="92" t="str">
        <f t="shared" si="5"/>
        <v/>
      </c>
      <c r="Y8" s="90" t="str">
        <f t="shared" si="0"/>
        <v/>
      </c>
      <c r="Z8" s="91" t="str">
        <f t="shared" si="6"/>
        <v/>
      </c>
      <c r="AA8" s="103"/>
    </row>
    <row r="9" spans="1:27" ht="36" customHeight="1" x14ac:dyDescent="0.55000000000000004">
      <c r="A9" s="104">
        <v>4</v>
      </c>
      <c r="B9" s="105"/>
      <c r="C9" s="106"/>
      <c r="D9" s="106"/>
      <c r="E9" s="107"/>
      <c r="F9" s="107"/>
      <c r="G9" s="107"/>
      <c r="H9" s="107"/>
      <c r="I9" s="107"/>
      <c r="J9" s="107"/>
      <c r="K9" s="107"/>
      <c r="L9" s="107"/>
      <c r="M9" s="93" t="str">
        <f t="shared" si="1"/>
        <v/>
      </c>
      <c r="N9" s="101"/>
      <c r="O9" s="83" t="str">
        <f t="shared" si="2"/>
        <v/>
      </c>
      <c r="P9" s="102"/>
      <c r="Q9" s="102"/>
      <c r="R9" s="92" t="str">
        <f t="shared" si="3"/>
        <v/>
      </c>
      <c r="S9" s="102"/>
      <c r="T9" s="102"/>
      <c r="U9" s="92" t="str">
        <f t="shared" si="4"/>
        <v/>
      </c>
      <c r="V9" s="102"/>
      <c r="W9" s="102"/>
      <c r="X9" s="92" t="str">
        <f t="shared" si="5"/>
        <v/>
      </c>
      <c r="Y9" s="90" t="str">
        <f t="shared" si="0"/>
        <v/>
      </c>
      <c r="Z9" s="91" t="str">
        <f t="shared" si="6"/>
        <v/>
      </c>
      <c r="AA9" s="108"/>
    </row>
    <row r="10" spans="1:27" ht="30" customHeight="1" x14ac:dyDescent="0.55000000000000004">
      <c r="A10" s="97">
        <v>5</v>
      </c>
      <c r="B10" s="98"/>
      <c r="C10" s="99"/>
      <c r="D10" s="99"/>
      <c r="E10" s="100"/>
      <c r="F10" s="100"/>
      <c r="G10" s="100"/>
      <c r="H10" s="100"/>
      <c r="I10" s="100"/>
      <c r="J10" s="100"/>
      <c r="K10" s="100"/>
      <c r="L10" s="100"/>
      <c r="M10" s="93" t="str">
        <f t="shared" si="1"/>
        <v/>
      </c>
      <c r="N10" s="101"/>
      <c r="O10" s="83" t="str">
        <f t="shared" si="2"/>
        <v/>
      </c>
      <c r="P10" s="102"/>
      <c r="Q10" s="102"/>
      <c r="R10" s="92" t="str">
        <f t="shared" si="3"/>
        <v/>
      </c>
      <c r="S10" s="102"/>
      <c r="T10" s="102"/>
      <c r="U10" s="92" t="str">
        <f t="shared" si="4"/>
        <v/>
      </c>
      <c r="V10" s="102"/>
      <c r="W10" s="102"/>
      <c r="X10" s="92" t="str">
        <f t="shared" si="5"/>
        <v/>
      </c>
      <c r="Y10" s="90" t="str">
        <f t="shared" si="0"/>
        <v/>
      </c>
      <c r="Z10" s="91" t="str">
        <f t="shared" si="6"/>
        <v/>
      </c>
      <c r="AA10" s="109"/>
    </row>
    <row r="11" spans="1:27" ht="30.75" customHeight="1" x14ac:dyDescent="0.55000000000000004">
      <c r="A11" s="104">
        <v>6</v>
      </c>
      <c r="B11" s="105"/>
      <c r="C11" s="106"/>
      <c r="D11" s="106"/>
      <c r="E11" s="107"/>
      <c r="F11" s="107"/>
      <c r="G11" s="107"/>
      <c r="H11" s="107"/>
      <c r="I11" s="107"/>
      <c r="J11" s="107"/>
      <c r="K11" s="107"/>
      <c r="L11" s="107"/>
      <c r="M11" s="93" t="str">
        <f t="shared" si="1"/>
        <v/>
      </c>
      <c r="N11" s="101"/>
      <c r="O11" s="83" t="str">
        <f t="shared" si="2"/>
        <v/>
      </c>
      <c r="P11" s="102"/>
      <c r="Q11" s="102"/>
      <c r="R11" s="92" t="str">
        <f t="shared" si="3"/>
        <v/>
      </c>
      <c r="S11" s="102"/>
      <c r="T11" s="102"/>
      <c r="U11" s="92" t="str">
        <f t="shared" si="4"/>
        <v/>
      </c>
      <c r="V11" s="102"/>
      <c r="W11" s="102"/>
      <c r="X11" s="92" t="str">
        <f t="shared" si="5"/>
        <v/>
      </c>
      <c r="Y11" s="90" t="str">
        <f t="shared" si="0"/>
        <v/>
      </c>
      <c r="Z11" s="91" t="str">
        <f t="shared" si="6"/>
        <v/>
      </c>
      <c r="AA11" s="110"/>
    </row>
    <row r="12" spans="1:27" ht="35.25" customHeight="1" x14ac:dyDescent="0.55000000000000004">
      <c r="A12" s="97">
        <v>7</v>
      </c>
      <c r="B12" s="98"/>
      <c r="C12" s="99"/>
      <c r="D12" s="99"/>
      <c r="E12" s="100"/>
      <c r="F12" s="100"/>
      <c r="G12" s="100"/>
      <c r="H12" s="100"/>
      <c r="I12" s="100"/>
      <c r="J12" s="100"/>
      <c r="K12" s="100"/>
      <c r="L12" s="100"/>
      <c r="M12" s="93" t="str">
        <f t="shared" si="1"/>
        <v/>
      </c>
      <c r="N12" s="101"/>
      <c r="O12" s="83" t="str">
        <f t="shared" si="2"/>
        <v/>
      </c>
      <c r="P12" s="102"/>
      <c r="Q12" s="102"/>
      <c r="R12" s="92" t="str">
        <f t="shared" si="3"/>
        <v/>
      </c>
      <c r="S12" s="102"/>
      <c r="T12" s="102"/>
      <c r="U12" s="92" t="str">
        <f t="shared" si="4"/>
        <v/>
      </c>
      <c r="V12" s="102"/>
      <c r="W12" s="102"/>
      <c r="X12" s="92" t="str">
        <f t="shared" si="5"/>
        <v/>
      </c>
      <c r="Y12" s="90" t="str">
        <f t="shared" si="0"/>
        <v/>
      </c>
      <c r="Z12" s="91" t="str">
        <f t="shared" si="6"/>
        <v/>
      </c>
      <c r="AA12" s="109"/>
    </row>
    <row r="13" spans="1:27" ht="36.75" customHeight="1" x14ac:dyDescent="0.55000000000000004">
      <c r="A13" s="104">
        <v>8</v>
      </c>
      <c r="B13" s="111"/>
      <c r="C13" s="104"/>
      <c r="D13" s="111"/>
      <c r="E13" s="107"/>
      <c r="F13" s="107"/>
      <c r="G13" s="107"/>
      <c r="H13" s="107"/>
      <c r="I13" s="107"/>
      <c r="J13" s="107"/>
      <c r="K13" s="107"/>
      <c r="L13" s="107"/>
      <c r="M13" s="93" t="str">
        <f t="shared" si="1"/>
        <v/>
      </c>
      <c r="N13" s="101"/>
      <c r="O13" s="83" t="str">
        <f t="shared" si="2"/>
        <v/>
      </c>
      <c r="P13" s="102"/>
      <c r="Q13" s="102"/>
      <c r="R13" s="92" t="str">
        <f t="shared" si="3"/>
        <v/>
      </c>
      <c r="S13" s="102"/>
      <c r="T13" s="102"/>
      <c r="U13" s="92" t="str">
        <f t="shared" si="4"/>
        <v/>
      </c>
      <c r="V13" s="102"/>
      <c r="W13" s="102"/>
      <c r="X13" s="92" t="str">
        <f t="shared" si="5"/>
        <v/>
      </c>
      <c r="Y13" s="90" t="str">
        <f t="shared" si="0"/>
        <v/>
      </c>
      <c r="Z13" s="91" t="str">
        <f t="shared" si="6"/>
        <v/>
      </c>
      <c r="AA13" s="112"/>
    </row>
    <row r="14" spans="1:27" ht="36.75" customHeight="1" x14ac:dyDescent="0.55000000000000004">
      <c r="A14" s="97">
        <v>9</v>
      </c>
      <c r="B14" s="113"/>
      <c r="C14" s="97"/>
      <c r="D14" s="113"/>
      <c r="E14" s="100"/>
      <c r="F14" s="100"/>
      <c r="G14" s="100"/>
      <c r="H14" s="100"/>
      <c r="I14" s="100"/>
      <c r="J14" s="100"/>
      <c r="K14" s="100"/>
      <c r="L14" s="100"/>
      <c r="M14" s="93" t="str">
        <f t="shared" si="1"/>
        <v/>
      </c>
      <c r="N14" s="101"/>
      <c r="O14" s="83" t="str">
        <f t="shared" si="2"/>
        <v/>
      </c>
      <c r="P14" s="102"/>
      <c r="Q14" s="102"/>
      <c r="R14" s="92" t="str">
        <f t="shared" si="3"/>
        <v/>
      </c>
      <c r="S14" s="102"/>
      <c r="T14" s="102"/>
      <c r="U14" s="92" t="str">
        <f t="shared" si="4"/>
        <v/>
      </c>
      <c r="V14" s="102"/>
      <c r="W14" s="102"/>
      <c r="X14" s="92" t="str">
        <f t="shared" si="5"/>
        <v/>
      </c>
      <c r="Y14" s="90" t="str">
        <f t="shared" si="0"/>
        <v/>
      </c>
      <c r="Z14" s="91" t="str">
        <f t="shared" si="6"/>
        <v/>
      </c>
      <c r="AA14" s="114"/>
    </row>
    <row r="15" spans="1:27" ht="27" customHeight="1" x14ac:dyDescent="0.55000000000000004">
      <c r="A15" s="104">
        <v>10</v>
      </c>
      <c r="B15" s="111"/>
      <c r="C15" s="104"/>
      <c r="D15" s="111"/>
      <c r="E15" s="107"/>
      <c r="F15" s="107"/>
      <c r="G15" s="107"/>
      <c r="H15" s="107"/>
      <c r="I15" s="107"/>
      <c r="J15" s="107"/>
      <c r="K15" s="107"/>
      <c r="L15" s="107"/>
      <c r="M15" s="93" t="str">
        <f t="shared" si="1"/>
        <v/>
      </c>
      <c r="N15" s="101"/>
      <c r="O15" s="83" t="str">
        <f t="shared" si="2"/>
        <v/>
      </c>
      <c r="P15" s="102"/>
      <c r="Q15" s="102"/>
      <c r="R15" s="92" t="str">
        <f t="shared" si="3"/>
        <v/>
      </c>
      <c r="S15" s="102"/>
      <c r="T15" s="102"/>
      <c r="U15" s="92" t="str">
        <f t="shared" si="4"/>
        <v/>
      </c>
      <c r="V15" s="102"/>
      <c r="W15" s="102"/>
      <c r="X15" s="92" t="str">
        <f t="shared" si="5"/>
        <v/>
      </c>
      <c r="Y15" s="90" t="str">
        <f t="shared" si="0"/>
        <v/>
      </c>
      <c r="Z15" s="91" t="str">
        <f t="shared" si="6"/>
        <v/>
      </c>
      <c r="AA15" s="112"/>
    </row>
    <row r="16" spans="1:27" ht="32.25" customHeight="1" x14ac:dyDescent="0.55000000000000004">
      <c r="A16" s="97">
        <v>11</v>
      </c>
      <c r="B16" s="113"/>
      <c r="C16" s="97"/>
      <c r="D16" s="113"/>
      <c r="E16" s="100"/>
      <c r="F16" s="100"/>
      <c r="G16" s="100"/>
      <c r="H16" s="100"/>
      <c r="I16" s="100"/>
      <c r="J16" s="100"/>
      <c r="K16" s="100"/>
      <c r="L16" s="100"/>
      <c r="M16" s="93" t="str">
        <f t="shared" si="1"/>
        <v/>
      </c>
      <c r="N16" s="101"/>
      <c r="O16" s="83" t="str">
        <f t="shared" si="2"/>
        <v/>
      </c>
      <c r="P16" s="102"/>
      <c r="Q16" s="102"/>
      <c r="R16" s="92" t="str">
        <f t="shared" si="3"/>
        <v/>
      </c>
      <c r="S16" s="102"/>
      <c r="T16" s="102"/>
      <c r="U16" s="92" t="str">
        <f t="shared" si="4"/>
        <v/>
      </c>
      <c r="V16" s="102"/>
      <c r="W16" s="102"/>
      <c r="X16" s="92" t="str">
        <f t="shared" si="5"/>
        <v/>
      </c>
      <c r="Y16" s="90" t="str">
        <f t="shared" si="0"/>
        <v/>
      </c>
      <c r="Z16" s="91" t="str">
        <f t="shared" si="6"/>
        <v/>
      </c>
      <c r="AA16" s="114"/>
    </row>
    <row r="17" spans="1:27" ht="30" customHeight="1" x14ac:dyDescent="0.55000000000000004">
      <c r="A17" s="104">
        <v>12</v>
      </c>
      <c r="B17" s="111"/>
      <c r="C17" s="104"/>
      <c r="D17" s="111"/>
      <c r="E17" s="107"/>
      <c r="F17" s="107"/>
      <c r="G17" s="107"/>
      <c r="H17" s="107"/>
      <c r="I17" s="107"/>
      <c r="J17" s="107"/>
      <c r="K17" s="107"/>
      <c r="L17" s="107"/>
      <c r="M17" s="93" t="str">
        <f t="shared" si="1"/>
        <v/>
      </c>
      <c r="N17" s="101"/>
      <c r="O17" s="83" t="str">
        <f t="shared" si="2"/>
        <v/>
      </c>
      <c r="P17" s="102"/>
      <c r="Q17" s="102"/>
      <c r="R17" s="92" t="str">
        <f t="shared" si="3"/>
        <v/>
      </c>
      <c r="S17" s="102"/>
      <c r="T17" s="102"/>
      <c r="U17" s="92" t="str">
        <f t="shared" si="4"/>
        <v/>
      </c>
      <c r="V17" s="102"/>
      <c r="W17" s="102"/>
      <c r="X17" s="92" t="str">
        <f t="shared" si="5"/>
        <v/>
      </c>
      <c r="Y17" s="90" t="str">
        <f t="shared" si="0"/>
        <v/>
      </c>
      <c r="Z17" s="91" t="str">
        <f t="shared" si="6"/>
        <v/>
      </c>
      <c r="AA17" s="112"/>
    </row>
    <row r="18" spans="1:27" ht="26.25" customHeight="1" x14ac:dyDescent="0.55000000000000004">
      <c r="A18" s="97">
        <v>13</v>
      </c>
      <c r="B18" s="113"/>
      <c r="C18" s="97"/>
      <c r="D18" s="113"/>
      <c r="E18" s="100"/>
      <c r="F18" s="100"/>
      <c r="G18" s="100"/>
      <c r="H18" s="100"/>
      <c r="I18" s="100"/>
      <c r="J18" s="100"/>
      <c r="K18" s="100"/>
      <c r="L18" s="100"/>
      <c r="M18" s="93" t="str">
        <f t="shared" si="1"/>
        <v/>
      </c>
      <c r="N18" s="101"/>
      <c r="O18" s="83" t="str">
        <f t="shared" si="2"/>
        <v/>
      </c>
      <c r="P18" s="102"/>
      <c r="Q18" s="102"/>
      <c r="R18" s="92" t="str">
        <f t="shared" si="3"/>
        <v/>
      </c>
      <c r="S18" s="102"/>
      <c r="T18" s="102"/>
      <c r="U18" s="92" t="str">
        <f t="shared" si="4"/>
        <v/>
      </c>
      <c r="V18" s="102"/>
      <c r="W18" s="102"/>
      <c r="X18" s="92" t="str">
        <f t="shared" si="5"/>
        <v/>
      </c>
      <c r="Y18" s="90" t="str">
        <f t="shared" si="0"/>
        <v/>
      </c>
      <c r="Z18" s="91" t="str">
        <f t="shared" si="6"/>
        <v/>
      </c>
      <c r="AA18" s="114"/>
    </row>
    <row r="19" spans="1:27" ht="27.75" customHeight="1" x14ac:dyDescent="0.55000000000000004">
      <c r="A19" s="104">
        <v>14</v>
      </c>
      <c r="B19" s="111"/>
      <c r="C19" s="111"/>
      <c r="D19" s="111"/>
      <c r="E19" s="107"/>
      <c r="F19" s="107"/>
      <c r="G19" s="107"/>
      <c r="H19" s="107"/>
      <c r="I19" s="107"/>
      <c r="J19" s="107"/>
      <c r="K19" s="107"/>
      <c r="L19" s="107"/>
      <c r="M19" s="93" t="str">
        <f t="shared" si="1"/>
        <v/>
      </c>
      <c r="N19" s="101"/>
      <c r="O19" s="83" t="str">
        <f t="shared" si="2"/>
        <v/>
      </c>
      <c r="P19" s="102"/>
      <c r="Q19" s="102"/>
      <c r="R19" s="92" t="str">
        <f t="shared" si="3"/>
        <v/>
      </c>
      <c r="S19" s="102"/>
      <c r="T19" s="102"/>
      <c r="U19" s="92" t="str">
        <f t="shared" si="4"/>
        <v/>
      </c>
      <c r="V19" s="102"/>
      <c r="W19" s="102"/>
      <c r="X19" s="92" t="str">
        <f t="shared" si="5"/>
        <v/>
      </c>
      <c r="Y19" s="90" t="str">
        <f t="shared" si="0"/>
        <v/>
      </c>
      <c r="Z19" s="91" t="str">
        <f t="shared" si="6"/>
        <v/>
      </c>
      <c r="AA19" s="112"/>
    </row>
    <row r="20" spans="1:27" ht="14.25" customHeight="1" x14ac:dyDescent="0.55000000000000004">
      <c r="A20" s="115"/>
      <c r="B20" s="116"/>
      <c r="C20" s="116"/>
      <c r="D20" s="116"/>
      <c r="E20" s="116"/>
      <c r="F20" s="116"/>
      <c r="G20" s="116"/>
      <c r="H20" s="116"/>
      <c r="I20" s="116"/>
      <c r="J20" s="116"/>
      <c r="K20" s="184" t="s">
        <v>216</v>
      </c>
      <c r="L20" s="184"/>
      <c r="M20" s="84"/>
      <c r="N20" s="117"/>
      <c r="O20" s="84" t="str">
        <f t="shared" ref="O20" si="7">IFERROR(TEXT(COUNTIF(O6:O19,"&gt;=2")/COUNT(O6:O19),"0%"),"")</f>
        <v/>
      </c>
      <c r="P20" s="117"/>
      <c r="Q20" s="117"/>
      <c r="R20" s="84" t="str">
        <f t="shared" ref="R20" si="8">IFERROR(TEXT(COUNTIF(R6:R19,"&gt;=2")/COUNT(R6:R19),"0%"),"")</f>
        <v/>
      </c>
      <c r="S20" s="117"/>
      <c r="T20" s="117"/>
      <c r="U20" s="84" t="str">
        <f t="shared" ref="U20" si="9">IFERROR(TEXT(COUNTIF(U6:U19,"&gt;=2")/COUNT(U6:U19),"0%"),"")</f>
        <v/>
      </c>
      <c r="V20" s="117"/>
      <c r="W20" s="117"/>
      <c r="X20" s="84" t="str">
        <f t="shared" ref="X20" si="10">IFERROR(TEXT(COUNTIF(X6:X19,"&gt;=2")/COUNT(X6:X19),"0%"),"")</f>
        <v/>
      </c>
      <c r="Y20" s="86" t="s">
        <v>62</v>
      </c>
      <c r="Z20" s="85" t="str">
        <f>IFERROR(TEXT((COUNTIF(Z6:Z19,"AE")+COUNTIF(Z6:Z19,"ME"))/(COUNTIF(Z6:Z19,"AE")+COUNTIF(Z6:Z19,"ME")+COUNTIF(Z6:Z19,"DE")+COUNTIF(Z6:Z19,"BE")),"0%"),"")</f>
        <v/>
      </c>
      <c r="AA20" s="118"/>
    </row>
    <row r="21" spans="1:27" ht="70.2" customHeight="1" x14ac:dyDescent="0.55000000000000004">
      <c r="A21" s="186" t="s">
        <v>304</v>
      </c>
      <c r="B21" s="186"/>
      <c r="C21" s="186"/>
      <c r="D21" s="186"/>
      <c r="E21" s="186"/>
      <c r="F21" s="186"/>
      <c r="G21" s="186"/>
      <c r="H21" s="186"/>
      <c r="I21" s="186"/>
      <c r="J21" s="186"/>
      <c r="K21" s="186"/>
      <c r="L21" s="186"/>
      <c r="M21" s="186"/>
      <c r="N21" s="186"/>
      <c r="O21" s="186"/>
      <c r="P21" s="186"/>
      <c r="Q21" s="186"/>
      <c r="R21" s="186"/>
      <c r="S21" s="186"/>
      <c r="T21" s="186"/>
      <c r="U21" s="186"/>
      <c r="V21" s="186"/>
      <c r="W21" s="186"/>
      <c r="X21" s="186"/>
      <c r="Y21" s="186"/>
      <c r="Z21" s="186"/>
      <c r="AA21" s="186"/>
    </row>
    <row r="22" spans="1:27" ht="14.25" customHeight="1" x14ac:dyDescent="0.55000000000000004">
      <c r="A22"/>
      <c r="B22" s="67"/>
      <c r="C22" s="68"/>
      <c r="D22"/>
      <c r="E22"/>
      <c r="F22"/>
      <c r="G22"/>
      <c r="H22"/>
      <c r="I22"/>
      <c r="J22"/>
      <c r="K22"/>
      <c r="L22"/>
      <c r="N22"/>
      <c r="P22"/>
      <c r="Q22"/>
      <c r="S22"/>
      <c r="T22"/>
      <c r="V22"/>
      <c r="W22"/>
      <c r="AA22"/>
    </row>
    <row r="23" spans="1:27" ht="14.25" customHeight="1" x14ac:dyDescent="0.55000000000000004">
      <c r="B23" s="119"/>
      <c r="C23" s="120"/>
    </row>
    <row r="24" spans="1:27" ht="14.25" customHeight="1" x14ac:dyDescent="0.55000000000000004">
      <c r="B24" s="119"/>
      <c r="C24" s="120"/>
    </row>
    <row r="25" spans="1:27" ht="14.25" customHeight="1" x14ac:dyDescent="0.55000000000000004">
      <c r="B25" s="121"/>
      <c r="C25" s="122"/>
    </row>
    <row r="26" spans="1:27" ht="14.25" customHeight="1" x14ac:dyDescent="0.55000000000000004">
      <c r="B26" s="123"/>
      <c r="I26" s="123"/>
      <c r="J26" s="123"/>
      <c r="K26" s="123"/>
    </row>
    <row r="27" spans="1:27" ht="14.25" customHeight="1" x14ac:dyDescent="0.55000000000000004">
      <c r="B27" s="123"/>
      <c r="I27" s="123"/>
      <c r="J27" s="123"/>
      <c r="K27" s="123"/>
    </row>
    <row r="28" spans="1:27" ht="14.25" customHeight="1" x14ac:dyDescent="0.55000000000000004">
      <c r="B28" s="123"/>
      <c r="I28" s="123"/>
      <c r="J28" s="123"/>
      <c r="K28" s="123"/>
    </row>
    <row r="29" spans="1:27" ht="14.25" customHeight="1" x14ac:dyDescent="0.55000000000000004">
      <c r="B29" s="123"/>
      <c r="I29" s="123"/>
      <c r="J29" s="123"/>
      <c r="K29" s="123"/>
    </row>
    <row r="30" spans="1:27" ht="14.25" customHeight="1" x14ac:dyDescent="0.55000000000000004">
      <c r="B30" s="123"/>
      <c r="I30" s="123"/>
      <c r="J30" s="123"/>
      <c r="K30" s="123"/>
    </row>
    <row r="31" spans="1:27" ht="14.25" customHeight="1" x14ac:dyDescent="0.55000000000000004">
      <c r="B31" s="123"/>
      <c r="I31" s="123"/>
      <c r="J31" s="123"/>
      <c r="K31" s="123"/>
    </row>
    <row r="32" spans="1:27" ht="14.25" customHeight="1" x14ac:dyDescent="0.55000000000000004">
      <c r="B32" s="123"/>
      <c r="I32" s="123"/>
      <c r="J32" s="123"/>
      <c r="K32" s="123"/>
    </row>
    <row r="33" spans="2:11" ht="14.25" customHeight="1" x14ac:dyDescent="0.55000000000000004">
      <c r="B33" s="123"/>
      <c r="I33" s="123"/>
      <c r="J33" s="123"/>
      <c r="K33" s="123"/>
    </row>
    <row r="34" spans="2:11" ht="14.25" customHeight="1" x14ac:dyDescent="0.55000000000000004">
      <c r="B34" s="123"/>
      <c r="I34" s="123"/>
      <c r="J34" s="123"/>
      <c r="K34" s="123"/>
    </row>
    <row r="35" spans="2:11" ht="14.25" customHeight="1" x14ac:dyDescent="0.55000000000000004">
      <c r="B35" s="123"/>
      <c r="I35" s="123"/>
      <c r="J35" s="123"/>
      <c r="K35" s="123"/>
    </row>
    <row r="36" spans="2:11" ht="14.25" customHeight="1" x14ac:dyDescent="0.55000000000000004">
      <c r="B36" s="123"/>
      <c r="I36" s="123"/>
      <c r="J36" s="123"/>
      <c r="K36" s="123"/>
    </row>
    <row r="37" spans="2:11" ht="14.25" customHeight="1" x14ac:dyDescent="0.55000000000000004">
      <c r="B37" s="123"/>
      <c r="I37" s="123"/>
      <c r="J37" s="123"/>
      <c r="K37" s="123"/>
    </row>
    <row r="38" spans="2:11" ht="14.25" customHeight="1" x14ac:dyDescent="0.55000000000000004">
      <c r="B38" s="123"/>
      <c r="I38" s="123"/>
      <c r="J38" s="123"/>
      <c r="K38" s="123"/>
    </row>
    <row r="39" spans="2:11" ht="14.25" customHeight="1" x14ac:dyDescent="0.55000000000000004">
      <c r="B39" s="123"/>
      <c r="I39" s="123"/>
      <c r="J39" s="123"/>
      <c r="K39" s="123"/>
    </row>
    <row r="40" spans="2:11" ht="14.25" customHeight="1" x14ac:dyDescent="0.55000000000000004">
      <c r="B40" s="123"/>
      <c r="I40" s="123"/>
      <c r="J40" s="123"/>
      <c r="K40" s="123"/>
    </row>
    <row r="41" spans="2:11" ht="14.25" customHeight="1" x14ac:dyDescent="0.55000000000000004">
      <c r="B41" s="123"/>
      <c r="I41" s="123"/>
      <c r="J41" s="123"/>
      <c r="K41" s="123"/>
    </row>
    <row r="42" spans="2:11" ht="14.25" customHeight="1" x14ac:dyDescent="0.55000000000000004">
      <c r="B42" s="123"/>
      <c r="I42" s="123"/>
      <c r="J42" s="123"/>
      <c r="K42" s="123"/>
    </row>
    <row r="43" spans="2:11" ht="14.25" customHeight="1" x14ac:dyDescent="0.55000000000000004">
      <c r="B43" s="123"/>
      <c r="I43" s="123"/>
      <c r="J43" s="123"/>
      <c r="K43" s="123"/>
    </row>
    <row r="44" spans="2:11" ht="14.25" customHeight="1" x14ac:dyDescent="0.55000000000000004">
      <c r="B44" s="123"/>
      <c r="I44" s="123"/>
      <c r="J44" s="123"/>
      <c r="K44" s="123"/>
    </row>
    <row r="45" spans="2:11" ht="14.25" customHeight="1" x14ac:dyDescent="0.55000000000000004">
      <c r="B45" s="123"/>
      <c r="I45" s="123"/>
      <c r="J45" s="123"/>
      <c r="K45" s="123"/>
    </row>
    <row r="46" spans="2:11" ht="14.25" customHeight="1" x14ac:dyDescent="0.55000000000000004">
      <c r="B46" s="123"/>
      <c r="I46" s="123"/>
      <c r="J46" s="123"/>
      <c r="K46" s="123"/>
    </row>
    <row r="47" spans="2:11" ht="14.25" customHeight="1" x14ac:dyDescent="0.55000000000000004">
      <c r="B47" s="123"/>
      <c r="I47" s="123"/>
      <c r="J47" s="123"/>
      <c r="K47" s="123"/>
    </row>
    <row r="48" spans="2:11" ht="14.25" customHeight="1" x14ac:dyDescent="0.55000000000000004">
      <c r="B48" s="123"/>
      <c r="I48" s="123"/>
      <c r="J48" s="123"/>
      <c r="K48" s="123"/>
    </row>
    <row r="49" spans="2:11" ht="14.25" customHeight="1" x14ac:dyDescent="0.55000000000000004">
      <c r="B49" s="123"/>
      <c r="I49" s="123"/>
      <c r="J49" s="123"/>
      <c r="K49" s="123"/>
    </row>
    <row r="50" spans="2:11" ht="14.25" customHeight="1" x14ac:dyDescent="0.55000000000000004">
      <c r="B50" s="123"/>
      <c r="I50" s="123"/>
      <c r="J50" s="123"/>
      <c r="K50" s="123"/>
    </row>
    <row r="51" spans="2:11" ht="14.25" customHeight="1" x14ac:dyDescent="0.55000000000000004">
      <c r="B51" s="123"/>
      <c r="I51" s="123"/>
      <c r="J51" s="123"/>
      <c r="K51" s="123"/>
    </row>
    <row r="52" spans="2:11" ht="14.25" customHeight="1" x14ac:dyDescent="0.55000000000000004">
      <c r="B52" s="123"/>
      <c r="I52" s="123"/>
      <c r="J52" s="123"/>
      <c r="K52" s="123"/>
    </row>
    <row r="53" spans="2:11" ht="14.25" customHeight="1" x14ac:dyDescent="0.55000000000000004">
      <c r="B53" s="123"/>
      <c r="I53" s="123"/>
      <c r="J53" s="123"/>
      <c r="K53" s="123"/>
    </row>
    <row r="54" spans="2:11" ht="14.25" customHeight="1" x14ac:dyDescent="0.55000000000000004">
      <c r="B54" s="123"/>
      <c r="I54" s="123"/>
      <c r="J54" s="123"/>
      <c r="K54" s="123"/>
    </row>
    <row r="55" spans="2:11" ht="14.25" customHeight="1" x14ac:dyDescent="0.55000000000000004">
      <c r="B55" s="123"/>
      <c r="I55" s="123"/>
      <c r="J55" s="123"/>
      <c r="K55" s="123"/>
    </row>
    <row r="56" spans="2:11" ht="14.25" customHeight="1" x14ac:dyDescent="0.55000000000000004">
      <c r="B56" s="123"/>
      <c r="I56" s="123"/>
      <c r="J56" s="123"/>
      <c r="K56" s="123"/>
    </row>
    <row r="57" spans="2:11" ht="14.25" customHeight="1" x14ac:dyDescent="0.55000000000000004">
      <c r="B57" s="123"/>
      <c r="I57" s="123"/>
      <c r="J57" s="123"/>
      <c r="K57" s="123"/>
    </row>
    <row r="58" spans="2:11" ht="14.25" customHeight="1" x14ac:dyDescent="0.55000000000000004">
      <c r="B58" s="123"/>
      <c r="I58" s="123"/>
      <c r="J58" s="123"/>
      <c r="K58" s="123"/>
    </row>
    <row r="59" spans="2:11" ht="14.25" customHeight="1" x14ac:dyDescent="0.55000000000000004">
      <c r="B59" s="123"/>
      <c r="I59" s="123"/>
      <c r="J59" s="123"/>
      <c r="K59" s="123"/>
    </row>
    <row r="60" spans="2:11" ht="14.25" customHeight="1" x14ac:dyDescent="0.55000000000000004">
      <c r="B60" s="123"/>
      <c r="I60" s="123"/>
      <c r="J60" s="123"/>
      <c r="K60" s="123"/>
    </row>
    <row r="61" spans="2:11" ht="14.25" customHeight="1" x14ac:dyDescent="0.55000000000000004">
      <c r="B61" s="123"/>
      <c r="I61" s="123"/>
      <c r="J61" s="123"/>
      <c r="K61" s="123"/>
    </row>
    <row r="62" spans="2:11" ht="14.25" customHeight="1" x14ac:dyDescent="0.55000000000000004">
      <c r="B62" s="123"/>
      <c r="I62" s="123"/>
      <c r="J62" s="123"/>
      <c r="K62" s="123"/>
    </row>
    <row r="63" spans="2:11" ht="14.25" customHeight="1" x14ac:dyDescent="0.55000000000000004">
      <c r="B63" s="123"/>
      <c r="I63" s="123"/>
      <c r="J63" s="123"/>
      <c r="K63" s="123"/>
    </row>
    <row r="64" spans="2:11" ht="14.25" customHeight="1" x14ac:dyDescent="0.55000000000000004">
      <c r="B64" s="123"/>
      <c r="I64" s="123"/>
      <c r="J64" s="123"/>
      <c r="K64" s="123"/>
    </row>
    <row r="65" spans="2:11" ht="14.25" customHeight="1" x14ac:dyDescent="0.55000000000000004">
      <c r="B65" s="123"/>
      <c r="I65" s="123"/>
      <c r="J65" s="123"/>
      <c r="K65" s="123"/>
    </row>
    <row r="66" spans="2:11" ht="14.25" customHeight="1" x14ac:dyDescent="0.55000000000000004">
      <c r="B66" s="123"/>
      <c r="I66" s="123"/>
      <c r="J66" s="123"/>
      <c r="K66" s="123"/>
    </row>
    <row r="67" spans="2:11" ht="14.25" customHeight="1" x14ac:dyDescent="0.55000000000000004">
      <c r="B67" s="123"/>
      <c r="I67" s="123"/>
      <c r="J67" s="123"/>
      <c r="K67" s="123"/>
    </row>
    <row r="68" spans="2:11" ht="14.25" customHeight="1" x14ac:dyDescent="0.55000000000000004">
      <c r="B68" s="123"/>
      <c r="I68" s="123"/>
      <c r="J68" s="123"/>
      <c r="K68" s="123"/>
    </row>
    <row r="69" spans="2:11" ht="14.25" customHeight="1" x14ac:dyDescent="0.55000000000000004">
      <c r="B69" s="123"/>
      <c r="I69" s="123"/>
      <c r="J69" s="123"/>
      <c r="K69" s="123"/>
    </row>
    <row r="70" spans="2:11" ht="14.25" customHeight="1" x14ac:dyDescent="0.55000000000000004">
      <c r="B70" s="123"/>
      <c r="I70" s="123"/>
      <c r="J70" s="123"/>
      <c r="K70" s="123"/>
    </row>
    <row r="71" spans="2:11" ht="14.25" customHeight="1" x14ac:dyDescent="0.55000000000000004">
      <c r="B71" s="123"/>
      <c r="I71" s="123"/>
      <c r="J71" s="123"/>
      <c r="K71" s="123"/>
    </row>
    <row r="72" spans="2:11" ht="14.25" customHeight="1" x14ac:dyDescent="0.55000000000000004">
      <c r="B72" s="123"/>
      <c r="I72" s="123"/>
      <c r="J72" s="123"/>
      <c r="K72" s="123"/>
    </row>
    <row r="73" spans="2:11" ht="14.25" customHeight="1" x14ac:dyDescent="0.55000000000000004">
      <c r="B73" s="123"/>
      <c r="I73" s="123"/>
      <c r="J73" s="123"/>
      <c r="K73" s="123"/>
    </row>
    <row r="74" spans="2:11" ht="14.25" customHeight="1" x14ac:dyDescent="0.55000000000000004">
      <c r="B74" s="123"/>
      <c r="I74" s="123"/>
      <c r="J74" s="123"/>
      <c r="K74" s="123"/>
    </row>
    <row r="75" spans="2:11" ht="14.25" customHeight="1" x14ac:dyDescent="0.55000000000000004">
      <c r="B75" s="123"/>
      <c r="I75" s="123"/>
      <c r="J75" s="123"/>
      <c r="K75" s="123"/>
    </row>
    <row r="76" spans="2:11" ht="14.25" customHeight="1" x14ac:dyDescent="0.55000000000000004">
      <c r="B76" s="123"/>
      <c r="I76" s="123"/>
      <c r="J76" s="123"/>
      <c r="K76" s="123"/>
    </row>
    <row r="77" spans="2:11" ht="14.25" customHeight="1" x14ac:dyDescent="0.55000000000000004">
      <c r="B77" s="123"/>
      <c r="I77" s="123"/>
      <c r="J77" s="123"/>
      <c r="K77" s="123"/>
    </row>
    <row r="78" spans="2:11" ht="14.25" customHeight="1" x14ac:dyDescent="0.55000000000000004">
      <c r="B78" s="123"/>
      <c r="I78" s="123"/>
      <c r="J78" s="123"/>
      <c r="K78" s="123"/>
    </row>
    <row r="79" spans="2:11" ht="14.25" customHeight="1" x14ac:dyDescent="0.55000000000000004">
      <c r="B79" s="123"/>
      <c r="I79" s="123"/>
      <c r="J79" s="123"/>
      <c r="K79" s="123"/>
    </row>
    <row r="80" spans="2:11" ht="14.25" customHeight="1" x14ac:dyDescent="0.55000000000000004">
      <c r="B80" s="123"/>
      <c r="I80" s="123"/>
      <c r="J80" s="123"/>
      <c r="K80" s="123"/>
    </row>
    <row r="81" spans="2:11" ht="14.25" customHeight="1" x14ac:dyDescent="0.55000000000000004">
      <c r="B81" s="123"/>
      <c r="I81" s="123"/>
      <c r="J81" s="123"/>
      <c r="K81" s="123"/>
    </row>
    <row r="82" spans="2:11" ht="14.25" customHeight="1" x14ac:dyDescent="0.55000000000000004">
      <c r="B82" s="123"/>
      <c r="I82" s="123"/>
      <c r="J82" s="123"/>
      <c r="K82" s="123"/>
    </row>
    <row r="83" spans="2:11" ht="14.25" customHeight="1" x14ac:dyDescent="0.55000000000000004">
      <c r="B83" s="123"/>
      <c r="I83" s="123"/>
      <c r="J83" s="123"/>
      <c r="K83" s="123"/>
    </row>
    <row r="84" spans="2:11" ht="14.25" customHeight="1" x14ac:dyDescent="0.55000000000000004">
      <c r="B84" s="123"/>
      <c r="I84" s="123"/>
      <c r="J84" s="123"/>
      <c r="K84" s="123"/>
    </row>
    <row r="85" spans="2:11" ht="14.25" customHeight="1" x14ac:dyDescent="0.55000000000000004">
      <c r="B85" s="123"/>
      <c r="I85" s="123"/>
      <c r="J85" s="123"/>
      <c r="K85" s="123"/>
    </row>
    <row r="86" spans="2:11" ht="14.25" customHeight="1" x14ac:dyDescent="0.55000000000000004">
      <c r="B86" s="123"/>
      <c r="I86" s="123"/>
      <c r="J86" s="123"/>
      <c r="K86" s="123"/>
    </row>
    <row r="87" spans="2:11" ht="14.25" customHeight="1" x14ac:dyDescent="0.55000000000000004">
      <c r="B87" s="123"/>
      <c r="I87" s="123"/>
      <c r="J87" s="123"/>
      <c r="K87" s="123"/>
    </row>
    <row r="88" spans="2:11" ht="14.25" customHeight="1" x14ac:dyDescent="0.55000000000000004">
      <c r="B88" s="123"/>
      <c r="I88" s="123"/>
      <c r="J88" s="123"/>
      <c r="K88" s="123"/>
    </row>
    <row r="89" spans="2:11" ht="14.25" customHeight="1" x14ac:dyDescent="0.55000000000000004">
      <c r="B89" s="123"/>
      <c r="I89" s="123"/>
      <c r="J89" s="123"/>
      <c r="K89" s="123"/>
    </row>
    <row r="90" spans="2:11" ht="14.25" customHeight="1" x14ac:dyDescent="0.55000000000000004">
      <c r="B90" s="123"/>
      <c r="I90" s="123"/>
      <c r="J90" s="123"/>
      <c r="K90" s="123"/>
    </row>
    <row r="91" spans="2:11" ht="14.25" customHeight="1" x14ac:dyDescent="0.55000000000000004">
      <c r="B91" s="123"/>
      <c r="I91" s="123"/>
      <c r="J91" s="123"/>
      <c r="K91" s="123"/>
    </row>
    <row r="92" spans="2:11" ht="14.25" customHeight="1" x14ac:dyDescent="0.55000000000000004">
      <c r="B92" s="123"/>
      <c r="I92" s="123"/>
      <c r="J92" s="123"/>
      <c r="K92" s="123"/>
    </row>
    <row r="93" spans="2:11" ht="14.25" customHeight="1" x14ac:dyDescent="0.55000000000000004">
      <c r="B93" s="123"/>
      <c r="I93" s="123"/>
      <c r="J93" s="123"/>
      <c r="K93" s="123"/>
    </row>
    <row r="94" spans="2:11" ht="14.25" customHeight="1" x14ac:dyDescent="0.55000000000000004">
      <c r="B94" s="123"/>
      <c r="I94" s="123"/>
      <c r="J94" s="123"/>
      <c r="K94" s="123"/>
    </row>
    <row r="95" spans="2:11" ht="14.25" customHeight="1" x14ac:dyDescent="0.55000000000000004">
      <c r="B95" s="123"/>
      <c r="I95" s="123"/>
      <c r="J95" s="123"/>
      <c r="K95" s="123"/>
    </row>
    <row r="96" spans="2:11" ht="14.25" customHeight="1" x14ac:dyDescent="0.55000000000000004">
      <c r="B96" s="123"/>
      <c r="I96" s="123"/>
      <c r="J96" s="123"/>
      <c r="K96" s="123"/>
    </row>
    <row r="97" spans="2:11" ht="14.25" customHeight="1" x14ac:dyDescent="0.55000000000000004">
      <c r="B97" s="123"/>
      <c r="I97" s="123"/>
      <c r="J97" s="123"/>
      <c r="K97" s="123"/>
    </row>
    <row r="98" spans="2:11" ht="14.25" customHeight="1" x14ac:dyDescent="0.55000000000000004">
      <c r="B98" s="123"/>
      <c r="I98" s="123"/>
      <c r="J98" s="123"/>
      <c r="K98" s="123"/>
    </row>
    <row r="99" spans="2:11" ht="14.25" customHeight="1" x14ac:dyDescent="0.55000000000000004">
      <c r="B99" s="123"/>
      <c r="I99" s="123"/>
      <c r="J99" s="123"/>
      <c r="K99" s="123"/>
    </row>
    <row r="100" spans="2:11" ht="14.25" customHeight="1" x14ac:dyDescent="0.55000000000000004">
      <c r="B100" s="123"/>
      <c r="I100" s="123"/>
      <c r="J100" s="123"/>
      <c r="K100" s="123"/>
    </row>
    <row r="101" spans="2:11" ht="14.25" customHeight="1" x14ac:dyDescent="0.55000000000000004">
      <c r="B101" s="123"/>
      <c r="I101" s="123"/>
      <c r="J101" s="123"/>
      <c r="K101" s="123"/>
    </row>
    <row r="102" spans="2:11" ht="14.25" customHeight="1" x14ac:dyDescent="0.55000000000000004">
      <c r="B102" s="123"/>
      <c r="I102" s="123"/>
      <c r="J102" s="123"/>
      <c r="K102" s="123"/>
    </row>
    <row r="103" spans="2:11" ht="14.25" customHeight="1" x14ac:dyDescent="0.55000000000000004">
      <c r="B103" s="123"/>
      <c r="I103" s="123"/>
      <c r="J103" s="123"/>
      <c r="K103" s="123"/>
    </row>
    <row r="104" spans="2:11" ht="14.25" customHeight="1" x14ac:dyDescent="0.55000000000000004">
      <c r="B104" s="123"/>
      <c r="I104" s="123"/>
      <c r="J104" s="123"/>
      <c r="K104" s="123"/>
    </row>
    <row r="105" spans="2:11" ht="14.25" customHeight="1" x14ac:dyDescent="0.55000000000000004">
      <c r="B105" s="123"/>
      <c r="I105" s="123"/>
      <c r="J105" s="123"/>
      <c r="K105" s="123"/>
    </row>
    <row r="106" spans="2:11" ht="14.25" customHeight="1" x14ac:dyDescent="0.55000000000000004">
      <c r="B106" s="123"/>
      <c r="I106" s="123"/>
      <c r="J106" s="123"/>
      <c r="K106" s="123"/>
    </row>
    <row r="107" spans="2:11" ht="14.25" customHeight="1" x14ac:dyDescent="0.55000000000000004">
      <c r="B107" s="123"/>
      <c r="I107" s="123"/>
      <c r="J107" s="123"/>
      <c r="K107" s="123"/>
    </row>
    <row r="108" spans="2:11" ht="14.25" customHeight="1" x14ac:dyDescent="0.55000000000000004">
      <c r="B108" s="123"/>
      <c r="I108" s="123"/>
      <c r="J108" s="123"/>
      <c r="K108" s="123"/>
    </row>
    <row r="109" spans="2:11" ht="14.25" customHeight="1" x14ac:dyDescent="0.55000000000000004">
      <c r="B109" s="123"/>
      <c r="I109" s="123"/>
      <c r="J109" s="123"/>
      <c r="K109" s="123"/>
    </row>
    <row r="110" spans="2:11" ht="14.25" customHeight="1" x14ac:dyDescent="0.55000000000000004">
      <c r="B110" s="123"/>
      <c r="I110" s="123"/>
      <c r="J110" s="123"/>
      <c r="K110" s="123"/>
    </row>
    <row r="111" spans="2:11" ht="14.25" customHeight="1" x14ac:dyDescent="0.55000000000000004">
      <c r="B111" s="123"/>
      <c r="I111" s="123"/>
      <c r="J111" s="123"/>
      <c r="K111" s="123"/>
    </row>
    <row r="112" spans="2:11" ht="14.25" customHeight="1" x14ac:dyDescent="0.55000000000000004">
      <c r="B112" s="123"/>
      <c r="I112" s="123"/>
      <c r="J112" s="123"/>
      <c r="K112" s="123"/>
    </row>
    <row r="113" spans="2:11" ht="14.25" customHeight="1" x14ac:dyDescent="0.55000000000000004">
      <c r="B113" s="123"/>
      <c r="I113" s="123"/>
      <c r="J113" s="123"/>
      <c r="K113" s="123"/>
    </row>
    <row r="114" spans="2:11" ht="14.25" customHeight="1" x14ac:dyDescent="0.55000000000000004">
      <c r="B114" s="123"/>
      <c r="I114" s="123"/>
      <c r="J114" s="123"/>
      <c r="K114" s="123"/>
    </row>
    <row r="115" spans="2:11" ht="14.25" customHeight="1" x14ac:dyDescent="0.55000000000000004">
      <c r="B115" s="123"/>
      <c r="I115" s="123"/>
      <c r="J115" s="123"/>
      <c r="K115" s="123"/>
    </row>
    <row r="116" spans="2:11" ht="14.25" customHeight="1" x14ac:dyDescent="0.55000000000000004">
      <c r="B116" s="123"/>
      <c r="I116" s="123"/>
      <c r="J116" s="123"/>
      <c r="K116" s="123"/>
    </row>
    <row r="117" spans="2:11" ht="14.25" customHeight="1" x14ac:dyDescent="0.55000000000000004">
      <c r="B117" s="123"/>
      <c r="I117" s="123"/>
      <c r="J117" s="123"/>
      <c r="K117" s="123"/>
    </row>
    <row r="118" spans="2:11" ht="14.25" customHeight="1" x14ac:dyDescent="0.55000000000000004">
      <c r="B118" s="123"/>
      <c r="I118" s="123"/>
      <c r="J118" s="123"/>
      <c r="K118" s="123"/>
    </row>
    <row r="119" spans="2:11" ht="14.25" customHeight="1" x14ac:dyDescent="0.55000000000000004">
      <c r="B119" s="123"/>
      <c r="I119" s="123"/>
      <c r="J119" s="123"/>
      <c r="K119" s="123"/>
    </row>
    <row r="120" spans="2:11" ht="14.25" customHeight="1" x14ac:dyDescent="0.55000000000000004">
      <c r="B120" s="123"/>
      <c r="I120" s="123"/>
      <c r="J120" s="123"/>
      <c r="K120" s="123"/>
    </row>
    <row r="121" spans="2:11" ht="14.25" customHeight="1" x14ac:dyDescent="0.55000000000000004">
      <c r="B121" s="123"/>
      <c r="I121" s="123"/>
      <c r="J121" s="123"/>
      <c r="K121" s="123"/>
    </row>
    <row r="122" spans="2:11" ht="14.25" customHeight="1" x14ac:dyDescent="0.55000000000000004">
      <c r="B122" s="123"/>
      <c r="I122" s="123"/>
      <c r="J122" s="123"/>
      <c r="K122" s="123"/>
    </row>
    <row r="123" spans="2:11" ht="14.25" customHeight="1" x14ac:dyDescent="0.55000000000000004">
      <c r="B123" s="123"/>
      <c r="I123" s="123"/>
      <c r="J123" s="123"/>
      <c r="K123" s="123"/>
    </row>
    <row r="124" spans="2:11" ht="14.25" customHeight="1" x14ac:dyDescent="0.55000000000000004">
      <c r="B124" s="123"/>
      <c r="I124" s="123"/>
      <c r="J124" s="123"/>
      <c r="K124" s="123"/>
    </row>
    <row r="125" spans="2:11" ht="14.25" customHeight="1" x14ac:dyDescent="0.55000000000000004">
      <c r="B125" s="123"/>
      <c r="I125" s="123"/>
      <c r="J125" s="123"/>
      <c r="K125" s="123"/>
    </row>
    <row r="126" spans="2:11" ht="14.25" customHeight="1" x14ac:dyDescent="0.55000000000000004">
      <c r="B126" s="123"/>
      <c r="I126" s="123"/>
      <c r="J126" s="123"/>
      <c r="K126" s="123"/>
    </row>
    <row r="127" spans="2:11" ht="14.25" customHeight="1" x14ac:dyDescent="0.55000000000000004">
      <c r="B127" s="123"/>
      <c r="I127" s="123"/>
      <c r="J127" s="123"/>
      <c r="K127" s="123"/>
    </row>
    <row r="128" spans="2:11" ht="14.25" customHeight="1" x14ac:dyDescent="0.55000000000000004">
      <c r="B128" s="123"/>
      <c r="I128" s="123"/>
      <c r="J128" s="123"/>
      <c r="K128" s="123"/>
    </row>
    <row r="129" spans="2:11" ht="14.25" customHeight="1" x14ac:dyDescent="0.55000000000000004">
      <c r="B129" s="123"/>
      <c r="I129" s="123"/>
      <c r="J129" s="123"/>
      <c r="K129" s="123"/>
    </row>
    <row r="130" spans="2:11" ht="14.25" customHeight="1" x14ac:dyDescent="0.55000000000000004">
      <c r="B130" s="123"/>
      <c r="I130" s="123"/>
      <c r="J130" s="123"/>
      <c r="K130" s="123"/>
    </row>
    <row r="131" spans="2:11" ht="14.25" customHeight="1" x14ac:dyDescent="0.55000000000000004">
      <c r="B131" s="123"/>
      <c r="I131" s="123"/>
      <c r="J131" s="123"/>
      <c r="K131" s="123"/>
    </row>
    <row r="132" spans="2:11" ht="14.25" customHeight="1" x14ac:dyDescent="0.55000000000000004">
      <c r="B132" s="123"/>
      <c r="I132" s="123"/>
      <c r="J132" s="123"/>
      <c r="K132" s="123"/>
    </row>
    <row r="133" spans="2:11" ht="14.25" customHeight="1" x14ac:dyDescent="0.55000000000000004">
      <c r="B133" s="123"/>
      <c r="I133" s="123"/>
      <c r="J133" s="123"/>
      <c r="K133" s="123"/>
    </row>
    <row r="134" spans="2:11" ht="14.25" customHeight="1" x14ac:dyDescent="0.55000000000000004">
      <c r="B134" s="123"/>
      <c r="I134" s="123"/>
      <c r="J134" s="123"/>
      <c r="K134" s="123"/>
    </row>
    <row r="135" spans="2:11" ht="14.25" customHeight="1" x14ac:dyDescent="0.55000000000000004">
      <c r="B135" s="123"/>
      <c r="I135" s="123"/>
      <c r="J135" s="123"/>
      <c r="K135" s="123"/>
    </row>
    <row r="136" spans="2:11" ht="14.25" customHeight="1" x14ac:dyDescent="0.55000000000000004">
      <c r="B136" s="123"/>
      <c r="I136" s="123"/>
      <c r="J136" s="123"/>
      <c r="K136" s="123"/>
    </row>
    <row r="137" spans="2:11" ht="14.25" customHeight="1" x14ac:dyDescent="0.55000000000000004">
      <c r="B137" s="123"/>
      <c r="I137" s="123"/>
      <c r="J137" s="123"/>
      <c r="K137" s="123"/>
    </row>
    <row r="138" spans="2:11" ht="14.25" customHeight="1" x14ac:dyDescent="0.55000000000000004">
      <c r="B138" s="123"/>
      <c r="I138" s="123"/>
      <c r="J138" s="123"/>
      <c r="K138" s="123"/>
    </row>
    <row r="139" spans="2:11" ht="14.25" customHeight="1" x14ac:dyDescent="0.55000000000000004">
      <c r="B139" s="123"/>
      <c r="I139" s="123"/>
      <c r="J139" s="123"/>
      <c r="K139" s="123"/>
    </row>
    <row r="140" spans="2:11" ht="14.25" customHeight="1" x14ac:dyDescent="0.55000000000000004">
      <c r="B140" s="123"/>
      <c r="I140" s="123"/>
      <c r="J140" s="123"/>
      <c r="K140" s="123"/>
    </row>
    <row r="141" spans="2:11" ht="14.25" customHeight="1" x14ac:dyDescent="0.55000000000000004">
      <c r="B141" s="123"/>
      <c r="I141" s="123"/>
      <c r="J141" s="123"/>
      <c r="K141" s="123"/>
    </row>
    <row r="142" spans="2:11" ht="14.25" customHeight="1" x14ac:dyDescent="0.55000000000000004">
      <c r="B142" s="123"/>
      <c r="I142" s="123"/>
      <c r="J142" s="123"/>
      <c r="K142" s="123"/>
    </row>
    <row r="143" spans="2:11" ht="14.25" customHeight="1" x14ac:dyDescent="0.55000000000000004">
      <c r="B143" s="123"/>
      <c r="I143" s="123"/>
      <c r="J143" s="123"/>
      <c r="K143" s="123"/>
    </row>
    <row r="144" spans="2:11" ht="14.25" customHeight="1" x14ac:dyDescent="0.55000000000000004">
      <c r="B144" s="123"/>
      <c r="I144" s="123"/>
      <c r="J144" s="123"/>
      <c r="K144" s="123"/>
    </row>
    <row r="145" spans="2:11" ht="14.25" customHeight="1" x14ac:dyDescent="0.55000000000000004">
      <c r="B145" s="123"/>
      <c r="I145" s="123"/>
      <c r="J145" s="123"/>
      <c r="K145" s="123"/>
    </row>
    <row r="146" spans="2:11" ht="14.25" customHeight="1" x14ac:dyDescent="0.55000000000000004">
      <c r="B146" s="123"/>
      <c r="I146" s="123"/>
      <c r="J146" s="123"/>
      <c r="K146" s="123"/>
    </row>
    <row r="147" spans="2:11" ht="14.25" customHeight="1" x14ac:dyDescent="0.55000000000000004">
      <c r="B147" s="123"/>
      <c r="I147" s="123"/>
      <c r="J147" s="123"/>
      <c r="K147" s="123"/>
    </row>
    <row r="148" spans="2:11" ht="14.25" customHeight="1" x14ac:dyDescent="0.55000000000000004">
      <c r="B148" s="123"/>
      <c r="I148" s="123"/>
      <c r="J148" s="123"/>
      <c r="K148" s="123"/>
    </row>
    <row r="149" spans="2:11" ht="14.25" customHeight="1" x14ac:dyDescent="0.55000000000000004">
      <c r="B149" s="123"/>
      <c r="I149" s="123"/>
      <c r="J149" s="123"/>
      <c r="K149" s="123"/>
    </row>
    <row r="150" spans="2:11" ht="14.25" customHeight="1" x14ac:dyDescent="0.55000000000000004">
      <c r="B150" s="123"/>
      <c r="I150" s="123"/>
      <c r="J150" s="123"/>
      <c r="K150" s="123"/>
    </row>
    <row r="151" spans="2:11" ht="14.25" customHeight="1" x14ac:dyDescent="0.55000000000000004">
      <c r="B151" s="123"/>
      <c r="I151" s="123"/>
      <c r="J151" s="123"/>
      <c r="K151" s="123"/>
    </row>
    <row r="152" spans="2:11" ht="14.25" customHeight="1" x14ac:dyDescent="0.55000000000000004">
      <c r="B152" s="123"/>
      <c r="I152" s="123"/>
      <c r="J152" s="123"/>
      <c r="K152" s="123"/>
    </row>
    <row r="153" spans="2:11" ht="14.25" customHeight="1" x14ac:dyDescent="0.55000000000000004">
      <c r="B153" s="123"/>
      <c r="I153" s="123"/>
      <c r="J153" s="123"/>
      <c r="K153" s="123"/>
    </row>
    <row r="154" spans="2:11" ht="14.25" customHeight="1" x14ac:dyDescent="0.55000000000000004">
      <c r="B154" s="123"/>
      <c r="I154" s="123"/>
      <c r="J154" s="123"/>
      <c r="K154" s="123"/>
    </row>
    <row r="155" spans="2:11" ht="14.25" customHeight="1" x14ac:dyDescent="0.55000000000000004">
      <c r="B155" s="123"/>
      <c r="I155" s="123"/>
      <c r="J155" s="123"/>
      <c r="K155" s="123"/>
    </row>
    <row r="156" spans="2:11" ht="14.25" customHeight="1" x14ac:dyDescent="0.55000000000000004">
      <c r="B156" s="123"/>
      <c r="I156" s="123"/>
      <c r="J156" s="123"/>
      <c r="K156" s="123"/>
    </row>
    <row r="157" spans="2:11" ht="14.25" customHeight="1" x14ac:dyDescent="0.55000000000000004">
      <c r="B157" s="123"/>
      <c r="I157" s="123"/>
      <c r="J157" s="123"/>
      <c r="K157" s="123"/>
    </row>
    <row r="158" spans="2:11" ht="14.25" customHeight="1" x14ac:dyDescent="0.55000000000000004">
      <c r="B158" s="123"/>
      <c r="I158" s="123"/>
      <c r="J158" s="123"/>
      <c r="K158" s="123"/>
    </row>
    <row r="159" spans="2:11" ht="14.25" customHeight="1" x14ac:dyDescent="0.55000000000000004">
      <c r="B159" s="123"/>
      <c r="I159" s="123"/>
      <c r="J159" s="123"/>
      <c r="K159" s="123"/>
    </row>
    <row r="160" spans="2:11" ht="14.25" customHeight="1" x14ac:dyDescent="0.55000000000000004">
      <c r="B160" s="123"/>
      <c r="I160" s="123"/>
      <c r="J160" s="123"/>
      <c r="K160" s="123"/>
    </row>
    <row r="161" spans="2:11" ht="14.25" customHeight="1" x14ac:dyDescent="0.55000000000000004">
      <c r="B161" s="123"/>
      <c r="I161" s="123"/>
      <c r="J161" s="123"/>
      <c r="K161" s="123"/>
    </row>
    <row r="162" spans="2:11" ht="14.25" customHeight="1" x14ac:dyDescent="0.55000000000000004">
      <c r="B162" s="123"/>
      <c r="I162" s="123"/>
      <c r="J162" s="123"/>
      <c r="K162" s="123"/>
    </row>
    <row r="163" spans="2:11" ht="14.25" customHeight="1" x14ac:dyDescent="0.55000000000000004">
      <c r="B163" s="123"/>
      <c r="I163" s="123"/>
      <c r="J163" s="123"/>
      <c r="K163" s="123"/>
    </row>
    <row r="164" spans="2:11" ht="14.25" customHeight="1" x14ac:dyDescent="0.55000000000000004">
      <c r="B164" s="123"/>
      <c r="I164" s="123"/>
      <c r="J164" s="123"/>
      <c r="K164" s="123"/>
    </row>
    <row r="165" spans="2:11" ht="14.25" customHeight="1" x14ac:dyDescent="0.55000000000000004">
      <c r="B165" s="123"/>
      <c r="I165" s="123"/>
      <c r="J165" s="123"/>
      <c r="K165" s="123"/>
    </row>
    <row r="166" spans="2:11" ht="14.25" customHeight="1" x14ac:dyDescent="0.55000000000000004">
      <c r="B166" s="123"/>
      <c r="I166" s="123"/>
      <c r="J166" s="123"/>
      <c r="K166" s="123"/>
    </row>
    <row r="167" spans="2:11" ht="14.25" customHeight="1" x14ac:dyDescent="0.55000000000000004">
      <c r="B167" s="123"/>
      <c r="I167" s="123"/>
      <c r="J167" s="123"/>
      <c r="K167" s="123"/>
    </row>
    <row r="168" spans="2:11" ht="14.25" customHeight="1" x14ac:dyDescent="0.55000000000000004">
      <c r="B168" s="123"/>
      <c r="I168" s="123"/>
      <c r="J168" s="123"/>
      <c r="K168" s="123"/>
    </row>
    <row r="169" spans="2:11" ht="14.25" customHeight="1" x14ac:dyDescent="0.55000000000000004">
      <c r="B169" s="123"/>
      <c r="I169" s="123"/>
      <c r="J169" s="123"/>
      <c r="K169" s="123"/>
    </row>
    <row r="170" spans="2:11" ht="14.25" customHeight="1" x14ac:dyDescent="0.55000000000000004">
      <c r="B170" s="123"/>
      <c r="I170" s="123"/>
      <c r="J170" s="123"/>
      <c r="K170" s="123"/>
    </row>
    <row r="171" spans="2:11" ht="14.25" customHeight="1" x14ac:dyDescent="0.55000000000000004">
      <c r="B171" s="123"/>
      <c r="I171" s="123"/>
      <c r="J171" s="123"/>
      <c r="K171" s="123"/>
    </row>
    <row r="172" spans="2:11" ht="14.25" customHeight="1" x14ac:dyDescent="0.55000000000000004">
      <c r="B172" s="123"/>
      <c r="I172" s="123"/>
      <c r="J172" s="123"/>
      <c r="K172" s="123"/>
    </row>
    <row r="173" spans="2:11" ht="14.25" customHeight="1" x14ac:dyDescent="0.55000000000000004">
      <c r="B173" s="123"/>
      <c r="I173" s="123"/>
      <c r="J173" s="123"/>
      <c r="K173" s="123"/>
    </row>
    <row r="174" spans="2:11" ht="14.25" customHeight="1" x14ac:dyDescent="0.55000000000000004">
      <c r="B174" s="123"/>
      <c r="I174" s="123"/>
      <c r="J174" s="123"/>
      <c r="K174" s="123"/>
    </row>
    <row r="175" spans="2:11" ht="14.25" customHeight="1" x14ac:dyDescent="0.55000000000000004">
      <c r="B175" s="123"/>
      <c r="I175" s="123"/>
      <c r="J175" s="123"/>
      <c r="K175" s="123"/>
    </row>
    <row r="176" spans="2:11" ht="14.25" customHeight="1" x14ac:dyDescent="0.55000000000000004">
      <c r="B176" s="123"/>
      <c r="I176" s="123"/>
      <c r="J176" s="123"/>
      <c r="K176" s="123"/>
    </row>
    <row r="177" spans="2:11" ht="14.25" customHeight="1" x14ac:dyDescent="0.55000000000000004">
      <c r="B177" s="123"/>
      <c r="I177" s="123"/>
      <c r="J177" s="123"/>
      <c r="K177" s="123"/>
    </row>
    <row r="178" spans="2:11" ht="14.25" customHeight="1" x14ac:dyDescent="0.55000000000000004">
      <c r="B178" s="123"/>
      <c r="I178" s="123"/>
      <c r="J178" s="123"/>
      <c r="K178" s="123"/>
    </row>
    <row r="179" spans="2:11" ht="14.25" customHeight="1" x14ac:dyDescent="0.55000000000000004">
      <c r="B179" s="123"/>
      <c r="I179" s="123"/>
      <c r="J179" s="123"/>
      <c r="K179" s="123"/>
    </row>
    <row r="180" spans="2:11" ht="14.25" customHeight="1" x14ac:dyDescent="0.55000000000000004">
      <c r="B180" s="123"/>
      <c r="I180" s="123"/>
      <c r="J180" s="123"/>
      <c r="K180" s="123"/>
    </row>
    <row r="181" spans="2:11" ht="14.25" customHeight="1" x14ac:dyDescent="0.55000000000000004">
      <c r="B181" s="123"/>
      <c r="I181" s="123"/>
      <c r="J181" s="123"/>
      <c r="K181" s="123"/>
    </row>
    <row r="182" spans="2:11" ht="14.25" customHeight="1" x14ac:dyDescent="0.55000000000000004">
      <c r="B182" s="123"/>
      <c r="I182" s="123"/>
      <c r="J182" s="123"/>
      <c r="K182" s="123"/>
    </row>
    <row r="183" spans="2:11" ht="14.25" customHeight="1" x14ac:dyDescent="0.55000000000000004">
      <c r="B183" s="123"/>
      <c r="I183" s="123"/>
      <c r="J183" s="123"/>
      <c r="K183" s="123"/>
    </row>
    <row r="184" spans="2:11" ht="14.25" customHeight="1" x14ac:dyDescent="0.55000000000000004">
      <c r="B184" s="123"/>
      <c r="I184" s="123"/>
      <c r="J184" s="123"/>
      <c r="K184" s="123"/>
    </row>
    <row r="185" spans="2:11" ht="14.25" customHeight="1" x14ac:dyDescent="0.55000000000000004">
      <c r="B185" s="123"/>
      <c r="I185" s="123"/>
      <c r="J185" s="123"/>
      <c r="K185" s="123"/>
    </row>
    <row r="186" spans="2:11" ht="14.25" customHeight="1" x14ac:dyDescent="0.55000000000000004">
      <c r="B186" s="123"/>
      <c r="I186" s="123"/>
      <c r="J186" s="123"/>
      <c r="K186" s="123"/>
    </row>
    <row r="187" spans="2:11" ht="14.25" customHeight="1" x14ac:dyDescent="0.55000000000000004">
      <c r="B187" s="123"/>
      <c r="I187" s="123"/>
      <c r="J187" s="123"/>
      <c r="K187" s="123"/>
    </row>
    <row r="188" spans="2:11" ht="14.25" customHeight="1" x14ac:dyDescent="0.55000000000000004">
      <c r="B188" s="123"/>
      <c r="I188" s="123"/>
      <c r="J188" s="123"/>
      <c r="K188" s="123"/>
    </row>
    <row r="189" spans="2:11" ht="14.25" customHeight="1" x14ac:dyDescent="0.55000000000000004">
      <c r="B189" s="123"/>
      <c r="I189" s="123"/>
      <c r="J189" s="123"/>
      <c r="K189" s="123"/>
    </row>
    <row r="190" spans="2:11" ht="14.25" customHeight="1" x14ac:dyDescent="0.55000000000000004">
      <c r="B190" s="123"/>
      <c r="I190" s="123"/>
      <c r="J190" s="123"/>
      <c r="K190" s="123"/>
    </row>
    <row r="191" spans="2:11" ht="14.25" customHeight="1" x14ac:dyDescent="0.55000000000000004">
      <c r="B191" s="123"/>
      <c r="I191" s="123"/>
      <c r="J191" s="123"/>
      <c r="K191" s="123"/>
    </row>
    <row r="192" spans="2:11" ht="14.25" customHeight="1" x14ac:dyDescent="0.55000000000000004">
      <c r="B192" s="123"/>
      <c r="I192" s="123"/>
      <c r="J192" s="123"/>
      <c r="K192" s="123"/>
    </row>
    <row r="193" spans="2:11" ht="14.25" customHeight="1" x14ac:dyDescent="0.55000000000000004">
      <c r="B193" s="123"/>
      <c r="I193" s="123"/>
      <c r="J193" s="123"/>
      <c r="K193" s="123"/>
    </row>
    <row r="194" spans="2:11" ht="14.25" customHeight="1" x14ac:dyDescent="0.55000000000000004">
      <c r="B194" s="123"/>
      <c r="I194" s="123"/>
      <c r="J194" s="123"/>
      <c r="K194" s="123"/>
    </row>
    <row r="195" spans="2:11" ht="14.25" customHeight="1" x14ac:dyDescent="0.55000000000000004">
      <c r="B195" s="123"/>
      <c r="I195" s="123"/>
      <c r="J195" s="123"/>
      <c r="K195" s="123"/>
    </row>
    <row r="196" spans="2:11" ht="14.25" customHeight="1" x14ac:dyDescent="0.55000000000000004">
      <c r="B196" s="123"/>
      <c r="I196" s="123"/>
      <c r="J196" s="123"/>
      <c r="K196" s="123"/>
    </row>
    <row r="197" spans="2:11" ht="14.25" customHeight="1" x14ac:dyDescent="0.55000000000000004">
      <c r="B197" s="123"/>
      <c r="I197" s="123"/>
      <c r="J197" s="123"/>
      <c r="K197" s="123"/>
    </row>
    <row r="198" spans="2:11" ht="14.25" customHeight="1" x14ac:dyDescent="0.55000000000000004">
      <c r="B198" s="123"/>
      <c r="I198" s="123"/>
      <c r="J198" s="123"/>
      <c r="K198" s="123"/>
    </row>
    <row r="199" spans="2:11" ht="14.25" customHeight="1" x14ac:dyDescent="0.55000000000000004">
      <c r="B199" s="123"/>
      <c r="I199" s="123"/>
      <c r="J199" s="123"/>
      <c r="K199" s="123"/>
    </row>
    <row r="200" spans="2:11" ht="14.25" customHeight="1" x14ac:dyDescent="0.55000000000000004">
      <c r="B200" s="123"/>
      <c r="I200" s="123"/>
      <c r="J200" s="123"/>
      <c r="K200" s="123"/>
    </row>
    <row r="201" spans="2:11" ht="14.25" customHeight="1" x14ac:dyDescent="0.55000000000000004">
      <c r="B201" s="123"/>
      <c r="I201" s="123"/>
      <c r="J201" s="123"/>
      <c r="K201" s="123"/>
    </row>
    <row r="202" spans="2:11" ht="14.25" customHeight="1" x14ac:dyDescent="0.55000000000000004">
      <c r="B202" s="123"/>
      <c r="I202" s="123"/>
      <c r="J202" s="123"/>
      <c r="K202" s="123"/>
    </row>
    <row r="203" spans="2:11" ht="14.25" customHeight="1" x14ac:dyDescent="0.55000000000000004">
      <c r="B203" s="123"/>
      <c r="I203" s="123"/>
      <c r="J203" s="123"/>
      <c r="K203" s="123"/>
    </row>
    <row r="204" spans="2:11" ht="14.25" customHeight="1" x14ac:dyDescent="0.55000000000000004">
      <c r="B204" s="123"/>
      <c r="I204" s="123"/>
      <c r="J204" s="123"/>
      <c r="K204" s="123"/>
    </row>
    <row r="205" spans="2:11" ht="14.25" customHeight="1" x14ac:dyDescent="0.55000000000000004">
      <c r="B205" s="123"/>
      <c r="I205" s="123"/>
      <c r="J205" s="123"/>
      <c r="K205" s="123"/>
    </row>
    <row r="206" spans="2:11" ht="14.25" customHeight="1" x14ac:dyDescent="0.55000000000000004">
      <c r="B206" s="123"/>
      <c r="I206" s="123"/>
      <c r="J206" s="123"/>
      <c r="K206" s="123"/>
    </row>
    <row r="207" spans="2:11" ht="14.25" customHeight="1" x14ac:dyDescent="0.55000000000000004">
      <c r="B207" s="123"/>
      <c r="I207" s="123"/>
      <c r="J207" s="123"/>
      <c r="K207" s="123"/>
    </row>
    <row r="208" spans="2:11" ht="14.25" customHeight="1" x14ac:dyDescent="0.55000000000000004">
      <c r="B208" s="123"/>
      <c r="I208" s="123"/>
      <c r="J208" s="123"/>
      <c r="K208" s="123"/>
    </row>
    <row r="209" spans="2:11" ht="14.25" customHeight="1" x14ac:dyDescent="0.55000000000000004">
      <c r="B209" s="123"/>
      <c r="I209" s="123"/>
      <c r="J209" s="123"/>
      <c r="K209" s="123"/>
    </row>
    <row r="210" spans="2:11" ht="14.25" customHeight="1" x14ac:dyDescent="0.55000000000000004">
      <c r="B210" s="123"/>
      <c r="I210" s="123"/>
      <c r="J210" s="123"/>
      <c r="K210" s="123"/>
    </row>
    <row r="211" spans="2:11" ht="14.25" customHeight="1" x14ac:dyDescent="0.55000000000000004">
      <c r="B211" s="123"/>
      <c r="I211" s="123"/>
      <c r="J211" s="123"/>
      <c r="K211" s="123"/>
    </row>
    <row r="212" spans="2:11" ht="14.25" customHeight="1" x14ac:dyDescent="0.55000000000000004">
      <c r="B212" s="123"/>
      <c r="I212" s="123"/>
      <c r="J212" s="123"/>
      <c r="K212" s="123"/>
    </row>
    <row r="213" spans="2:11" ht="14.25" customHeight="1" x14ac:dyDescent="0.55000000000000004">
      <c r="B213" s="123"/>
      <c r="I213" s="123"/>
      <c r="J213" s="123"/>
      <c r="K213" s="123"/>
    </row>
    <row r="214" spans="2:11" ht="14.25" customHeight="1" x14ac:dyDescent="0.55000000000000004">
      <c r="B214" s="123"/>
      <c r="I214" s="123"/>
      <c r="J214" s="123"/>
      <c r="K214" s="123"/>
    </row>
    <row r="215" spans="2:11" ht="14.25" customHeight="1" x14ac:dyDescent="0.55000000000000004">
      <c r="B215" s="123"/>
      <c r="I215" s="123"/>
      <c r="J215" s="123"/>
      <c r="K215" s="123"/>
    </row>
    <row r="216" spans="2:11" ht="14.25" customHeight="1" x14ac:dyDescent="0.55000000000000004">
      <c r="B216" s="123"/>
      <c r="I216" s="123"/>
      <c r="J216" s="123"/>
      <c r="K216" s="123"/>
    </row>
    <row r="217" spans="2:11" ht="14.25" customHeight="1" x14ac:dyDescent="0.55000000000000004">
      <c r="B217" s="123"/>
      <c r="I217" s="123"/>
      <c r="J217" s="123"/>
      <c r="K217" s="123"/>
    </row>
    <row r="218" spans="2:11" ht="14.25" customHeight="1" x14ac:dyDescent="0.55000000000000004">
      <c r="B218" s="123"/>
      <c r="I218" s="123"/>
      <c r="J218" s="123"/>
      <c r="K218" s="123"/>
    </row>
    <row r="219" spans="2:11" ht="14.25" customHeight="1" x14ac:dyDescent="0.55000000000000004">
      <c r="B219" s="123"/>
      <c r="I219" s="123"/>
      <c r="J219" s="123"/>
      <c r="K219" s="123"/>
    </row>
    <row r="220" spans="2:11" ht="14.25" customHeight="1" x14ac:dyDescent="0.55000000000000004">
      <c r="B220" s="123"/>
      <c r="I220" s="123"/>
      <c r="J220" s="123"/>
      <c r="K220" s="123"/>
    </row>
    <row r="221" spans="2:11" ht="14.25" customHeight="1" x14ac:dyDescent="0.55000000000000004">
      <c r="B221" s="123"/>
      <c r="I221" s="123"/>
      <c r="J221" s="123"/>
      <c r="K221" s="123"/>
    </row>
    <row r="222" spans="2:11" ht="14.25" customHeight="1" x14ac:dyDescent="0.55000000000000004">
      <c r="B222" s="123"/>
      <c r="I222" s="123"/>
      <c r="J222" s="123"/>
      <c r="K222" s="123"/>
    </row>
    <row r="223" spans="2:11" ht="14.25" customHeight="1" x14ac:dyDescent="0.55000000000000004">
      <c r="B223" s="123"/>
      <c r="I223" s="123"/>
      <c r="J223" s="123"/>
      <c r="K223" s="123"/>
    </row>
    <row r="224" spans="2:11" ht="14.25" customHeight="1" x14ac:dyDescent="0.55000000000000004">
      <c r="B224" s="123"/>
      <c r="I224" s="123"/>
      <c r="J224" s="123"/>
      <c r="K224" s="123"/>
    </row>
    <row r="225" spans="2:11" ht="14.25" customHeight="1" x14ac:dyDescent="0.55000000000000004">
      <c r="B225" s="123"/>
      <c r="I225" s="123"/>
      <c r="J225" s="123"/>
      <c r="K225" s="123"/>
    </row>
    <row r="226" spans="2:11" ht="14.25" customHeight="1" x14ac:dyDescent="0.55000000000000004">
      <c r="B226" s="123"/>
      <c r="I226" s="123"/>
      <c r="J226" s="123"/>
      <c r="K226" s="123"/>
    </row>
    <row r="227" spans="2:11" ht="14.25" customHeight="1" x14ac:dyDescent="0.55000000000000004">
      <c r="B227" s="123"/>
      <c r="I227" s="123"/>
      <c r="J227" s="123"/>
      <c r="K227" s="123"/>
    </row>
    <row r="228" spans="2:11" ht="14.25" customHeight="1" x14ac:dyDescent="0.55000000000000004">
      <c r="B228" s="123"/>
      <c r="I228" s="123"/>
      <c r="J228" s="123"/>
      <c r="K228" s="123"/>
    </row>
    <row r="229" spans="2:11" ht="14.25" customHeight="1" x14ac:dyDescent="0.55000000000000004">
      <c r="B229" s="123"/>
      <c r="I229" s="123"/>
      <c r="J229" s="123"/>
      <c r="K229" s="123"/>
    </row>
    <row r="230" spans="2:11" ht="14.25" customHeight="1" x14ac:dyDescent="0.55000000000000004">
      <c r="B230" s="123"/>
      <c r="I230" s="123"/>
      <c r="J230" s="123"/>
      <c r="K230" s="123"/>
    </row>
    <row r="231" spans="2:11" ht="14.25" customHeight="1" x14ac:dyDescent="0.55000000000000004">
      <c r="B231" s="123"/>
      <c r="I231" s="123"/>
      <c r="J231" s="123"/>
      <c r="K231" s="123"/>
    </row>
    <row r="232" spans="2:11" ht="14.25" customHeight="1" x14ac:dyDescent="0.55000000000000004">
      <c r="B232" s="123"/>
      <c r="I232" s="123"/>
      <c r="J232" s="123"/>
      <c r="K232" s="123"/>
    </row>
    <row r="233" spans="2:11" ht="14.25" customHeight="1" x14ac:dyDescent="0.55000000000000004">
      <c r="B233" s="123"/>
      <c r="I233" s="123"/>
      <c r="J233" s="123"/>
      <c r="K233" s="123"/>
    </row>
    <row r="234" spans="2:11" ht="14.25" customHeight="1" x14ac:dyDescent="0.55000000000000004">
      <c r="B234" s="123"/>
      <c r="I234" s="123"/>
      <c r="J234" s="123"/>
      <c r="K234" s="123"/>
    </row>
    <row r="235" spans="2:11" ht="14.25" customHeight="1" x14ac:dyDescent="0.55000000000000004">
      <c r="B235" s="123"/>
      <c r="I235" s="123"/>
      <c r="J235" s="123"/>
      <c r="K235" s="123"/>
    </row>
    <row r="236" spans="2:11" ht="14.25" customHeight="1" x14ac:dyDescent="0.55000000000000004">
      <c r="B236" s="123"/>
      <c r="I236" s="123"/>
      <c r="J236" s="123"/>
      <c r="K236" s="123"/>
    </row>
    <row r="237" spans="2:11" ht="14.25" customHeight="1" x14ac:dyDescent="0.55000000000000004">
      <c r="B237" s="123"/>
      <c r="I237" s="123"/>
      <c r="J237" s="123"/>
      <c r="K237" s="123"/>
    </row>
    <row r="238" spans="2:11" ht="14.25" customHeight="1" x14ac:dyDescent="0.55000000000000004">
      <c r="B238" s="123"/>
      <c r="I238" s="123"/>
      <c r="J238" s="123"/>
      <c r="K238" s="123"/>
    </row>
    <row r="239" spans="2:11" ht="14.25" customHeight="1" x14ac:dyDescent="0.55000000000000004">
      <c r="B239" s="123"/>
      <c r="I239" s="123"/>
      <c r="J239" s="123"/>
      <c r="K239" s="123"/>
    </row>
    <row r="240" spans="2:11" ht="14.25" customHeight="1" x14ac:dyDescent="0.55000000000000004">
      <c r="B240" s="123"/>
      <c r="I240" s="123"/>
      <c r="J240" s="123"/>
      <c r="K240" s="123"/>
    </row>
    <row r="241" spans="2:11" ht="14.25" customHeight="1" x14ac:dyDescent="0.55000000000000004">
      <c r="B241" s="123"/>
      <c r="I241" s="123"/>
      <c r="J241" s="123"/>
      <c r="K241" s="123"/>
    </row>
    <row r="242" spans="2:11" ht="14.25" customHeight="1" x14ac:dyDescent="0.55000000000000004">
      <c r="B242" s="123"/>
      <c r="I242" s="123"/>
      <c r="J242" s="123"/>
      <c r="K242" s="123"/>
    </row>
    <row r="243" spans="2:11" ht="14.25" customHeight="1" x14ac:dyDescent="0.55000000000000004">
      <c r="B243" s="123"/>
      <c r="I243" s="123"/>
      <c r="J243" s="123"/>
      <c r="K243" s="123"/>
    </row>
    <row r="244" spans="2:11" ht="14.25" customHeight="1" x14ac:dyDescent="0.55000000000000004">
      <c r="B244" s="123"/>
      <c r="I244" s="123"/>
      <c r="J244" s="123"/>
      <c r="K244" s="123"/>
    </row>
    <row r="245" spans="2:11" ht="14.25" customHeight="1" x14ac:dyDescent="0.55000000000000004">
      <c r="B245" s="123"/>
      <c r="I245" s="123"/>
      <c r="J245" s="123"/>
      <c r="K245" s="123"/>
    </row>
    <row r="246" spans="2:11" ht="14.25" customHeight="1" x14ac:dyDescent="0.55000000000000004">
      <c r="B246" s="123"/>
      <c r="I246" s="123"/>
      <c r="J246" s="123"/>
      <c r="K246" s="123"/>
    </row>
    <row r="247" spans="2:11" ht="14.25" customHeight="1" x14ac:dyDescent="0.55000000000000004">
      <c r="B247" s="123"/>
      <c r="I247" s="123"/>
      <c r="J247" s="123"/>
      <c r="K247" s="123"/>
    </row>
    <row r="248" spans="2:11" ht="14.25" customHeight="1" x14ac:dyDescent="0.55000000000000004">
      <c r="B248" s="123"/>
      <c r="I248" s="123"/>
      <c r="J248" s="123"/>
      <c r="K248" s="123"/>
    </row>
    <row r="249" spans="2:11" ht="14.25" customHeight="1" x14ac:dyDescent="0.55000000000000004">
      <c r="B249" s="123"/>
      <c r="I249" s="123"/>
      <c r="J249" s="123"/>
      <c r="K249" s="123"/>
    </row>
    <row r="250" spans="2:11" ht="14.25" customHeight="1" x14ac:dyDescent="0.55000000000000004">
      <c r="B250" s="123"/>
      <c r="I250" s="123"/>
      <c r="J250" s="123"/>
      <c r="K250" s="123"/>
    </row>
    <row r="251" spans="2:11" ht="14.25" customHeight="1" x14ac:dyDescent="0.55000000000000004">
      <c r="B251" s="123"/>
      <c r="I251" s="123"/>
      <c r="J251" s="123"/>
      <c r="K251" s="123"/>
    </row>
    <row r="252" spans="2:11" ht="14.25" customHeight="1" x14ac:dyDescent="0.55000000000000004">
      <c r="B252" s="123"/>
      <c r="I252" s="123"/>
      <c r="J252" s="123"/>
      <c r="K252" s="123"/>
    </row>
    <row r="253" spans="2:11" ht="14.25" customHeight="1" x14ac:dyDescent="0.55000000000000004">
      <c r="B253" s="123"/>
      <c r="I253" s="123"/>
      <c r="J253" s="123"/>
      <c r="K253" s="123"/>
    </row>
    <row r="254" spans="2:11" ht="14.25" customHeight="1" x14ac:dyDescent="0.55000000000000004">
      <c r="B254" s="123"/>
      <c r="I254" s="123"/>
      <c r="J254" s="123"/>
      <c r="K254" s="123"/>
    </row>
    <row r="255" spans="2:11" ht="14.25" customHeight="1" x14ac:dyDescent="0.55000000000000004">
      <c r="B255" s="123"/>
      <c r="I255" s="123"/>
      <c r="J255" s="123"/>
      <c r="K255" s="123"/>
    </row>
    <row r="256" spans="2:11" ht="14.25" customHeight="1" x14ac:dyDescent="0.55000000000000004">
      <c r="B256" s="123"/>
      <c r="I256" s="123"/>
      <c r="J256" s="123"/>
      <c r="K256" s="123"/>
    </row>
    <row r="257" spans="2:11" ht="14.25" customHeight="1" x14ac:dyDescent="0.55000000000000004">
      <c r="B257" s="123"/>
      <c r="I257" s="123"/>
      <c r="J257" s="123"/>
      <c r="K257" s="123"/>
    </row>
    <row r="258" spans="2:11" ht="14.25" customHeight="1" x14ac:dyDescent="0.55000000000000004">
      <c r="B258" s="123"/>
      <c r="I258" s="123"/>
      <c r="J258" s="123"/>
      <c r="K258" s="123"/>
    </row>
    <row r="259" spans="2:11" ht="14.25" customHeight="1" x14ac:dyDescent="0.55000000000000004">
      <c r="B259" s="123"/>
      <c r="I259" s="123"/>
      <c r="J259" s="123"/>
      <c r="K259" s="123"/>
    </row>
    <row r="260" spans="2:11" ht="14.25" customHeight="1" x14ac:dyDescent="0.55000000000000004">
      <c r="B260" s="123"/>
      <c r="I260" s="123"/>
      <c r="J260" s="123"/>
      <c r="K260" s="123"/>
    </row>
    <row r="261" spans="2:11" ht="14.25" customHeight="1" x14ac:dyDescent="0.55000000000000004">
      <c r="B261" s="123"/>
      <c r="I261" s="123"/>
      <c r="J261" s="123"/>
      <c r="K261" s="123"/>
    </row>
    <row r="262" spans="2:11" ht="14.25" customHeight="1" x14ac:dyDescent="0.55000000000000004">
      <c r="B262" s="123"/>
      <c r="I262" s="123"/>
      <c r="J262" s="123"/>
      <c r="K262" s="123"/>
    </row>
    <row r="263" spans="2:11" ht="14.25" customHeight="1" x14ac:dyDescent="0.55000000000000004">
      <c r="B263" s="123"/>
      <c r="I263" s="123"/>
      <c r="J263" s="123"/>
      <c r="K263" s="123"/>
    </row>
    <row r="264" spans="2:11" ht="14.25" customHeight="1" x14ac:dyDescent="0.55000000000000004">
      <c r="B264" s="123"/>
      <c r="I264" s="123"/>
      <c r="J264" s="123"/>
      <c r="K264" s="123"/>
    </row>
    <row r="265" spans="2:11" ht="14.25" customHeight="1" x14ac:dyDescent="0.55000000000000004">
      <c r="B265" s="123"/>
      <c r="I265" s="123"/>
      <c r="J265" s="123"/>
      <c r="K265" s="123"/>
    </row>
    <row r="266" spans="2:11" ht="14.25" customHeight="1" x14ac:dyDescent="0.55000000000000004">
      <c r="B266" s="123"/>
      <c r="I266" s="123"/>
      <c r="J266" s="123"/>
      <c r="K266" s="123"/>
    </row>
    <row r="267" spans="2:11" ht="14.25" customHeight="1" x14ac:dyDescent="0.55000000000000004">
      <c r="B267" s="123"/>
      <c r="I267" s="123"/>
      <c r="J267" s="123"/>
      <c r="K267" s="123"/>
    </row>
    <row r="268" spans="2:11" ht="14.25" customHeight="1" x14ac:dyDescent="0.55000000000000004">
      <c r="B268" s="123"/>
      <c r="I268" s="123"/>
      <c r="J268" s="123"/>
      <c r="K268" s="123"/>
    </row>
    <row r="269" spans="2:11" ht="14.25" customHeight="1" x14ac:dyDescent="0.55000000000000004">
      <c r="B269" s="123"/>
      <c r="I269" s="123"/>
      <c r="J269" s="123"/>
      <c r="K269" s="123"/>
    </row>
    <row r="270" spans="2:11" ht="14.25" customHeight="1" x14ac:dyDescent="0.55000000000000004">
      <c r="B270" s="123"/>
      <c r="I270" s="123"/>
      <c r="J270" s="123"/>
      <c r="K270" s="123"/>
    </row>
    <row r="271" spans="2:11" ht="14.25" customHeight="1" x14ac:dyDescent="0.55000000000000004">
      <c r="B271" s="123"/>
      <c r="I271" s="123"/>
      <c r="J271" s="123"/>
      <c r="K271" s="123"/>
    </row>
    <row r="272" spans="2:11" ht="14.25" customHeight="1" x14ac:dyDescent="0.55000000000000004">
      <c r="B272" s="123"/>
      <c r="I272" s="123"/>
      <c r="J272" s="123"/>
      <c r="K272" s="123"/>
    </row>
    <row r="273" spans="2:11" ht="14.25" customHeight="1" x14ac:dyDescent="0.55000000000000004">
      <c r="B273" s="123"/>
      <c r="I273" s="123"/>
      <c r="J273" s="123"/>
      <c r="K273" s="123"/>
    </row>
    <row r="274" spans="2:11" ht="14.25" customHeight="1" x14ac:dyDescent="0.55000000000000004">
      <c r="B274" s="123"/>
      <c r="I274" s="123"/>
      <c r="J274" s="123"/>
      <c r="K274" s="123"/>
    </row>
    <row r="275" spans="2:11" ht="14.25" customHeight="1" x14ac:dyDescent="0.55000000000000004">
      <c r="B275" s="123"/>
      <c r="I275" s="123"/>
      <c r="J275" s="123"/>
      <c r="K275" s="123"/>
    </row>
    <row r="276" spans="2:11" ht="14.25" customHeight="1" x14ac:dyDescent="0.55000000000000004">
      <c r="B276" s="123"/>
      <c r="I276" s="123"/>
      <c r="J276" s="123"/>
      <c r="K276" s="123"/>
    </row>
    <row r="277" spans="2:11" ht="14.25" customHeight="1" x14ac:dyDescent="0.55000000000000004">
      <c r="B277" s="123"/>
      <c r="I277" s="123"/>
      <c r="J277" s="123"/>
      <c r="K277" s="123"/>
    </row>
    <row r="278" spans="2:11" ht="14.25" customHeight="1" x14ac:dyDescent="0.55000000000000004">
      <c r="B278" s="123"/>
      <c r="I278" s="123"/>
      <c r="J278" s="123"/>
      <c r="K278" s="123"/>
    </row>
    <row r="279" spans="2:11" ht="14.25" customHeight="1" x14ac:dyDescent="0.55000000000000004">
      <c r="B279" s="123"/>
      <c r="I279" s="123"/>
      <c r="J279" s="123"/>
      <c r="K279" s="123"/>
    </row>
    <row r="280" spans="2:11" ht="14.25" customHeight="1" x14ac:dyDescent="0.55000000000000004">
      <c r="B280" s="123"/>
      <c r="I280" s="123"/>
      <c r="J280" s="123"/>
      <c r="K280" s="123"/>
    </row>
    <row r="281" spans="2:11" ht="14.25" customHeight="1" x14ac:dyDescent="0.55000000000000004">
      <c r="B281" s="123"/>
      <c r="I281" s="123"/>
      <c r="J281" s="123"/>
      <c r="K281" s="123"/>
    </row>
    <row r="282" spans="2:11" ht="14.25" customHeight="1" x14ac:dyDescent="0.55000000000000004">
      <c r="B282" s="123"/>
      <c r="I282" s="123"/>
      <c r="J282" s="123"/>
      <c r="K282" s="123"/>
    </row>
    <row r="283" spans="2:11" ht="14.25" customHeight="1" x14ac:dyDescent="0.55000000000000004">
      <c r="B283" s="123"/>
      <c r="I283" s="123"/>
      <c r="J283" s="123"/>
      <c r="K283" s="123"/>
    </row>
    <row r="284" spans="2:11" ht="14.25" customHeight="1" x14ac:dyDescent="0.55000000000000004">
      <c r="B284" s="123"/>
      <c r="I284" s="123"/>
      <c r="J284" s="123"/>
      <c r="K284" s="123"/>
    </row>
    <row r="285" spans="2:11" ht="14.25" customHeight="1" x14ac:dyDescent="0.55000000000000004">
      <c r="B285" s="123"/>
      <c r="I285" s="123"/>
      <c r="J285" s="123"/>
      <c r="K285" s="123"/>
    </row>
    <row r="286" spans="2:11" ht="14.25" customHeight="1" x14ac:dyDescent="0.55000000000000004">
      <c r="B286" s="123"/>
      <c r="I286" s="123"/>
      <c r="J286" s="123"/>
      <c r="K286" s="123"/>
    </row>
    <row r="287" spans="2:11" ht="14.25" customHeight="1" x14ac:dyDescent="0.55000000000000004">
      <c r="B287" s="123"/>
      <c r="I287" s="123"/>
      <c r="J287" s="123"/>
      <c r="K287" s="123"/>
    </row>
    <row r="288" spans="2:11" ht="14.25" customHeight="1" x14ac:dyDescent="0.55000000000000004">
      <c r="B288" s="123"/>
      <c r="I288" s="123"/>
      <c r="J288" s="123"/>
      <c r="K288" s="123"/>
    </row>
    <row r="289" spans="2:11" ht="14.25" customHeight="1" x14ac:dyDescent="0.55000000000000004">
      <c r="B289" s="123"/>
      <c r="I289" s="123"/>
      <c r="J289" s="123"/>
      <c r="K289" s="123"/>
    </row>
    <row r="290" spans="2:11" ht="14.25" customHeight="1" x14ac:dyDescent="0.55000000000000004">
      <c r="B290" s="123"/>
      <c r="I290" s="123"/>
      <c r="J290" s="123"/>
      <c r="K290" s="123"/>
    </row>
    <row r="291" spans="2:11" ht="14.25" customHeight="1" x14ac:dyDescent="0.55000000000000004">
      <c r="B291" s="123"/>
      <c r="I291" s="123"/>
      <c r="J291" s="123"/>
      <c r="K291" s="123"/>
    </row>
    <row r="292" spans="2:11" ht="14.25" customHeight="1" x14ac:dyDescent="0.55000000000000004">
      <c r="B292" s="123"/>
      <c r="I292" s="123"/>
      <c r="J292" s="123"/>
      <c r="K292" s="123"/>
    </row>
    <row r="293" spans="2:11" ht="14.25" customHeight="1" x14ac:dyDescent="0.55000000000000004">
      <c r="B293" s="123"/>
      <c r="I293" s="123"/>
      <c r="J293" s="123"/>
      <c r="K293" s="123"/>
    </row>
    <row r="294" spans="2:11" ht="14.25" customHeight="1" x14ac:dyDescent="0.55000000000000004">
      <c r="B294" s="123"/>
      <c r="I294" s="123"/>
      <c r="J294" s="123"/>
      <c r="K294" s="123"/>
    </row>
    <row r="295" spans="2:11" ht="14.25" customHeight="1" x14ac:dyDescent="0.55000000000000004">
      <c r="B295" s="123"/>
      <c r="I295" s="123"/>
      <c r="J295" s="123"/>
      <c r="K295" s="123"/>
    </row>
    <row r="296" spans="2:11" ht="14.25" customHeight="1" x14ac:dyDescent="0.55000000000000004">
      <c r="B296" s="123"/>
      <c r="I296" s="123"/>
      <c r="J296" s="123"/>
      <c r="K296" s="123"/>
    </row>
    <row r="297" spans="2:11" ht="14.25" customHeight="1" x14ac:dyDescent="0.55000000000000004">
      <c r="B297" s="123"/>
      <c r="I297" s="123"/>
      <c r="J297" s="123"/>
      <c r="K297" s="123"/>
    </row>
    <row r="298" spans="2:11" ht="14.25" customHeight="1" x14ac:dyDescent="0.55000000000000004">
      <c r="B298" s="123"/>
      <c r="I298" s="123"/>
      <c r="J298" s="123"/>
      <c r="K298" s="123"/>
    </row>
    <row r="299" spans="2:11" ht="14.25" customHeight="1" x14ac:dyDescent="0.55000000000000004">
      <c r="B299" s="123"/>
      <c r="I299" s="123"/>
      <c r="J299" s="123"/>
      <c r="K299" s="123"/>
    </row>
    <row r="300" spans="2:11" ht="14.25" customHeight="1" x14ac:dyDescent="0.55000000000000004">
      <c r="B300" s="123"/>
      <c r="I300" s="123"/>
      <c r="J300" s="123"/>
      <c r="K300" s="123"/>
    </row>
    <row r="301" spans="2:11" ht="14.25" customHeight="1" x14ac:dyDescent="0.55000000000000004">
      <c r="B301" s="123"/>
      <c r="I301" s="123"/>
      <c r="J301" s="123"/>
      <c r="K301" s="123"/>
    </row>
    <row r="302" spans="2:11" ht="14.25" customHeight="1" x14ac:dyDescent="0.55000000000000004">
      <c r="B302" s="123"/>
      <c r="I302" s="123"/>
      <c r="J302" s="123"/>
      <c r="K302" s="123"/>
    </row>
    <row r="303" spans="2:11" ht="14.25" customHeight="1" x14ac:dyDescent="0.55000000000000004">
      <c r="B303" s="123"/>
      <c r="I303" s="123"/>
      <c r="J303" s="123"/>
      <c r="K303" s="123"/>
    </row>
    <row r="304" spans="2:11" ht="14.25" customHeight="1" x14ac:dyDescent="0.55000000000000004">
      <c r="B304" s="123"/>
      <c r="I304" s="123"/>
      <c r="J304" s="123"/>
      <c r="K304" s="123"/>
    </row>
    <row r="305" spans="2:11" ht="14.25" customHeight="1" x14ac:dyDescent="0.55000000000000004">
      <c r="B305" s="123"/>
      <c r="I305" s="123"/>
      <c r="J305" s="123"/>
      <c r="K305" s="123"/>
    </row>
    <row r="306" spans="2:11" ht="14.25" customHeight="1" x14ac:dyDescent="0.55000000000000004">
      <c r="B306" s="123"/>
      <c r="I306" s="123"/>
      <c r="J306" s="123"/>
      <c r="K306" s="123"/>
    </row>
    <row r="307" spans="2:11" ht="14.25" customHeight="1" x14ac:dyDescent="0.55000000000000004">
      <c r="B307" s="123"/>
      <c r="I307" s="123"/>
      <c r="J307" s="123"/>
      <c r="K307" s="123"/>
    </row>
    <row r="308" spans="2:11" ht="14.25" customHeight="1" x14ac:dyDescent="0.55000000000000004">
      <c r="B308" s="123"/>
      <c r="I308" s="123"/>
      <c r="J308" s="123"/>
      <c r="K308" s="123"/>
    </row>
    <row r="309" spans="2:11" ht="14.25" customHeight="1" x14ac:dyDescent="0.55000000000000004">
      <c r="B309" s="123"/>
      <c r="I309" s="123"/>
      <c r="J309" s="123"/>
      <c r="K309" s="123"/>
    </row>
    <row r="310" spans="2:11" ht="14.25" customHeight="1" x14ac:dyDescent="0.55000000000000004">
      <c r="B310" s="123"/>
      <c r="I310" s="123"/>
      <c r="J310" s="123"/>
      <c r="K310" s="123"/>
    </row>
    <row r="311" spans="2:11" ht="14.25" customHeight="1" x14ac:dyDescent="0.55000000000000004">
      <c r="B311" s="123"/>
      <c r="I311" s="123"/>
      <c r="J311" s="123"/>
      <c r="K311" s="123"/>
    </row>
    <row r="312" spans="2:11" ht="14.25" customHeight="1" x14ac:dyDescent="0.55000000000000004">
      <c r="B312" s="123"/>
      <c r="I312" s="123"/>
      <c r="J312" s="123"/>
      <c r="K312" s="123"/>
    </row>
    <row r="313" spans="2:11" ht="14.25" customHeight="1" x14ac:dyDescent="0.55000000000000004">
      <c r="B313" s="123"/>
      <c r="I313" s="123"/>
      <c r="J313" s="123"/>
      <c r="K313" s="123"/>
    </row>
    <row r="314" spans="2:11" ht="14.25" customHeight="1" x14ac:dyDescent="0.55000000000000004">
      <c r="B314" s="123"/>
      <c r="I314" s="123"/>
      <c r="J314" s="123"/>
      <c r="K314" s="123"/>
    </row>
    <row r="315" spans="2:11" ht="14.25" customHeight="1" x14ac:dyDescent="0.55000000000000004">
      <c r="B315" s="123"/>
      <c r="I315" s="123"/>
      <c r="J315" s="123"/>
      <c r="K315" s="123"/>
    </row>
    <row r="316" spans="2:11" ht="14.25" customHeight="1" x14ac:dyDescent="0.55000000000000004">
      <c r="B316" s="123"/>
      <c r="I316" s="123"/>
      <c r="J316" s="123"/>
      <c r="K316" s="123"/>
    </row>
    <row r="317" spans="2:11" ht="14.25" customHeight="1" x14ac:dyDescent="0.55000000000000004">
      <c r="B317" s="123"/>
      <c r="I317" s="123"/>
      <c r="J317" s="123"/>
      <c r="K317" s="123"/>
    </row>
    <row r="318" spans="2:11" ht="14.25" customHeight="1" x14ac:dyDescent="0.55000000000000004">
      <c r="B318" s="123"/>
      <c r="I318" s="123"/>
      <c r="J318" s="123"/>
      <c r="K318" s="123"/>
    </row>
    <row r="319" spans="2:11" ht="14.25" customHeight="1" x14ac:dyDescent="0.55000000000000004">
      <c r="B319" s="123"/>
      <c r="I319" s="123"/>
      <c r="J319" s="123"/>
      <c r="K319" s="123"/>
    </row>
    <row r="320" spans="2:11" ht="14.25" customHeight="1" x14ac:dyDescent="0.55000000000000004">
      <c r="B320" s="123"/>
      <c r="I320" s="123"/>
      <c r="J320" s="123"/>
      <c r="K320" s="123"/>
    </row>
    <row r="321" spans="2:11" ht="14.25" customHeight="1" x14ac:dyDescent="0.55000000000000004">
      <c r="B321" s="123"/>
      <c r="I321" s="123"/>
      <c r="J321" s="123"/>
      <c r="K321" s="123"/>
    </row>
    <row r="322" spans="2:11" ht="14.25" customHeight="1" x14ac:dyDescent="0.55000000000000004">
      <c r="B322" s="123"/>
      <c r="I322" s="123"/>
      <c r="J322" s="123"/>
      <c r="K322" s="123"/>
    </row>
    <row r="323" spans="2:11" ht="14.25" customHeight="1" x14ac:dyDescent="0.55000000000000004">
      <c r="B323" s="123"/>
      <c r="I323" s="123"/>
      <c r="J323" s="123"/>
      <c r="K323" s="123"/>
    </row>
    <row r="324" spans="2:11" ht="14.25" customHeight="1" x14ac:dyDescent="0.55000000000000004">
      <c r="B324" s="123"/>
      <c r="I324" s="123"/>
      <c r="J324" s="123"/>
      <c r="K324" s="123"/>
    </row>
    <row r="325" spans="2:11" ht="14.25" customHeight="1" x14ac:dyDescent="0.55000000000000004">
      <c r="B325" s="123"/>
      <c r="I325" s="123"/>
      <c r="J325" s="123"/>
      <c r="K325" s="123"/>
    </row>
    <row r="326" spans="2:11" ht="14.25" customHeight="1" x14ac:dyDescent="0.55000000000000004">
      <c r="B326" s="123"/>
      <c r="I326" s="123"/>
      <c r="J326" s="123"/>
      <c r="K326" s="123"/>
    </row>
    <row r="327" spans="2:11" ht="14.25" customHeight="1" x14ac:dyDescent="0.55000000000000004">
      <c r="B327" s="123"/>
      <c r="I327" s="123"/>
      <c r="J327" s="123"/>
      <c r="K327" s="123"/>
    </row>
    <row r="328" spans="2:11" ht="14.25" customHeight="1" x14ac:dyDescent="0.55000000000000004">
      <c r="B328" s="123"/>
      <c r="I328" s="123"/>
      <c r="J328" s="123"/>
      <c r="K328" s="123"/>
    </row>
    <row r="329" spans="2:11" ht="14.25" customHeight="1" x14ac:dyDescent="0.55000000000000004">
      <c r="B329" s="123"/>
      <c r="I329" s="123"/>
      <c r="J329" s="123"/>
      <c r="K329" s="123"/>
    </row>
    <row r="330" spans="2:11" ht="14.25" customHeight="1" x14ac:dyDescent="0.55000000000000004">
      <c r="B330" s="123"/>
      <c r="I330" s="123"/>
      <c r="J330" s="123"/>
      <c r="K330" s="123"/>
    </row>
    <row r="331" spans="2:11" ht="14.25" customHeight="1" x14ac:dyDescent="0.55000000000000004">
      <c r="B331" s="123"/>
      <c r="I331" s="123"/>
      <c r="J331" s="123"/>
      <c r="K331" s="123"/>
    </row>
    <row r="332" spans="2:11" ht="14.25" customHeight="1" x14ac:dyDescent="0.55000000000000004">
      <c r="B332" s="123"/>
      <c r="I332" s="123"/>
      <c r="J332" s="123"/>
      <c r="K332" s="123"/>
    </row>
    <row r="333" spans="2:11" ht="14.25" customHeight="1" x14ac:dyDescent="0.55000000000000004">
      <c r="B333" s="123"/>
      <c r="I333" s="123"/>
      <c r="J333" s="123"/>
      <c r="K333" s="123"/>
    </row>
    <row r="334" spans="2:11" ht="14.25" customHeight="1" x14ac:dyDescent="0.55000000000000004">
      <c r="B334" s="123"/>
      <c r="I334" s="123"/>
      <c r="J334" s="123"/>
      <c r="K334" s="123"/>
    </row>
    <row r="335" spans="2:11" ht="14.25" customHeight="1" x14ac:dyDescent="0.55000000000000004">
      <c r="B335" s="123"/>
      <c r="I335" s="123"/>
      <c r="J335" s="123"/>
      <c r="K335" s="123"/>
    </row>
    <row r="336" spans="2:11" ht="14.25" customHeight="1" x14ac:dyDescent="0.55000000000000004">
      <c r="B336" s="123"/>
      <c r="I336" s="123"/>
      <c r="J336" s="123"/>
      <c r="K336" s="123"/>
    </row>
    <row r="337" spans="2:11" ht="14.25" customHeight="1" x14ac:dyDescent="0.55000000000000004">
      <c r="B337" s="123"/>
      <c r="I337" s="123"/>
      <c r="J337" s="123"/>
      <c r="K337" s="123"/>
    </row>
    <row r="338" spans="2:11" ht="14.25" customHeight="1" x14ac:dyDescent="0.55000000000000004">
      <c r="B338" s="123"/>
      <c r="I338" s="123"/>
      <c r="J338" s="123"/>
      <c r="K338" s="123"/>
    </row>
    <row r="339" spans="2:11" ht="14.25" customHeight="1" x14ac:dyDescent="0.55000000000000004">
      <c r="B339" s="123"/>
      <c r="I339" s="123"/>
      <c r="J339" s="123"/>
      <c r="K339" s="123"/>
    </row>
    <row r="340" spans="2:11" ht="14.25" customHeight="1" x14ac:dyDescent="0.55000000000000004">
      <c r="B340" s="123"/>
      <c r="I340" s="123"/>
      <c r="J340" s="123"/>
      <c r="K340" s="123"/>
    </row>
    <row r="341" spans="2:11" ht="14.25" customHeight="1" x14ac:dyDescent="0.55000000000000004">
      <c r="B341" s="123"/>
      <c r="I341" s="123"/>
      <c r="J341" s="123"/>
      <c r="K341" s="123"/>
    </row>
    <row r="342" spans="2:11" ht="14.25" customHeight="1" x14ac:dyDescent="0.55000000000000004">
      <c r="B342" s="123"/>
      <c r="I342" s="123"/>
      <c r="J342" s="123"/>
      <c r="K342" s="123"/>
    </row>
    <row r="343" spans="2:11" ht="14.25" customHeight="1" x14ac:dyDescent="0.55000000000000004">
      <c r="B343" s="123"/>
      <c r="I343" s="123"/>
      <c r="J343" s="123"/>
      <c r="K343" s="123"/>
    </row>
    <row r="344" spans="2:11" ht="14.25" customHeight="1" x14ac:dyDescent="0.55000000000000004">
      <c r="B344" s="123"/>
      <c r="I344" s="123"/>
      <c r="J344" s="123"/>
      <c r="K344" s="123"/>
    </row>
    <row r="345" spans="2:11" ht="14.25" customHeight="1" x14ac:dyDescent="0.55000000000000004">
      <c r="B345" s="123"/>
      <c r="I345" s="123"/>
      <c r="J345" s="123"/>
      <c r="K345" s="123"/>
    </row>
    <row r="346" spans="2:11" ht="14.25" customHeight="1" x14ac:dyDescent="0.55000000000000004">
      <c r="B346" s="123"/>
      <c r="I346" s="123"/>
      <c r="J346" s="123"/>
      <c r="K346" s="123"/>
    </row>
    <row r="347" spans="2:11" ht="14.25" customHeight="1" x14ac:dyDescent="0.55000000000000004">
      <c r="B347" s="123"/>
      <c r="I347" s="123"/>
      <c r="J347" s="123"/>
      <c r="K347" s="123"/>
    </row>
    <row r="348" spans="2:11" ht="14.25" customHeight="1" x14ac:dyDescent="0.55000000000000004">
      <c r="B348" s="123"/>
      <c r="I348" s="123"/>
      <c r="J348" s="123"/>
      <c r="K348" s="123"/>
    </row>
    <row r="349" spans="2:11" ht="14.25" customHeight="1" x14ac:dyDescent="0.55000000000000004">
      <c r="B349" s="123"/>
      <c r="I349" s="123"/>
      <c r="J349" s="123"/>
      <c r="K349" s="123"/>
    </row>
    <row r="350" spans="2:11" ht="14.25" customHeight="1" x14ac:dyDescent="0.55000000000000004">
      <c r="B350" s="123"/>
      <c r="I350" s="123"/>
      <c r="J350" s="123"/>
      <c r="K350" s="123"/>
    </row>
    <row r="351" spans="2:11" ht="14.25" customHeight="1" x14ac:dyDescent="0.55000000000000004">
      <c r="B351" s="123"/>
      <c r="I351" s="123"/>
      <c r="J351" s="123"/>
      <c r="K351" s="123"/>
    </row>
    <row r="352" spans="2:11" ht="14.25" customHeight="1" x14ac:dyDescent="0.55000000000000004">
      <c r="B352" s="123"/>
      <c r="I352" s="123"/>
      <c r="J352" s="123"/>
      <c r="K352" s="123"/>
    </row>
    <row r="353" spans="2:11" ht="14.25" customHeight="1" x14ac:dyDescent="0.55000000000000004">
      <c r="B353" s="123"/>
      <c r="I353" s="123"/>
      <c r="J353" s="123"/>
      <c r="K353" s="123"/>
    </row>
    <row r="354" spans="2:11" ht="14.25" customHeight="1" x14ac:dyDescent="0.55000000000000004">
      <c r="B354" s="123"/>
      <c r="I354" s="123"/>
      <c r="J354" s="123"/>
      <c r="K354" s="123"/>
    </row>
    <row r="355" spans="2:11" ht="14.25" customHeight="1" x14ac:dyDescent="0.55000000000000004">
      <c r="B355" s="123"/>
      <c r="I355" s="123"/>
      <c r="J355" s="123"/>
      <c r="K355" s="123"/>
    </row>
    <row r="356" spans="2:11" ht="14.25" customHeight="1" x14ac:dyDescent="0.55000000000000004">
      <c r="B356" s="123"/>
      <c r="I356" s="123"/>
      <c r="J356" s="123"/>
      <c r="K356" s="123"/>
    </row>
    <row r="357" spans="2:11" ht="14.25" customHeight="1" x14ac:dyDescent="0.55000000000000004">
      <c r="B357" s="123"/>
      <c r="I357" s="123"/>
      <c r="J357" s="123"/>
      <c r="K357" s="123"/>
    </row>
    <row r="358" spans="2:11" ht="14.25" customHeight="1" x14ac:dyDescent="0.55000000000000004">
      <c r="B358" s="123"/>
      <c r="I358" s="123"/>
      <c r="J358" s="123"/>
      <c r="K358" s="123"/>
    </row>
    <row r="359" spans="2:11" ht="14.25" customHeight="1" x14ac:dyDescent="0.55000000000000004">
      <c r="B359" s="123"/>
      <c r="I359" s="123"/>
      <c r="J359" s="123"/>
      <c r="K359" s="123"/>
    </row>
    <row r="360" spans="2:11" ht="14.25" customHeight="1" x14ac:dyDescent="0.55000000000000004">
      <c r="B360" s="123"/>
      <c r="I360" s="123"/>
      <c r="J360" s="123"/>
      <c r="K360" s="123"/>
    </row>
    <row r="361" spans="2:11" ht="14.25" customHeight="1" x14ac:dyDescent="0.55000000000000004">
      <c r="B361" s="123"/>
      <c r="I361" s="123"/>
      <c r="J361" s="123"/>
      <c r="K361" s="123"/>
    </row>
    <row r="362" spans="2:11" ht="14.25" customHeight="1" x14ac:dyDescent="0.55000000000000004">
      <c r="B362" s="123"/>
      <c r="I362" s="123"/>
      <c r="J362" s="123"/>
      <c r="K362" s="123"/>
    </row>
    <row r="363" spans="2:11" ht="14.25" customHeight="1" x14ac:dyDescent="0.55000000000000004">
      <c r="B363" s="123"/>
      <c r="I363" s="123"/>
      <c r="J363" s="123"/>
      <c r="K363" s="123"/>
    </row>
    <row r="364" spans="2:11" ht="14.25" customHeight="1" x14ac:dyDescent="0.55000000000000004">
      <c r="B364" s="123"/>
      <c r="I364" s="123"/>
      <c r="J364" s="123"/>
      <c r="K364" s="123"/>
    </row>
    <row r="365" spans="2:11" ht="14.25" customHeight="1" x14ac:dyDescent="0.55000000000000004">
      <c r="B365" s="123"/>
      <c r="I365" s="123"/>
      <c r="J365" s="123"/>
      <c r="K365" s="123"/>
    </row>
    <row r="366" spans="2:11" ht="14.25" customHeight="1" x14ac:dyDescent="0.55000000000000004">
      <c r="B366" s="123"/>
      <c r="I366" s="123"/>
      <c r="J366" s="123"/>
      <c r="K366" s="123"/>
    </row>
    <row r="367" spans="2:11" ht="14.25" customHeight="1" x14ac:dyDescent="0.55000000000000004">
      <c r="B367" s="123"/>
      <c r="I367" s="123"/>
      <c r="J367" s="123"/>
      <c r="K367" s="123"/>
    </row>
    <row r="368" spans="2:11" ht="14.25" customHeight="1" x14ac:dyDescent="0.55000000000000004">
      <c r="B368" s="123"/>
      <c r="I368" s="123"/>
      <c r="J368" s="123"/>
      <c r="K368" s="123"/>
    </row>
    <row r="369" spans="2:11" ht="14.25" customHeight="1" x14ac:dyDescent="0.55000000000000004">
      <c r="B369" s="123"/>
      <c r="I369" s="123"/>
      <c r="J369" s="123"/>
      <c r="K369" s="123"/>
    </row>
    <row r="370" spans="2:11" ht="14.25" customHeight="1" x14ac:dyDescent="0.55000000000000004">
      <c r="B370" s="123"/>
      <c r="I370" s="123"/>
      <c r="J370" s="123"/>
      <c r="K370" s="123"/>
    </row>
    <row r="371" spans="2:11" ht="14.25" customHeight="1" x14ac:dyDescent="0.55000000000000004">
      <c r="B371" s="123"/>
      <c r="I371" s="123"/>
      <c r="J371" s="123"/>
      <c r="K371" s="123"/>
    </row>
    <row r="372" spans="2:11" ht="14.25" customHeight="1" x14ac:dyDescent="0.55000000000000004">
      <c r="B372" s="123"/>
      <c r="I372" s="123"/>
      <c r="J372" s="123"/>
      <c r="K372" s="123"/>
    </row>
    <row r="373" spans="2:11" ht="14.25" customHeight="1" x14ac:dyDescent="0.55000000000000004">
      <c r="B373" s="123"/>
      <c r="I373" s="123"/>
      <c r="J373" s="123"/>
      <c r="K373" s="123"/>
    </row>
    <row r="374" spans="2:11" ht="14.25" customHeight="1" x14ac:dyDescent="0.55000000000000004">
      <c r="B374" s="123"/>
      <c r="I374" s="123"/>
      <c r="J374" s="123"/>
      <c r="K374" s="123"/>
    </row>
    <row r="375" spans="2:11" ht="14.25" customHeight="1" x14ac:dyDescent="0.55000000000000004">
      <c r="B375" s="123"/>
      <c r="I375" s="123"/>
      <c r="J375" s="123"/>
      <c r="K375" s="123"/>
    </row>
    <row r="376" spans="2:11" ht="14.25" customHeight="1" x14ac:dyDescent="0.55000000000000004">
      <c r="B376" s="123"/>
      <c r="I376" s="123"/>
      <c r="J376" s="123"/>
      <c r="K376" s="123"/>
    </row>
    <row r="377" spans="2:11" ht="14.25" customHeight="1" x14ac:dyDescent="0.55000000000000004">
      <c r="B377" s="123"/>
      <c r="I377" s="123"/>
      <c r="J377" s="123"/>
      <c r="K377" s="123"/>
    </row>
    <row r="378" spans="2:11" ht="14.25" customHeight="1" x14ac:dyDescent="0.55000000000000004">
      <c r="B378" s="123"/>
      <c r="I378" s="123"/>
      <c r="J378" s="123"/>
      <c r="K378" s="123"/>
    </row>
    <row r="379" spans="2:11" ht="14.25" customHeight="1" x14ac:dyDescent="0.55000000000000004">
      <c r="B379" s="123"/>
      <c r="I379" s="123"/>
      <c r="J379" s="123"/>
      <c r="K379" s="123"/>
    </row>
    <row r="380" spans="2:11" ht="14.25" customHeight="1" x14ac:dyDescent="0.55000000000000004">
      <c r="B380" s="123"/>
      <c r="I380" s="123"/>
      <c r="J380" s="123"/>
      <c r="K380" s="123"/>
    </row>
    <row r="381" spans="2:11" ht="14.25" customHeight="1" x14ac:dyDescent="0.55000000000000004">
      <c r="B381" s="123"/>
      <c r="I381" s="123"/>
      <c r="J381" s="123"/>
      <c r="K381" s="123"/>
    </row>
    <row r="382" spans="2:11" ht="14.25" customHeight="1" x14ac:dyDescent="0.55000000000000004">
      <c r="B382" s="123"/>
      <c r="I382" s="123"/>
      <c r="J382" s="123"/>
      <c r="K382" s="123"/>
    </row>
    <row r="383" spans="2:11" ht="14.25" customHeight="1" x14ac:dyDescent="0.55000000000000004">
      <c r="B383" s="123"/>
      <c r="I383" s="123"/>
      <c r="J383" s="123"/>
      <c r="K383" s="123"/>
    </row>
    <row r="384" spans="2:11" ht="14.25" customHeight="1" x14ac:dyDescent="0.55000000000000004">
      <c r="B384" s="123"/>
      <c r="I384" s="123"/>
      <c r="J384" s="123"/>
      <c r="K384" s="123"/>
    </row>
    <row r="385" spans="2:11" ht="14.25" customHeight="1" x14ac:dyDescent="0.55000000000000004">
      <c r="B385" s="123"/>
      <c r="I385" s="123"/>
      <c r="J385" s="123"/>
      <c r="K385" s="123"/>
    </row>
    <row r="386" spans="2:11" ht="14.25" customHeight="1" x14ac:dyDescent="0.55000000000000004">
      <c r="B386" s="123"/>
      <c r="I386" s="123"/>
      <c r="J386" s="123"/>
      <c r="K386" s="123"/>
    </row>
    <row r="387" spans="2:11" ht="14.25" customHeight="1" x14ac:dyDescent="0.55000000000000004">
      <c r="B387" s="123"/>
      <c r="I387" s="123"/>
      <c r="J387" s="123"/>
      <c r="K387" s="123"/>
    </row>
    <row r="388" spans="2:11" ht="14.25" customHeight="1" x14ac:dyDescent="0.55000000000000004">
      <c r="B388" s="123"/>
      <c r="I388" s="123"/>
      <c r="J388" s="123"/>
      <c r="K388" s="123"/>
    </row>
    <row r="389" spans="2:11" ht="14.25" customHeight="1" x14ac:dyDescent="0.55000000000000004">
      <c r="B389" s="123"/>
      <c r="I389" s="123"/>
      <c r="J389" s="123"/>
      <c r="K389" s="123"/>
    </row>
    <row r="390" spans="2:11" ht="14.25" customHeight="1" x14ac:dyDescent="0.55000000000000004">
      <c r="B390" s="123"/>
      <c r="I390" s="123"/>
      <c r="J390" s="123"/>
      <c r="K390" s="123"/>
    </row>
    <row r="391" spans="2:11" ht="14.25" customHeight="1" x14ac:dyDescent="0.55000000000000004">
      <c r="B391" s="123"/>
      <c r="I391" s="123"/>
      <c r="J391" s="123"/>
      <c r="K391" s="123"/>
    </row>
    <row r="392" spans="2:11" ht="14.25" customHeight="1" x14ac:dyDescent="0.55000000000000004">
      <c r="B392" s="123"/>
      <c r="I392" s="123"/>
      <c r="J392" s="123"/>
      <c r="K392" s="123"/>
    </row>
    <row r="393" spans="2:11" ht="14.25" customHeight="1" x14ac:dyDescent="0.55000000000000004">
      <c r="B393" s="123"/>
      <c r="I393" s="123"/>
      <c r="J393" s="123"/>
      <c r="K393" s="123"/>
    </row>
    <row r="394" spans="2:11" ht="14.25" customHeight="1" x14ac:dyDescent="0.55000000000000004">
      <c r="B394" s="123"/>
      <c r="I394" s="123"/>
      <c r="J394" s="123"/>
      <c r="K394" s="123"/>
    </row>
    <row r="395" spans="2:11" ht="14.25" customHeight="1" x14ac:dyDescent="0.55000000000000004">
      <c r="B395" s="123"/>
      <c r="I395" s="123"/>
      <c r="J395" s="123"/>
      <c r="K395" s="123"/>
    </row>
    <row r="396" spans="2:11" ht="14.25" customHeight="1" x14ac:dyDescent="0.55000000000000004">
      <c r="B396" s="123"/>
      <c r="I396" s="123"/>
      <c r="J396" s="123"/>
      <c r="K396" s="123"/>
    </row>
    <row r="397" spans="2:11" ht="14.25" customHeight="1" x14ac:dyDescent="0.55000000000000004">
      <c r="B397" s="123"/>
      <c r="I397" s="123"/>
      <c r="J397" s="123"/>
      <c r="K397" s="123"/>
    </row>
    <row r="398" spans="2:11" ht="14.25" customHeight="1" x14ac:dyDescent="0.55000000000000004">
      <c r="B398" s="123"/>
      <c r="I398" s="123"/>
      <c r="J398" s="123"/>
      <c r="K398" s="123"/>
    </row>
    <row r="399" spans="2:11" ht="14.25" customHeight="1" x14ac:dyDescent="0.55000000000000004">
      <c r="B399" s="123"/>
      <c r="I399" s="123"/>
      <c r="J399" s="123"/>
      <c r="K399" s="123"/>
    </row>
    <row r="400" spans="2:11" ht="14.25" customHeight="1" x14ac:dyDescent="0.55000000000000004">
      <c r="B400" s="123"/>
      <c r="I400" s="123"/>
      <c r="J400" s="123"/>
      <c r="K400" s="123"/>
    </row>
    <row r="401" spans="2:11" ht="14.25" customHeight="1" x14ac:dyDescent="0.55000000000000004">
      <c r="B401" s="123"/>
      <c r="I401" s="123"/>
      <c r="J401" s="123"/>
      <c r="K401" s="123"/>
    </row>
    <row r="402" spans="2:11" ht="14.25" customHeight="1" x14ac:dyDescent="0.55000000000000004">
      <c r="B402" s="123"/>
      <c r="I402" s="123"/>
      <c r="J402" s="123"/>
      <c r="K402" s="123"/>
    </row>
    <row r="403" spans="2:11" ht="14.25" customHeight="1" x14ac:dyDescent="0.55000000000000004">
      <c r="B403" s="123"/>
      <c r="I403" s="123"/>
      <c r="J403" s="123"/>
      <c r="K403" s="123"/>
    </row>
    <row r="404" spans="2:11" ht="14.25" customHeight="1" x14ac:dyDescent="0.55000000000000004">
      <c r="B404" s="123"/>
      <c r="I404" s="123"/>
      <c r="J404" s="123"/>
      <c r="K404" s="123"/>
    </row>
    <row r="405" spans="2:11" ht="14.25" customHeight="1" x14ac:dyDescent="0.55000000000000004">
      <c r="B405" s="123"/>
      <c r="I405" s="123"/>
      <c r="J405" s="123"/>
      <c r="K405" s="123"/>
    </row>
    <row r="406" spans="2:11" ht="14.25" customHeight="1" x14ac:dyDescent="0.55000000000000004">
      <c r="B406" s="123"/>
      <c r="I406" s="123"/>
      <c r="J406" s="123"/>
      <c r="K406" s="123"/>
    </row>
    <row r="407" spans="2:11" ht="14.25" customHeight="1" x14ac:dyDescent="0.55000000000000004">
      <c r="B407" s="123"/>
      <c r="I407" s="123"/>
      <c r="J407" s="123"/>
      <c r="K407" s="123"/>
    </row>
    <row r="408" spans="2:11" ht="14.25" customHeight="1" x14ac:dyDescent="0.55000000000000004">
      <c r="B408" s="123"/>
      <c r="I408" s="123"/>
      <c r="J408" s="123"/>
      <c r="K408" s="123"/>
    </row>
    <row r="409" spans="2:11" ht="14.25" customHeight="1" x14ac:dyDescent="0.55000000000000004">
      <c r="B409" s="123"/>
      <c r="I409" s="123"/>
      <c r="J409" s="123"/>
      <c r="K409" s="123"/>
    </row>
    <row r="410" spans="2:11" ht="14.25" customHeight="1" x14ac:dyDescent="0.55000000000000004">
      <c r="B410" s="123"/>
      <c r="I410" s="123"/>
      <c r="J410" s="123"/>
      <c r="K410" s="123"/>
    </row>
    <row r="411" spans="2:11" ht="14.25" customHeight="1" x14ac:dyDescent="0.55000000000000004">
      <c r="B411" s="123"/>
      <c r="I411" s="123"/>
      <c r="J411" s="123"/>
      <c r="K411" s="123"/>
    </row>
    <row r="412" spans="2:11" ht="14.25" customHeight="1" x14ac:dyDescent="0.55000000000000004">
      <c r="B412" s="123"/>
      <c r="I412" s="123"/>
      <c r="J412" s="123"/>
      <c r="K412" s="123"/>
    </row>
    <row r="413" spans="2:11" ht="14.25" customHeight="1" x14ac:dyDescent="0.55000000000000004">
      <c r="B413" s="123"/>
      <c r="I413" s="123"/>
      <c r="J413" s="123"/>
      <c r="K413" s="123"/>
    </row>
    <row r="414" spans="2:11" ht="14.25" customHeight="1" x14ac:dyDescent="0.55000000000000004">
      <c r="B414" s="123"/>
      <c r="I414" s="123"/>
      <c r="J414" s="123"/>
      <c r="K414" s="123"/>
    </row>
    <row r="415" spans="2:11" ht="14.25" customHeight="1" x14ac:dyDescent="0.55000000000000004">
      <c r="B415" s="123"/>
      <c r="I415" s="123"/>
      <c r="J415" s="123"/>
      <c r="K415" s="123"/>
    </row>
    <row r="416" spans="2:11" ht="14.25" customHeight="1" x14ac:dyDescent="0.55000000000000004">
      <c r="B416" s="123"/>
      <c r="I416" s="123"/>
      <c r="J416" s="123"/>
      <c r="K416" s="123"/>
    </row>
    <row r="417" spans="2:11" ht="14.25" customHeight="1" x14ac:dyDescent="0.55000000000000004">
      <c r="B417" s="123"/>
      <c r="I417" s="123"/>
      <c r="J417" s="123"/>
      <c r="K417" s="123"/>
    </row>
    <row r="418" spans="2:11" ht="14.25" customHeight="1" x14ac:dyDescent="0.55000000000000004">
      <c r="B418" s="123"/>
      <c r="I418" s="123"/>
      <c r="J418" s="123"/>
      <c r="K418" s="123"/>
    </row>
    <row r="419" spans="2:11" ht="14.25" customHeight="1" x14ac:dyDescent="0.55000000000000004">
      <c r="B419" s="123"/>
      <c r="I419" s="123"/>
      <c r="J419" s="123"/>
      <c r="K419" s="123"/>
    </row>
    <row r="420" spans="2:11" ht="14.25" customHeight="1" x14ac:dyDescent="0.55000000000000004">
      <c r="B420" s="123"/>
      <c r="I420" s="123"/>
      <c r="J420" s="123"/>
      <c r="K420" s="123"/>
    </row>
    <row r="421" spans="2:11" ht="14.25" customHeight="1" x14ac:dyDescent="0.55000000000000004">
      <c r="B421" s="123"/>
      <c r="I421" s="123"/>
      <c r="J421" s="123"/>
      <c r="K421" s="123"/>
    </row>
    <row r="422" spans="2:11" ht="14.25" customHeight="1" x14ac:dyDescent="0.55000000000000004">
      <c r="B422" s="123"/>
      <c r="I422" s="123"/>
      <c r="J422" s="123"/>
      <c r="K422" s="123"/>
    </row>
    <row r="423" spans="2:11" ht="14.25" customHeight="1" x14ac:dyDescent="0.55000000000000004">
      <c r="B423" s="123"/>
      <c r="I423" s="123"/>
      <c r="J423" s="123"/>
      <c r="K423" s="123"/>
    </row>
    <row r="424" spans="2:11" ht="14.25" customHeight="1" x14ac:dyDescent="0.55000000000000004">
      <c r="B424" s="123"/>
      <c r="I424" s="123"/>
      <c r="J424" s="123"/>
      <c r="K424" s="123"/>
    </row>
    <row r="425" spans="2:11" ht="14.25" customHeight="1" x14ac:dyDescent="0.55000000000000004">
      <c r="B425" s="123"/>
      <c r="I425" s="123"/>
      <c r="J425" s="123"/>
      <c r="K425" s="123"/>
    </row>
    <row r="426" spans="2:11" ht="14.25" customHeight="1" x14ac:dyDescent="0.55000000000000004">
      <c r="B426" s="123"/>
      <c r="I426" s="123"/>
      <c r="J426" s="123"/>
      <c r="K426" s="123"/>
    </row>
    <row r="427" spans="2:11" ht="14.25" customHeight="1" x14ac:dyDescent="0.55000000000000004">
      <c r="B427" s="123"/>
      <c r="I427" s="123"/>
      <c r="J427" s="123"/>
      <c r="K427" s="123"/>
    </row>
    <row r="428" spans="2:11" ht="14.25" customHeight="1" x14ac:dyDescent="0.55000000000000004">
      <c r="B428" s="123"/>
      <c r="I428" s="123"/>
      <c r="J428" s="123"/>
      <c r="K428" s="123"/>
    </row>
    <row r="429" spans="2:11" ht="14.25" customHeight="1" x14ac:dyDescent="0.55000000000000004">
      <c r="B429" s="123"/>
      <c r="I429" s="123"/>
      <c r="J429" s="123"/>
      <c r="K429" s="123"/>
    </row>
    <row r="430" spans="2:11" ht="14.25" customHeight="1" x14ac:dyDescent="0.55000000000000004">
      <c r="B430" s="123"/>
      <c r="I430" s="123"/>
      <c r="J430" s="123"/>
      <c r="K430" s="123"/>
    </row>
    <row r="431" spans="2:11" ht="14.25" customHeight="1" x14ac:dyDescent="0.55000000000000004">
      <c r="B431" s="123"/>
      <c r="I431" s="123"/>
      <c r="J431" s="123"/>
      <c r="K431" s="123"/>
    </row>
    <row r="432" spans="2:11" ht="14.25" customHeight="1" x14ac:dyDescent="0.55000000000000004">
      <c r="B432" s="123"/>
      <c r="I432" s="123"/>
      <c r="J432" s="123"/>
      <c r="K432" s="123"/>
    </row>
    <row r="433" spans="2:11" ht="14.25" customHeight="1" x14ac:dyDescent="0.55000000000000004">
      <c r="B433" s="123"/>
      <c r="I433" s="123"/>
      <c r="J433" s="123"/>
      <c r="K433" s="123"/>
    </row>
    <row r="434" spans="2:11" ht="14.25" customHeight="1" x14ac:dyDescent="0.55000000000000004">
      <c r="B434" s="123"/>
      <c r="I434" s="123"/>
      <c r="J434" s="123"/>
      <c r="K434" s="123"/>
    </row>
    <row r="435" spans="2:11" ht="14.25" customHeight="1" x14ac:dyDescent="0.55000000000000004">
      <c r="B435" s="123"/>
      <c r="I435" s="123"/>
      <c r="J435" s="123"/>
      <c r="K435" s="123"/>
    </row>
    <row r="436" spans="2:11" ht="14.25" customHeight="1" x14ac:dyDescent="0.55000000000000004">
      <c r="B436" s="123"/>
      <c r="I436" s="123"/>
      <c r="J436" s="123"/>
      <c r="K436" s="123"/>
    </row>
    <row r="437" spans="2:11" ht="14.25" customHeight="1" x14ac:dyDescent="0.55000000000000004">
      <c r="B437" s="123"/>
      <c r="I437" s="123"/>
      <c r="J437" s="123"/>
      <c r="K437" s="123"/>
    </row>
    <row r="438" spans="2:11" ht="14.25" customHeight="1" x14ac:dyDescent="0.55000000000000004">
      <c r="B438" s="123"/>
      <c r="I438" s="123"/>
      <c r="J438" s="123"/>
      <c r="K438" s="123"/>
    </row>
    <row r="439" spans="2:11" ht="14.25" customHeight="1" x14ac:dyDescent="0.55000000000000004">
      <c r="B439" s="123"/>
      <c r="I439" s="123"/>
      <c r="J439" s="123"/>
      <c r="K439" s="123"/>
    </row>
    <row r="440" spans="2:11" ht="14.25" customHeight="1" x14ac:dyDescent="0.55000000000000004">
      <c r="B440" s="123"/>
      <c r="I440" s="123"/>
      <c r="J440" s="123"/>
      <c r="K440" s="123"/>
    </row>
    <row r="441" spans="2:11" ht="14.25" customHeight="1" x14ac:dyDescent="0.55000000000000004">
      <c r="B441" s="123"/>
      <c r="I441" s="123"/>
      <c r="J441" s="123"/>
      <c r="K441" s="123"/>
    </row>
    <row r="442" spans="2:11" ht="14.25" customHeight="1" x14ac:dyDescent="0.55000000000000004">
      <c r="B442" s="123"/>
      <c r="I442" s="123"/>
      <c r="J442" s="123"/>
      <c r="K442" s="123"/>
    </row>
    <row r="443" spans="2:11" ht="14.25" customHeight="1" x14ac:dyDescent="0.55000000000000004">
      <c r="B443" s="123"/>
      <c r="I443" s="123"/>
      <c r="J443" s="123"/>
      <c r="K443" s="123"/>
    </row>
    <row r="444" spans="2:11" ht="14.25" customHeight="1" x14ac:dyDescent="0.55000000000000004">
      <c r="B444" s="123"/>
      <c r="I444" s="123"/>
      <c r="J444" s="123"/>
      <c r="K444" s="123"/>
    </row>
    <row r="445" spans="2:11" ht="14.25" customHeight="1" x14ac:dyDescent="0.55000000000000004">
      <c r="B445" s="123"/>
      <c r="I445" s="123"/>
      <c r="J445" s="123"/>
      <c r="K445" s="123"/>
    </row>
    <row r="446" spans="2:11" ht="14.25" customHeight="1" x14ac:dyDescent="0.55000000000000004">
      <c r="B446" s="123"/>
      <c r="I446" s="123"/>
      <c r="J446" s="123"/>
      <c r="K446" s="123"/>
    </row>
    <row r="447" spans="2:11" ht="14.25" customHeight="1" x14ac:dyDescent="0.55000000000000004">
      <c r="B447" s="123"/>
      <c r="I447" s="123"/>
      <c r="J447" s="123"/>
      <c r="K447" s="123"/>
    </row>
    <row r="448" spans="2:11" ht="14.25" customHeight="1" x14ac:dyDescent="0.55000000000000004">
      <c r="B448" s="123"/>
      <c r="I448" s="123"/>
      <c r="J448" s="123"/>
      <c r="K448" s="123"/>
    </row>
    <row r="449" spans="2:11" ht="14.25" customHeight="1" x14ac:dyDescent="0.55000000000000004">
      <c r="B449" s="123"/>
      <c r="I449" s="123"/>
      <c r="J449" s="123"/>
      <c r="K449" s="123"/>
    </row>
    <row r="450" spans="2:11" ht="14.25" customHeight="1" x14ac:dyDescent="0.55000000000000004">
      <c r="B450" s="123"/>
      <c r="I450" s="123"/>
      <c r="J450" s="123"/>
      <c r="K450" s="123"/>
    </row>
    <row r="451" spans="2:11" ht="14.25" customHeight="1" x14ac:dyDescent="0.55000000000000004">
      <c r="B451" s="123"/>
      <c r="I451" s="123"/>
      <c r="J451" s="123"/>
      <c r="K451" s="123"/>
    </row>
    <row r="452" spans="2:11" ht="14.25" customHeight="1" x14ac:dyDescent="0.55000000000000004">
      <c r="B452" s="123"/>
      <c r="I452" s="123"/>
      <c r="J452" s="123"/>
      <c r="K452" s="123"/>
    </row>
    <row r="453" spans="2:11" ht="14.25" customHeight="1" x14ac:dyDescent="0.55000000000000004">
      <c r="B453" s="123"/>
      <c r="I453" s="123"/>
      <c r="J453" s="123"/>
      <c r="K453" s="123"/>
    </row>
    <row r="454" spans="2:11" ht="14.25" customHeight="1" x14ac:dyDescent="0.55000000000000004">
      <c r="B454" s="123"/>
      <c r="I454" s="123"/>
      <c r="J454" s="123"/>
      <c r="K454" s="123"/>
    </row>
    <row r="455" spans="2:11" ht="14.25" customHeight="1" x14ac:dyDescent="0.55000000000000004">
      <c r="B455" s="123"/>
      <c r="I455" s="123"/>
      <c r="J455" s="123"/>
      <c r="K455" s="123"/>
    </row>
    <row r="456" spans="2:11" ht="14.25" customHeight="1" x14ac:dyDescent="0.55000000000000004">
      <c r="B456" s="123"/>
      <c r="I456" s="123"/>
      <c r="J456" s="123"/>
      <c r="K456" s="123"/>
    </row>
    <row r="457" spans="2:11" ht="14.25" customHeight="1" x14ac:dyDescent="0.55000000000000004">
      <c r="B457" s="123"/>
      <c r="I457" s="123"/>
      <c r="J457" s="123"/>
      <c r="K457" s="123"/>
    </row>
    <row r="458" spans="2:11" ht="14.25" customHeight="1" x14ac:dyDescent="0.55000000000000004">
      <c r="B458" s="123"/>
      <c r="I458" s="123"/>
      <c r="J458" s="123"/>
      <c r="K458" s="123"/>
    </row>
    <row r="459" spans="2:11" ht="14.25" customHeight="1" x14ac:dyDescent="0.55000000000000004">
      <c r="B459" s="123"/>
      <c r="I459" s="123"/>
      <c r="J459" s="123"/>
      <c r="K459" s="123"/>
    </row>
    <row r="460" spans="2:11" ht="14.25" customHeight="1" x14ac:dyDescent="0.55000000000000004">
      <c r="B460" s="123"/>
      <c r="I460" s="123"/>
      <c r="J460" s="123"/>
      <c r="K460" s="123"/>
    </row>
    <row r="461" spans="2:11" ht="14.25" customHeight="1" x14ac:dyDescent="0.55000000000000004">
      <c r="B461" s="123"/>
      <c r="I461" s="123"/>
      <c r="J461" s="123"/>
      <c r="K461" s="123"/>
    </row>
    <row r="462" spans="2:11" ht="14.25" customHeight="1" x14ac:dyDescent="0.55000000000000004">
      <c r="B462" s="123"/>
      <c r="I462" s="123"/>
      <c r="J462" s="123"/>
      <c r="K462" s="123"/>
    </row>
    <row r="463" spans="2:11" ht="14.25" customHeight="1" x14ac:dyDescent="0.55000000000000004">
      <c r="B463" s="123"/>
      <c r="I463" s="123"/>
      <c r="J463" s="123"/>
      <c r="K463" s="123"/>
    </row>
    <row r="464" spans="2:11" ht="14.25" customHeight="1" x14ac:dyDescent="0.55000000000000004">
      <c r="B464" s="123"/>
      <c r="I464" s="123"/>
      <c r="J464" s="123"/>
      <c r="K464" s="123"/>
    </row>
    <row r="465" spans="2:11" ht="14.25" customHeight="1" x14ac:dyDescent="0.55000000000000004">
      <c r="B465" s="123"/>
      <c r="I465" s="123"/>
      <c r="J465" s="123"/>
      <c r="K465" s="123"/>
    </row>
    <row r="466" spans="2:11" ht="14.25" customHeight="1" x14ac:dyDescent="0.55000000000000004">
      <c r="B466" s="123"/>
      <c r="I466" s="123"/>
      <c r="J466" s="123"/>
      <c r="K466" s="123"/>
    </row>
    <row r="467" spans="2:11" ht="14.25" customHeight="1" x14ac:dyDescent="0.55000000000000004">
      <c r="B467" s="123"/>
      <c r="I467" s="123"/>
      <c r="J467" s="123"/>
      <c r="K467" s="123"/>
    </row>
    <row r="468" spans="2:11" ht="14.25" customHeight="1" x14ac:dyDescent="0.55000000000000004">
      <c r="B468" s="123"/>
      <c r="I468" s="123"/>
      <c r="J468" s="123"/>
      <c r="K468" s="123"/>
    </row>
    <row r="469" spans="2:11" ht="14.25" customHeight="1" x14ac:dyDescent="0.55000000000000004">
      <c r="B469" s="123"/>
      <c r="I469" s="123"/>
      <c r="J469" s="123"/>
      <c r="K469" s="123"/>
    </row>
    <row r="470" spans="2:11" ht="14.25" customHeight="1" x14ac:dyDescent="0.55000000000000004">
      <c r="B470" s="123"/>
      <c r="I470" s="123"/>
      <c r="J470" s="123"/>
      <c r="K470" s="123"/>
    </row>
    <row r="471" spans="2:11" ht="14.25" customHeight="1" x14ac:dyDescent="0.55000000000000004">
      <c r="B471" s="123"/>
      <c r="I471" s="123"/>
      <c r="J471" s="123"/>
      <c r="K471" s="123"/>
    </row>
    <row r="472" spans="2:11" ht="14.25" customHeight="1" x14ac:dyDescent="0.55000000000000004">
      <c r="B472" s="123"/>
      <c r="I472" s="123"/>
      <c r="J472" s="123"/>
      <c r="K472" s="123"/>
    </row>
    <row r="473" spans="2:11" ht="14.25" customHeight="1" x14ac:dyDescent="0.55000000000000004">
      <c r="B473" s="123"/>
      <c r="I473" s="123"/>
      <c r="J473" s="123"/>
      <c r="K473" s="123"/>
    </row>
    <row r="474" spans="2:11" ht="14.25" customHeight="1" x14ac:dyDescent="0.55000000000000004">
      <c r="B474" s="123"/>
      <c r="I474" s="123"/>
      <c r="J474" s="123"/>
      <c r="K474" s="123"/>
    </row>
    <row r="475" spans="2:11" ht="14.25" customHeight="1" x14ac:dyDescent="0.55000000000000004">
      <c r="B475" s="123"/>
      <c r="I475" s="123"/>
      <c r="J475" s="123"/>
      <c r="K475" s="123"/>
    </row>
    <row r="476" spans="2:11" ht="14.25" customHeight="1" x14ac:dyDescent="0.55000000000000004">
      <c r="B476" s="123"/>
      <c r="I476" s="123"/>
      <c r="J476" s="123"/>
      <c r="K476" s="123"/>
    </row>
    <row r="477" spans="2:11" ht="14.25" customHeight="1" x14ac:dyDescent="0.55000000000000004">
      <c r="B477" s="123"/>
      <c r="I477" s="123"/>
      <c r="J477" s="123"/>
      <c r="K477" s="123"/>
    </row>
    <row r="478" spans="2:11" ht="14.25" customHeight="1" x14ac:dyDescent="0.55000000000000004">
      <c r="B478" s="123"/>
      <c r="I478" s="123"/>
      <c r="J478" s="123"/>
      <c r="K478" s="123"/>
    </row>
    <row r="479" spans="2:11" ht="14.25" customHeight="1" x14ac:dyDescent="0.55000000000000004">
      <c r="B479" s="123"/>
      <c r="I479" s="123"/>
      <c r="J479" s="123"/>
      <c r="K479" s="123"/>
    </row>
    <row r="480" spans="2:11" ht="14.25" customHeight="1" x14ac:dyDescent="0.55000000000000004">
      <c r="B480" s="123"/>
      <c r="I480" s="123"/>
      <c r="J480" s="123"/>
      <c r="K480" s="123"/>
    </row>
    <row r="481" spans="2:11" ht="14.25" customHeight="1" x14ac:dyDescent="0.55000000000000004">
      <c r="B481" s="123"/>
      <c r="I481" s="123"/>
      <c r="J481" s="123"/>
      <c r="K481" s="123"/>
    </row>
    <row r="482" spans="2:11" ht="14.25" customHeight="1" x14ac:dyDescent="0.55000000000000004">
      <c r="B482" s="123"/>
      <c r="I482" s="123"/>
      <c r="J482" s="123"/>
      <c r="K482" s="123"/>
    </row>
    <row r="483" spans="2:11" ht="14.25" customHeight="1" x14ac:dyDescent="0.55000000000000004">
      <c r="B483" s="123"/>
      <c r="I483" s="123"/>
      <c r="J483" s="123"/>
      <c r="K483" s="123"/>
    </row>
    <row r="484" spans="2:11" ht="14.25" customHeight="1" x14ac:dyDescent="0.55000000000000004">
      <c r="B484" s="123"/>
      <c r="I484" s="123"/>
      <c r="J484" s="123"/>
      <c r="K484" s="123"/>
    </row>
    <row r="485" spans="2:11" ht="14.25" customHeight="1" x14ac:dyDescent="0.55000000000000004">
      <c r="B485" s="123"/>
      <c r="I485" s="123"/>
      <c r="J485" s="123"/>
      <c r="K485" s="123"/>
    </row>
    <row r="486" spans="2:11" ht="14.25" customHeight="1" x14ac:dyDescent="0.55000000000000004">
      <c r="B486" s="123"/>
      <c r="I486" s="123"/>
      <c r="J486" s="123"/>
      <c r="K486" s="123"/>
    </row>
    <row r="487" spans="2:11" ht="14.25" customHeight="1" x14ac:dyDescent="0.55000000000000004">
      <c r="B487" s="123"/>
      <c r="I487" s="123"/>
      <c r="J487" s="123"/>
      <c r="K487" s="123"/>
    </row>
    <row r="488" spans="2:11" ht="14.25" customHeight="1" x14ac:dyDescent="0.55000000000000004">
      <c r="B488" s="123"/>
      <c r="I488" s="123"/>
      <c r="J488" s="123"/>
      <c r="K488" s="123"/>
    </row>
    <row r="489" spans="2:11" ht="14.25" customHeight="1" x14ac:dyDescent="0.55000000000000004">
      <c r="B489" s="123"/>
      <c r="I489" s="123"/>
      <c r="J489" s="123"/>
      <c r="K489" s="123"/>
    </row>
    <row r="490" spans="2:11" ht="14.25" customHeight="1" x14ac:dyDescent="0.55000000000000004">
      <c r="B490" s="123"/>
      <c r="I490" s="123"/>
      <c r="J490" s="123"/>
      <c r="K490" s="123"/>
    </row>
    <row r="491" spans="2:11" ht="14.25" customHeight="1" x14ac:dyDescent="0.55000000000000004">
      <c r="B491" s="123"/>
      <c r="I491" s="123"/>
      <c r="J491" s="123"/>
      <c r="K491" s="123"/>
    </row>
    <row r="492" spans="2:11" ht="14.25" customHeight="1" x14ac:dyDescent="0.55000000000000004">
      <c r="B492" s="123"/>
      <c r="I492" s="123"/>
      <c r="J492" s="123"/>
      <c r="K492" s="123"/>
    </row>
    <row r="493" spans="2:11" ht="14.25" customHeight="1" x14ac:dyDescent="0.55000000000000004">
      <c r="B493" s="123"/>
      <c r="I493" s="123"/>
      <c r="J493" s="123"/>
      <c r="K493" s="123"/>
    </row>
    <row r="494" spans="2:11" ht="14.25" customHeight="1" x14ac:dyDescent="0.55000000000000004">
      <c r="B494" s="123"/>
      <c r="I494" s="123"/>
      <c r="J494" s="123"/>
      <c r="K494" s="123"/>
    </row>
    <row r="495" spans="2:11" ht="14.25" customHeight="1" x14ac:dyDescent="0.55000000000000004">
      <c r="B495" s="123"/>
      <c r="I495" s="123"/>
      <c r="J495" s="123"/>
      <c r="K495" s="123"/>
    </row>
    <row r="496" spans="2:11" ht="14.25" customHeight="1" x14ac:dyDescent="0.55000000000000004">
      <c r="B496" s="123"/>
      <c r="I496" s="123"/>
      <c r="J496" s="123"/>
      <c r="K496" s="123"/>
    </row>
    <row r="497" spans="2:11" ht="14.25" customHeight="1" x14ac:dyDescent="0.55000000000000004">
      <c r="B497" s="123"/>
      <c r="I497" s="123"/>
      <c r="J497" s="123"/>
      <c r="K497" s="123"/>
    </row>
    <row r="498" spans="2:11" ht="14.25" customHeight="1" x14ac:dyDescent="0.55000000000000004">
      <c r="B498" s="123"/>
      <c r="I498" s="123"/>
      <c r="J498" s="123"/>
      <c r="K498" s="123"/>
    </row>
    <row r="499" spans="2:11" ht="14.25" customHeight="1" x14ac:dyDescent="0.55000000000000004">
      <c r="B499" s="123"/>
      <c r="I499" s="123"/>
      <c r="J499" s="123"/>
      <c r="K499" s="123"/>
    </row>
    <row r="500" spans="2:11" ht="14.25" customHeight="1" x14ac:dyDescent="0.55000000000000004">
      <c r="B500" s="123"/>
      <c r="I500" s="123"/>
      <c r="J500" s="123"/>
      <c r="K500" s="123"/>
    </row>
    <row r="501" spans="2:11" ht="14.25" customHeight="1" x14ac:dyDescent="0.55000000000000004">
      <c r="B501" s="123"/>
      <c r="I501" s="123"/>
      <c r="J501" s="123"/>
      <c r="K501" s="123"/>
    </row>
    <row r="502" spans="2:11" ht="14.25" customHeight="1" x14ac:dyDescent="0.55000000000000004">
      <c r="B502" s="123"/>
      <c r="I502" s="123"/>
      <c r="J502" s="123"/>
      <c r="K502" s="123"/>
    </row>
    <row r="503" spans="2:11" ht="14.25" customHeight="1" x14ac:dyDescent="0.55000000000000004">
      <c r="B503" s="123"/>
      <c r="I503" s="123"/>
      <c r="J503" s="123"/>
      <c r="K503" s="123"/>
    </row>
    <row r="504" spans="2:11" ht="14.25" customHeight="1" x14ac:dyDescent="0.55000000000000004">
      <c r="B504" s="123"/>
      <c r="I504" s="123"/>
      <c r="J504" s="123"/>
      <c r="K504" s="123"/>
    </row>
    <row r="505" spans="2:11" ht="14.25" customHeight="1" x14ac:dyDescent="0.55000000000000004">
      <c r="B505" s="123"/>
      <c r="I505" s="123"/>
      <c r="J505" s="123"/>
      <c r="K505" s="123"/>
    </row>
    <row r="506" spans="2:11" ht="14.25" customHeight="1" x14ac:dyDescent="0.55000000000000004">
      <c r="B506" s="123"/>
      <c r="I506" s="123"/>
      <c r="J506" s="123"/>
      <c r="K506" s="123"/>
    </row>
    <row r="507" spans="2:11" ht="14.25" customHeight="1" x14ac:dyDescent="0.55000000000000004">
      <c r="B507" s="123"/>
      <c r="I507" s="123"/>
      <c r="J507" s="123"/>
      <c r="K507" s="123"/>
    </row>
    <row r="508" spans="2:11" ht="14.25" customHeight="1" x14ac:dyDescent="0.55000000000000004">
      <c r="B508" s="123"/>
      <c r="I508" s="123"/>
      <c r="J508" s="123"/>
      <c r="K508" s="123"/>
    </row>
    <row r="509" spans="2:11" ht="14.25" customHeight="1" x14ac:dyDescent="0.55000000000000004">
      <c r="B509" s="123"/>
      <c r="I509" s="123"/>
      <c r="J509" s="123"/>
      <c r="K509" s="123"/>
    </row>
    <row r="510" spans="2:11" ht="14.25" customHeight="1" x14ac:dyDescent="0.55000000000000004">
      <c r="B510" s="123"/>
      <c r="I510" s="123"/>
      <c r="J510" s="123"/>
      <c r="K510" s="123"/>
    </row>
    <row r="511" spans="2:11" ht="14.25" customHeight="1" x14ac:dyDescent="0.55000000000000004">
      <c r="B511" s="123"/>
      <c r="I511" s="123"/>
      <c r="J511" s="123"/>
      <c r="K511" s="123"/>
    </row>
    <row r="512" spans="2:11" ht="14.25" customHeight="1" x14ac:dyDescent="0.55000000000000004">
      <c r="B512" s="123"/>
      <c r="I512" s="123"/>
      <c r="J512" s="123"/>
      <c r="K512" s="123"/>
    </row>
    <row r="513" spans="2:11" ht="14.25" customHeight="1" x14ac:dyDescent="0.55000000000000004">
      <c r="B513" s="123"/>
      <c r="I513" s="123"/>
      <c r="J513" s="123"/>
      <c r="K513" s="123"/>
    </row>
    <row r="514" spans="2:11" ht="14.25" customHeight="1" x14ac:dyDescent="0.55000000000000004">
      <c r="B514" s="123"/>
      <c r="I514" s="123"/>
      <c r="J514" s="123"/>
      <c r="K514" s="123"/>
    </row>
    <row r="515" spans="2:11" ht="14.25" customHeight="1" x14ac:dyDescent="0.55000000000000004">
      <c r="B515" s="123"/>
      <c r="I515" s="123"/>
      <c r="J515" s="123"/>
      <c r="K515" s="123"/>
    </row>
    <row r="516" spans="2:11" ht="14.25" customHeight="1" x14ac:dyDescent="0.55000000000000004">
      <c r="B516" s="123"/>
      <c r="I516" s="123"/>
      <c r="J516" s="123"/>
      <c r="K516" s="123"/>
    </row>
    <row r="517" spans="2:11" ht="14.25" customHeight="1" x14ac:dyDescent="0.55000000000000004">
      <c r="B517" s="123"/>
      <c r="I517" s="123"/>
      <c r="J517" s="123"/>
      <c r="K517" s="123"/>
    </row>
    <row r="518" spans="2:11" ht="14.25" customHeight="1" x14ac:dyDescent="0.55000000000000004">
      <c r="B518" s="123"/>
      <c r="I518" s="123"/>
      <c r="J518" s="123"/>
      <c r="K518" s="123"/>
    </row>
    <row r="519" spans="2:11" ht="14.25" customHeight="1" x14ac:dyDescent="0.55000000000000004">
      <c r="B519" s="123"/>
      <c r="I519" s="123"/>
      <c r="J519" s="123"/>
      <c r="K519" s="123"/>
    </row>
    <row r="520" spans="2:11" ht="14.25" customHeight="1" x14ac:dyDescent="0.55000000000000004">
      <c r="B520" s="123"/>
      <c r="I520" s="123"/>
      <c r="J520" s="123"/>
      <c r="K520" s="123"/>
    </row>
    <row r="521" spans="2:11" ht="14.25" customHeight="1" x14ac:dyDescent="0.55000000000000004">
      <c r="B521" s="123"/>
      <c r="I521" s="123"/>
      <c r="J521" s="123"/>
      <c r="K521" s="123"/>
    </row>
    <row r="522" spans="2:11" ht="14.25" customHeight="1" x14ac:dyDescent="0.55000000000000004">
      <c r="B522" s="123"/>
      <c r="I522" s="123"/>
      <c r="J522" s="123"/>
      <c r="K522" s="123"/>
    </row>
    <row r="523" spans="2:11" ht="14.25" customHeight="1" x14ac:dyDescent="0.55000000000000004">
      <c r="B523" s="123"/>
      <c r="I523" s="123"/>
      <c r="J523" s="123"/>
      <c r="K523" s="123"/>
    </row>
    <row r="524" spans="2:11" ht="14.25" customHeight="1" x14ac:dyDescent="0.55000000000000004">
      <c r="B524" s="123"/>
      <c r="I524" s="123"/>
      <c r="J524" s="123"/>
      <c r="K524" s="123"/>
    </row>
    <row r="525" spans="2:11" ht="14.25" customHeight="1" x14ac:dyDescent="0.55000000000000004">
      <c r="B525" s="123"/>
      <c r="I525" s="123"/>
      <c r="J525" s="123"/>
      <c r="K525" s="123"/>
    </row>
    <row r="526" spans="2:11" ht="14.25" customHeight="1" x14ac:dyDescent="0.55000000000000004">
      <c r="B526" s="123"/>
      <c r="I526" s="123"/>
      <c r="J526" s="123"/>
      <c r="K526" s="123"/>
    </row>
    <row r="527" spans="2:11" ht="14.25" customHeight="1" x14ac:dyDescent="0.55000000000000004">
      <c r="B527" s="123"/>
      <c r="I527" s="123"/>
      <c r="J527" s="123"/>
      <c r="K527" s="123"/>
    </row>
    <row r="528" spans="2:11" ht="14.25" customHeight="1" x14ac:dyDescent="0.55000000000000004">
      <c r="B528" s="123"/>
      <c r="I528" s="123"/>
      <c r="J528" s="123"/>
      <c r="K528" s="123"/>
    </row>
    <row r="529" spans="2:11" ht="14.25" customHeight="1" x14ac:dyDescent="0.55000000000000004">
      <c r="B529" s="123"/>
      <c r="I529" s="123"/>
      <c r="J529" s="123"/>
      <c r="K529" s="123"/>
    </row>
    <row r="530" spans="2:11" ht="14.25" customHeight="1" x14ac:dyDescent="0.55000000000000004">
      <c r="B530" s="123"/>
      <c r="I530" s="123"/>
      <c r="J530" s="123"/>
      <c r="K530" s="123"/>
    </row>
    <row r="531" spans="2:11" ht="14.25" customHeight="1" x14ac:dyDescent="0.55000000000000004">
      <c r="B531" s="123"/>
      <c r="I531" s="123"/>
      <c r="J531" s="123"/>
      <c r="K531" s="123"/>
    </row>
    <row r="532" spans="2:11" ht="14.25" customHeight="1" x14ac:dyDescent="0.55000000000000004">
      <c r="B532" s="123"/>
      <c r="I532" s="123"/>
      <c r="J532" s="123"/>
      <c r="K532" s="123"/>
    </row>
    <row r="533" spans="2:11" ht="14.25" customHeight="1" x14ac:dyDescent="0.55000000000000004">
      <c r="B533" s="123"/>
      <c r="I533" s="123"/>
      <c r="J533" s="123"/>
      <c r="K533" s="123"/>
    </row>
    <row r="534" spans="2:11" ht="14.25" customHeight="1" x14ac:dyDescent="0.55000000000000004">
      <c r="B534" s="123"/>
      <c r="I534" s="123"/>
      <c r="J534" s="123"/>
      <c r="K534" s="123"/>
    </row>
    <row r="535" spans="2:11" ht="14.25" customHeight="1" x14ac:dyDescent="0.55000000000000004">
      <c r="B535" s="123"/>
      <c r="I535" s="123"/>
      <c r="J535" s="123"/>
      <c r="K535" s="123"/>
    </row>
    <row r="536" spans="2:11" ht="14.25" customHeight="1" x14ac:dyDescent="0.55000000000000004">
      <c r="B536" s="123"/>
      <c r="I536" s="123"/>
      <c r="J536" s="123"/>
      <c r="K536" s="123"/>
    </row>
    <row r="537" spans="2:11" ht="14.25" customHeight="1" x14ac:dyDescent="0.55000000000000004">
      <c r="B537" s="123"/>
      <c r="I537" s="123"/>
      <c r="J537" s="123"/>
      <c r="K537" s="123"/>
    </row>
    <row r="538" spans="2:11" ht="14.25" customHeight="1" x14ac:dyDescent="0.55000000000000004">
      <c r="B538" s="123"/>
      <c r="I538" s="123"/>
      <c r="J538" s="123"/>
      <c r="K538" s="123"/>
    </row>
    <row r="539" spans="2:11" ht="14.25" customHeight="1" x14ac:dyDescent="0.55000000000000004">
      <c r="B539" s="123"/>
      <c r="I539" s="123"/>
      <c r="J539" s="123"/>
      <c r="K539" s="123"/>
    </row>
    <row r="540" spans="2:11" ht="14.25" customHeight="1" x14ac:dyDescent="0.55000000000000004">
      <c r="B540" s="123"/>
      <c r="I540" s="123"/>
      <c r="J540" s="123"/>
      <c r="K540" s="123"/>
    </row>
    <row r="541" spans="2:11" ht="14.25" customHeight="1" x14ac:dyDescent="0.55000000000000004">
      <c r="B541" s="123"/>
      <c r="I541" s="123"/>
      <c r="J541" s="123"/>
      <c r="K541" s="123"/>
    </row>
    <row r="542" spans="2:11" ht="14.25" customHeight="1" x14ac:dyDescent="0.55000000000000004">
      <c r="B542" s="123"/>
      <c r="I542" s="123"/>
      <c r="J542" s="123"/>
      <c r="K542" s="123"/>
    </row>
    <row r="543" spans="2:11" ht="14.25" customHeight="1" x14ac:dyDescent="0.55000000000000004">
      <c r="B543" s="123"/>
      <c r="I543" s="123"/>
      <c r="J543" s="123"/>
      <c r="K543" s="123"/>
    </row>
    <row r="544" spans="2:11" ht="14.25" customHeight="1" x14ac:dyDescent="0.55000000000000004">
      <c r="B544" s="123"/>
      <c r="I544" s="123"/>
      <c r="J544" s="123"/>
      <c r="K544" s="123"/>
    </row>
    <row r="545" spans="2:11" ht="14.25" customHeight="1" x14ac:dyDescent="0.55000000000000004">
      <c r="B545" s="123"/>
      <c r="I545" s="123"/>
      <c r="J545" s="123"/>
      <c r="K545" s="123"/>
    </row>
    <row r="546" spans="2:11" ht="14.25" customHeight="1" x14ac:dyDescent="0.55000000000000004">
      <c r="B546" s="123"/>
      <c r="I546" s="123"/>
      <c r="J546" s="123"/>
      <c r="K546" s="123"/>
    </row>
    <row r="547" spans="2:11" ht="14.25" customHeight="1" x14ac:dyDescent="0.55000000000000004">
      <c r="B547" s="123"/>
      <c r="I547" s="123"/>
      <c r="J547" s="123"/>
      <c r="K547" s="123"/>
    </row>
    <row r="548" spans="2:11" ht="14.25" customHeight="1" x14ac:dyDescent="0.55000000000000004">
      <c r="B548" s="123"/>
      <c r="I548" s="123"/>
      <c r="J548" s="123"/>
      <c r="K548" s="123"/>
    </row>
    <row r="549" spans="2:11" ht="14.25" customHeight="1" x14ac:dyDescent="0.55000000000000004">
      <c r="B549" s="123"/>
      <c r="I549" s="123"/>
      <c r="J549" s="123"/>
      <c r="K549" s="123"/>
    </row>
    <row r="550" spans="2:11" ht="14.25" customHeight="1" x14ac:dyDescent="0.55000000000000004">
      <c r="B550" s="123"/>
      <c r="I550" s="123"/>
      <c r="J550" s="123"/>
      <c r="K550" s="123"/>
    </row>
    <row r="551" spans="2:11" ht="14.25" customHeight="1" x14ac:dyDescent="0.55000000000000004">
      <c r="B551" s="123"/>
      <c r="I551" s="123"/>
      <c r="J551" s="123"/>
      <c r="K551" s="123"/>
    </row>
    <row r="552" spans="2:11" ht="14.25" customHeight="1" x14ac:dyDescent="0.55000000000000004">
      <c r="B552" s="123"/>
      <c r="I552" s="123"/>
      <c r="J552" s="123"/>
      <c r="K552" s="123"/>
    </row>
    <row r="553" spans="2:11" ht="14.25" customHeight="1" x14ac:dyDescent="0.55000000000000004">
      <c r="B553" s="123"/>
      <c r="I553" s="123"/>
      <c r="J553" s="123"/>
      <c r="K553" s="123"/>
    </row>
    <row r="554" spans="2:11" ht="14.25" customHeight="1" x14ac:dyDescent="0.55000000000000004">
      <c r="B554" s="123"/>
      <c r="I554" s="123"/>
      <c r="J554" s="123"/>
      <c r="K554" s="123"/>
    </row>
    <row r="555" spans="2:11" ht="14.25" customHeight="1" x14ac:dyDescent="0.55000000000000004">
      <c r="B555" s="123"/>
      <c r="I555" s="123"/>
      <c r="J555" s="123"/>
      <c r="K555" s="123"/>
    </row>
    <row r="556" spans="2:11" ht="14.25" customHeight="1" x14ac:dyDescent="0.55000000000000004">
      <c r="B556" s="123"/>
      <c r="I556" s="123"/>
      <c r="J556" s="123"/>
      <c r="K556" s="123"/>
    </row>
    <row r="557" spans="2:11" ht="14.25" customHeight="1" x14ac:dyDescent="0.55000000000000004">
      <c r="B557" s="123"/>
      <c r="I557" s="123"/>
      <c r="J557" s="123"/>
      <c r="K557" s="123"/>
    </row>
    <row r="558" spans="2:11" ht="14.25" customHeight="1" x14ac:dyDescent="0.55000000000000004">
      <c r="B558" s="123"/>
      <c r="I558" s="123"/>
      <c r="J558" s="123"/>
      <c r="K558" s="123"/>
    </row>
    <row r="559" spans="2:11" ht="14.25" customHeight="1" x14ac:dyDescent="0.55000000000000004">
      <c r="B559" s="123"/>
      <c r="I559" s="123"/>
      <c r="J559" s="123"/>
      <c r="K559" s="123"/>
    </row>
    <row r="560" spans="2:11" ht="14.25" customHeight="1" x14ac:dyDescent="0.55000000000000004">
      <c r="B560" s="123"/>
      <c r="I560" s="123"/>
      <c r="J560" s="123"/>
      <c r="K560" s="123"/>
    </row>
    <row r="561" spans="2:11" ht="14.25" customHeight="1" x14ac:dyDescent="0.55000000000000004">
      <c r="B561" s="123"/>
      <c r="I561" s="123"/>
      <c r="J561" s="123"/>
      <c r="K561" s="123"/>
    </row>
    <row r="562" spans="2:11" ht="14.25" customHeight="1" x14ac:dyDescent="0.55000000000000004">
      <c r="B562" s="123"/>
      <c r="I562" s="123"/>
      <c r="J562" s="123"/>
      <c r="K562" s="123"/>
    </row>
    <row r="563" spans="2:11" ht="14.25" customHeight="1" x14ac:dyDescent="0.55000000000000004">
      <c r="B563" s="123"/>
      <c r="I563" s="123"/>
      <c r="J563" s="123"/>
      <c r="K563" s="123"/>
    </row>
    <row r="564" spans="2:11" ht="14.25" customHeight="1" x14ac:dyDescent="0.55000000000000004">
      <c r="B564" s="123"/>
      <c r="I564" s="123"/>
      <c r="J564" s="123"/>
      <c r="K564" s="123"/>
    </row>
    <row r="565" spans="2:11" ht="14.25" customHeight="1" x14ac:dyDescent="0.55000000000000004">
      <c r="B565" s="123"/>
      <c r="I565" s="123"/>
      <c r="J565" s="123"/>
      <c r="K565" s="123"/>
    </row>
    <row r="566" spans="2:11" ht="14.25" customHeight="1" x14ac:dyDescent="0.55000000000000004">
      <c r="B566" s="123"/>
      <c r="I566" s="123"/>
      <c r="J566" s="123"/>
      <c r="K566" s="123"/>
    </row>
    <row r="567" spans="2:11" ht="14.25" customHeight="1" x14ac:dyDescent="0.55000000000000004">
      <c r="B567" s="123"/>
      <c r="I567" s="123"/>
      <c r="J567" s="123"/>
      <c r="K567" s="123"/>
    </row>
    <row r="568" spans="2:11" ht="14.25" customHeight="1" x14ac:dyDescent="0.55000000000000004">
      <c r="B568" s="123"/>
      <c r="I568" s="123"/>
      <c r="J568" s="123"/>
      <c r="K568" s="123"/>
    </row>
    <row r="569" spans="2:11" ht="14.25" customHeight="1" x14ac:dyDescent="0.55000000000000004">
      <c r="B569" s="123"/>
      <c r="I569" s="123"/>
      <c r="J569" s="123"/>
      <c r="K569" s="123"/>
    </row>
    <row r="570" spans="2:11" ht="14.25" customHeight="1" x14ac:dyDescent="0.55000000000000004">
      <c r="B570" s="123"/>
      <c r="I570" s="123"/>
      <c r="J570" s="123"/>
      <c r="K570" s="123"/>
    </row>
    <row r="571" spans="2:11" ht="14.25" customHeight="1" x14ac:dyDescent="0.55000000000000004">
      <c r="B571" s="123"/>
      <c r="I571" s="123"/>
      <c r="J571" s="123"/>
      <c r="K571" s="123"/>
    </row>
    <row r="572" spans="2:11" ht="14.25" customHeight="1" x14ac:dyDescent="0.55000000000000004">
      <c r="B572" s="123"/>
      <c r="I572" s="123"/>
      <c r="J572" s="123"/>
      <c r="K572" s="123"/>
    </row>
    <row r="573" spans="2:11" ht="14.25" customHeight="1" x14ac:dyDescent="0.55000000000000004">
      <c r="B573" s="123"/>
      <c r="I573" s="123"/>
      <c r="J573" s="123"/>
      <c r="K573" s="123"/>
    </row>
    <row r="574" spans="2:11" ht="14.25" customHeight="1" x14ac:dyDescent="0.55000000000000004">
      <c r="B574" s="123"/>
      <c r="I574" s="123"/>
      <c r="J574" s="123"/>
      <c r="K574" s="123"/>
    </row>
    <row r="575" spans="2:11" ht="14.25" customHeight="1" x14ac:dyDescent="0.55000000000000004">
      <c r="B575" s="123"/>
      <c r="I575" s="123"/>
      <c r="J575" s="123"/>
      <c r="K575" s="123"/>
    </row>
    <row r="576" spans="2:11" ht="14.25" customHeight="1" x14ac:dyDescent="0.55000000000000004">
      <c r="B576" s="123"/>
      <c r="I576" s="123"/>
      <c r="J576" s="123"/>
      <c r="K576" s="123"/>
    </row>
    <row r="577" spans="2:11" ht="14.25" customHeight="1" x14ac:dyDescent="0.55000000000000004">
      <c r="B577" s="123"/>
      <c r="I577" s="123"/>
      <c r="J577" s="123"/>
      <c r="K577" s="123"/>
    </row>
    <row r="578" spans="2:11" ht="14.25" customHeight="1" x14ac:dyDescent="0.55000000000000004">
      <c r="B578" s="123"/>
      <c r="I578" s="123"/>
      <c r="J578" s="123"/>
      <c r="K578" s="123"/>
    </row>
    <row r="579" spans="2:11" ht="14.25" customHeight="1" x14ac:dyDescent="0.55000000000000004">
      <c r="B579" s="123"/>
      <c r="I579" s="123"/>
      <c r="J579" s="123"/>
      <c r="K579" s="123"/>
    </row>
    <row r="580" spans="2:11" ht="14.25" customHeight="1" x14ac:dyDescent="0.55000000000000004">
      <c r="B580" s="123"/>
      <c r="I580" s="123"/>
      <c r="J580" s="123"/>
      <c r="K580" s="123"/>
    </row>
    <row r="581" spans="2:11" ht="14.25" customHeight="1" x14ac:dyDescent="0.55000000000000004">
      <c r="B581" s="123"/>
      <c r="I581" s="123"/>
      <c r="J581" s="123"/>
      <c r="K581" s="123"/>
    </row>
    <row r="582" spans="2:11" ht="14.25" customHeight="1" x14ac:dyDescent="0.55000000000000004">
      <c r="B582" s="123"/>
      <c r="I582" s="123"/>
      <c r="J582" s="123"/>
      <c r="K582" s="123"/>
    </row>
    <row r="583" spans="2:11" ht="14.25" customHeight="1" x14ac:dyDescent="0.55000000000000004">
      <c r="B583" s="123"/>
      <c r="I583" s="123"/>
      <c r="J583" s="123"/>
      <c r="K583" s="123"/>
    </row>
    <row r="584" spans="2:11" ht="14.25" customHeight="1" x14ac:dyDescent="0.55000000000000004">
      <c r="B584" s="123"/>
      <c r="I584" s="123"/>
      <c r="J584" s="123"/>
      <c r="K584" s="123"/>
    </row>
    <row r="585" spans="2:11" ht="14.25" customHeight="1" x14ac:dyDescent="0.55000000000000004">
      <c r="B585" s="123"/>
      <c r="I585" s="123"/>
      <c r="J585" s="123"/>
      <c r="K585" s="123"/>
    </row>
    <row r="586" spans="2:11" ht="14.25" customHeight="1" x14ac:dyDescent="0.55000000000000004">
      <c r="B586" s="123"/>
      <c r="I586" s="123"/>
      <c r="J586" s="123"/>
      <c r="K586" s="123"/>
    </row>
    <row r="587" spans="2:11" ht="14.25" customHeight="1" x14ac:dyDescent="0.55000000000000004">
      <c r="B587" s="123"/>
      <c r="I587" s="123"/>
      <c r="J587" s="123"/>
      <c r="K587" s="123"/>
    </row>
    <row r="588" spans="2:11" ht="14.25" customHeight="1" x14ac:dyDescent="0.55000000000000004">
      <c r="B588" s="123"/>
      <c r="I588" s="123"/>
      <c r="J588" s="123"/>
      <c r="K588" s="123"/>
    </row>
    <row r="589" spans="2:11" ht="14.25" customHeight="1" x14ac:dyDescent="0.55000000000000004">
      <c r="B589" s="123"/>
      <c r="I589" s="123"/>
      <c r="J589" s="123"/>
      <c r="K589" s="123"/>
    </row>
    <row r="590" spans="2:11" ht="14.25" customHeight="1" x14ac:dyDescent="0.55000000000000004">
      <c r="B590" s="123"/>
      <c r="I590" s="123"/>
      <c r="J590" s="123"/>
      <c r="K590" s="123"/>
    </row>
    <row r="591" spans="2:11" ht="14.25" customHeight="1" x14ac:dyDescent="0.55000000000000004">
      <c r="B591" s="123"/>
      <c r="I591" s="123"/>
      <c r="J591" s="123"/>
      <c r="K591" s="123"/>
    </row>
    <row r="592" spans="2:11" ht="14.25" customHeight="1" x14ac:dyDescent="0.55000000000000004">
      <c r="B592" s="123"/>
      <c r="I592" s="123"/>
      <c r="J592" s="123"/>
      <c r="K592" s="123"/>
    </row>
    <row r="593" spans="2:11" ht="14.25" customHeight="1" x14ac:dyDescent="0.55000000000000004">
      <c r="B593" s="123"/>
      <c r="I593" s="123"/>
      <c r="J593" s="123"/>
      <c r="K593" s="123"/>
    </row>
    <row r="594" spans="2:11" ht="14.25" customHeight="1" x14ac:dyDescent="0.55000000000000004">
      <c r="B594" s="123"/>
      <c r="I594" s="123"/>
      <c r="J594" s="123"/>
      <c r="K594" s="123"/>
    </row>
    <row r="595" spans="2:11" ht="14.25" customHeight="1" x14ac:dyDescent="0.55000000000000004">
      <c r="B595" s="123"/>
      <c r="I595" s="123"/>
      <c r="J595" s="123"/>
      <c r="K595" s="123"/>
    </row>
    <row r="596" spans="2:11" ht="14.25" customHeight="1" x14ac:dyDescent="0.55000000000000004">
      <c r="B596" s="123"/>
      <c r="I596" s="123"/>
      <c r="J596" s="123"/>
      <c r="K596" s="123"/>
    </row>
    <row r="597" spans="2:11" ht="14.25" customHeight="1" x14ac:dyDescent="0.55000000000000004">
      <c r="B597" s="123"/>
      <c r="I597" s="123"/>
      <c r="J597" s="123"/>
      <c r="K597" s="123"/>
    </row>
    <row r="598" spans="2:11" ht="14.25" customHeight="1" x14ac:dyDescent="0.55000000000000004">
      <c r="B598" s="123"/>
      <c r="I598" s="123"/>
      <c r="J598" s="123"/>
      <c r="K598" s="123"/>
    </row>
    <row r="599" spans="2:11" ht="14.25" customHeight="1" x14ac:dyDescent="0.55000000000000004">
      <c r="B599" s="123"/>
      <c r="I599" s="123"/>
      <c r="J599" s="123"/>
      <c r="K599" s="123"/>
    </row>
    <row r="600" spans="2:11" ht="14.25" customHeight="1" x14ac:dyDescent="0.55000000000000004">
      <c r="B600" s="123"/>
      <c r="I600" s="123"/>
      <c r="J600" s="123"/>
      <c r="K600" s="123"/>
    </row>
    <row r="601" spans="2:11" ht="14.25" customHeight="1" x14ac:dyDescent="0.55000000000000004">
      <c r="B601" s="123"/>
      <c r="I601" s="123"/>
      <c r="J601" s="123"/>
      <c r="K601" s="123"/>
    </row>
    <row r="602" spans="2:11" ht="14.25" customHeight="1" x14ac:dyDescent="0.55000000000000004">
      <c r="B602" s="123"/>
      <c r="I602" s="123"/>
      <c r="J602" s="123"/>
      <c r="K602" s="123"/>
    </row>
    <row r="603" spans="2:11" ht="14.25" customHeight="1" x14ac:dyDescent="0.55000000000000004">
      <c r="B603" s="123"/>
      <c r="I603" s="123"/>
      <c r="J603" s="123"/>
      <c r="K603" s="123"/>
    </row>
    <row r="604" spans="2:11" ht="14.25" customHeight="1" x14ac:dyDescent="0.55000000000000004">
      <c r="B604" s="123"/>
      <c r="I604" s="123"/>
      <c r="J604" s="123"/>
      <c r="K604" s="123"/>
    </row>
    <row r="605" spans="2:11" ht="14.25" customHeight="1" x14ac:dyDescent="0.55000000000000004">
      <c r="B605" s="123"/>
      <c r="I605" s="123"/>
      <c r="J605" s="123"/>
      <c r="K605" s="123"/>
    </row>
    <row r="606" spans="2:11" ht="14.25" customHeight="1" x14ac:dyDescent="0.55000000000000004">
      <c r="B606" s="123"/>
      <c r="I606" s="123"/>
      <c r="J606" s="123"/>
      <c r="K606" s="123"/>
    </row>
    <row r="607" spans="2:11" ht="14.25" customHeight="1" x14ac:dyDescent="0.55000000000000004">
      <c r="B607" s="123"/>
      <c r="I607" s="123"/>
      <c r="J607" s="123"/>
      <c r="K607" s="123"/>
    </row>
    <row r="608" spans="2:11" ht="14.25" customHeight="1" x14ac:dyDescent="0.55000000000000004">
      <c r="B608" s="123"/>
      <c r="I608" s="123"/>
      <c r="J608" s="123"/>
      <c r="K608" s="123"/>
    </row>
    <row r="609" spans="2:11" ht="14.25" customHeight="1" x14ac:dyDescent="0.55000000000000004">
      <c r="B609" s="123"/>
      <c r="I609" s="123"/>
      <c r="J609" s="123"/>
      <c r="K609" s="123"/>
    </row>
    <row r="610" spans="2:11" ht="14.25" customHeight="1" x14ac:dyDescent="0.55000000000000004">
      <c r="B610" s="123"/>
      <c r="I610" s="123"/>
      <c r="J610" s="123"/>
      <c r="K610" s="123"/>
    </row>
    <row r="611" spans="2:11" ht="14.25" customHeight="1" x14ac:dyDescent="0.55000000000000004">
      <c r="B611" s="123"/>
      <c r="I611" s="123"/>
      <c r="J611" s="123"/>
      <c r="K611" s="123"/>
    </row>
    <row r="612" spans="2:11" ht="14.25" customHeight="1" x14ac:dyDescent="0.55000000000000004">
      <c r="B612" s="123"/>
      <c r="I612" s="123"/>
      <c r="J612" s="123"/>
      <c r="K612" s="123"/>
    </row>
    <row r="613" spans="2:11" ht="14.25" customHeight="1" x14ac:dyDescent="0.55000000000000004">
      <c r="B613" s="123"/>
      <c r="I613" s="123"/>
      <c r="J613" s="123"/>
      <c r="K613" s="123"/>
    </row>
    <row r="614" spans="2:11" ht="14.25" customHeight="1" x14ac:dyDescent="0.55000000000000004">
      <c r="B614" s="123"/>
      <c r="I614" s="123"/>
      <c r="J614" s="123"/>
      <c r="K614" s="123"/>
    </row>
    <row r="615" spans="2:11" ht="14.25" customHeight="1" x14ac:dyDescent="0.55000000000000004">
      <c r="B615" s="123"/>
      <c r="I615" s="123"/>
      <c r="J615" s="123"/>
      <c r="K615" s="123"/>
    </row>
    <row r="616" spans="2:11" ht="14.25" customHeight="1" x14ac:dyDescent="0.55000000000000004">
      <c r="B616" s="123"/>
      <c r="I616" s="123"/>
      <c r="J616" s="123"/>
      <c r="K616" s="123"/>
    </row>
    <row r="617" spans="2:11" ht="14.25" customHeight="1" x14ac:dyDescent="0.55000000000000004">
      <c r="B617" s="123"/>
      <c r="I617" s="123"/>
      <c r="J617" s="123"/>
      <c r="K617" s="123"/>
    </row>
    <row r="618" spans="2:11" ht="14.25" customHeight="1" x14ac:dyDescent="0.55000000000000004">
      <c r="B618" s="123"/>
      <c r="I618" s="123"/>
      <c r="J618" s="123"/>
      <c r="K618" s="123"/>
    </row>
    <row r="619" spans="2:11" ht="14.25" customHeight="1" x14ac:dyDescent="0.55000000000000004">
      <c r="B619" s="123"/>
      <c r="I619" s="123"/>
      <c r="J619" s="123"/>
      <c r="K619" s="123"/>
    </row>
    <row r="620" spans="2:11" ht="14.25" customHeight="1" x14ac:dyDescent="0.55000000000000004">
      <c r="B620" s="123"/>
      <c r="I620" s="123"/>
      <c r="J620" s="123"/>
      <c r="K620" s="123"/>
    </row>
    <row r="621" spans="2:11" ht="14.25" customHeight="1" x14ac:dyDescent="0.55000000000000004">
      <c r="B621" s="123"/>
      <c r="I621" s="123"/>
      <c r="J621" s="123"/>
      <c r="K621" s="123"/>
    </row>
    <row r="622" spans="2:11" ht="14.25" customHeight="1" x14ac:dyDescent="0.55000000000000004">
      <c r="B622" s="123"/>
      <c r="I622" s="123"/>
      <c r="J622" s="123"/>
      <c r="K622" s="123"/>
    </row>
    <row r="623" spans="2:11" ht="14.25" customHeight="1" x14ac:dyDescent="0.55000000000000004">
      <c r="B623" s="123"/>
      <c r="I623" s="123"/>
      <c r="J623" s="123"/>
      <c r="K623" s="123"/>
    </row>
    <row r="624" spans="2:11" ht="14.25" customHeight="1" x14ac:dyDescent="0.55000000000000004">
      <c r="B624" s="123"/>
      <c r="I624" s="123"/>
      <c r="J624" s="123"/>
      <c r="K624" s="123"/>
    </row>
    <row r="625" spans="2:11" ht="14.25" customHeight="1" x14ac:dyDescent="0.55000000000000004">
      <c r="B625" s="123"/>
      <c r="I625" s="123"/>
      <c r="J625" s="123"/>
      <c r="K625" s="123"/>
    </row>
    <row r="626" spans="2:11" ht="14.25" customHeight="1" x14ac:dyDescent="0.55000000000000004">
      <c r="B626" s="123"/>
      <c r="I626" s="123"/>
      <c r="J626" s="123"/>
      <c r="K626" s="123"/>
    </row>
    <row r="627" spans="2:11" ht="14.25" customHeight="1" x14ac:dyDescent="0.55000000000000004">
      <c r="B627" s="123"/>
      <c r="I627" s="123"/>
      <c r="J627" s="123"/>
      <c r="K627" s="123"/>
    </row>
    <row r="628" spans="2:11" ht="14.25" customHeight="1" x14ac:dyDescent="0.55000000000000004">
      <c r="B628" s="123"/>
      <c r="I628" s="123"/>
      <c r="J628" s="123"/>
      <c r="K628" s="123"/>
    </row>
    <row r="629" spans="2:11" ht="14.25" customHeight="1" x14ac:dyDescent="0.55000000000000004">
      <c r="B629" s="123"/>
      <c r="I629" s="123"/>
      <c r="J629" s="123"/>
      <c r="K629" s="123"/>
    </row>
    <row r="630" spans="2:11" ht="14.25" customHeight="1" x14ac:dyDescent="0.55000000000000004">
      <c r="B630" s="123"/>
      <c r="I630" s="123"/>
      <c r="J630" s="123"/>
      <c r="K630" s="123"/>
    </row>
    <row r="631" spans="2:11" ht="14.25" customHeight="1" x14ac:dyDescent="0.55000000000000004">
      <c r="B631" s="123"/>
      <c r="I631" s="123"/>
      <c r="J631" s="123"/>
      <c r="K631" s="123"/>
    </row>
    <row r="632" spans="2:11" ht="14.25" customHeight="1" x14ac:dyDescent="0.55000000000000004">
      <c r="B632" s="123"/>
      <c r="I632" s="123"/>
      <c r="J632" s="123"/>
      <c r="K632" s="123"/>
    </row>
    <row r="633" spans="2:11" ht="14.25" customHeight="1" x14ac:dyDescent="0.55000000000000004">
      <c r="B633" s="123"/>
      <c r="I633" s="123"/>
      <c r="J633" s="123"/>
      <c r="K633" s="123"/>
    </row>
    <row r="634" spans="2:11" ht="14.25" customHeight="1" x14ac:dyDescent="0.55000000000000004">
      <c r="B634" s="123"/>
      <c r="I634" s="123"/>
      <c r="J634" s="123"/>
      <c r="K634" s="123"/>
    </row>
    <row r="635" spans="2:11" ht="14.25" customHeight="1" x14ac:dyDescent="0.55000000000000004">
      <c r="B635" s="123"/>
      <c r="I635" s="123"/>
      <c r="J635" s="123"/>
      <c r="K635" s="123"/>
    </row>
    <row r="636" spans="2:11" ht="14.25" customHeight="1" x14ac:dyDescent="0.55000000000000004">
      <c r="B636" s="123"/>
      <c r="I636" s="123"/>
      <c r="J636" s="123"/>
      <c r="K636" s="123"/>
    </row>
    <row r="637" spans="2:11" ht="14.25" customHeight="1" x14ac:dyDescent="0.55000000000000004">
      <c r="B637" s="123"/>
      <c r="I637" s="123"/>
      <c r="J637" s="123"/>
      <c r="K637" s="123"/>
    </row>
    <row r="638" spans="2:11" ht="14.25" customHeight="1" x14ac:dyDescent="0.55000000000000004">
      <c r="B638" s="123"/>
      <c r="I638" s="123"/>
      <c r="J638" s="123"/>
      <c r="K638" s="123"/>
    </row>
    <row r="639" spans="2:11" ht="14.25" customHeight="1" x14ac:dyDescent="0.55000000000000004">
      <c r="B639" s="123"/>
      <c r="I639" s="123"/>
      <c r="J639" s="123"/>
      <c r="K639" s="123"/>
    </row>
    <row r="640" spans="2:11" ht="14.25" customHeight="1" x14ac:dyDescent="0.55000000000000004">
      <c r="B640" s="123"/>
      <c r="I640" s="123"/>
      <c r="J640" s="123"/>
      <c r="K640" s="123"/>
    </row>
    <row r="641" spans="2:11" ht="14.25" customHeight="1" x14ac:dyDescent="0.55000000000000004">
      <c r="B641" s="123"/>
      <c r="I641" s="123"/>
      <c r="J641" s="123"/>
      <c r="K641" s="123"/>
    </row>
    <row r="642" spans="2:11" ht="14.25" customHeight="1" x14ac:dyDescent="0.55000000000000004">
      <c r="B642" s="123"/>
      <c r="I642" s="123"/>
      <c r="J642" s="123"/>
      <c r="K642" s="123"/>
    </row>
    <row r="643" spans="2:11" ht="14.25" customHeight="1" x14ac:dyDescent="0.55000000000000004">
      <c r="B643" s="123"/>
      <c r="I643" s="123"/>
      <c r="J643" s="123"/>
      <c r="K643" s="123"/>
    </row>
    <row r="644" spans="2:11" ht="14.25" customHeight="1" x14ac:dyDescent="0.55000000000000004">
      <c r="B644" s="123"/>
      <c r="I644" s="123"/>
      <c r="J644" s="123"/>
      <c r="K644" s="123"/>
    </row>
    <row r="645" spans="2:11" ht="14.25" customHeight="1" x14ac:dyDescent="0.55000000000000004">
      <c r="B645" s="123"/>
      <c r="I645" s="123"/>
      <c r="J645" s="123"/>
      <c r="K645" s="123"/>
    </row>
    <row r="646" spans="2:11" ht="14.25" customHeight="1" x14ac:dyDescent="0.55000000000000004">
      <c r="B646" s="123"/>
      <c r="I646" s="123"/>
      <c r="J646" s="123"/>
      <c r="K646" s="123"/>
    </row>
    <row r="647" spans="2:11" ht="14.25" customHeight="1" x14ac:dyDescent="0.55000000000000004">
      <c r="B647" s="123"/>
      <c r="I647" s="123"/>
      <c r="J647" s="123"/>
      <c r="K647" s="123"/>
    </row>
    <row r="648" spans="2:11" ht="14.25" customHeight="1" x14ac:dyDescent="0.55000000000000004">
      <c r="B648" s="123"/>
      <c r="I648" s="123"/>
      <c r="J648" s="123"/>
      <c r="K648" s="123"/>
    </row>
    <row r="649" spans="2:11" ht="14.25" customHeight="1" x14ac:dyDescent="0.55000000000000004">
      <c r="B649" s="123"/>
      <c r="I649" s="123"/>
      <c r="J649" s="123"/>
      <c r="K649" s="123"/>
    </row>
    <row r="650" spans="2:11" ht="14.25" customHeight="1" x14ac:dyDescent="0.55000000000000004">
      <c r="B650" s="123"/>
      <c r="I650" s="123"/>
      <c r="J650" s="123"/>
      <c r="K650" s="123"/>
    </row>
    <row r="651" spans="2:11" ht="14.25" customHeight="1" x14ac:dyDescent="0.55000000000000004">
      <c r="B651" s="123"/>
      <c r="I651" s="123"/>
      <c r="J651" s="123"/>
      <c r="K651" s="123"/>
    </row>
    <row r="652" spans="2:11" ht="14.25" customHeight="1" x14ac:dyDescent="0.55000000000000004">
      <c r="B652" s="123"/>
      <c r="I652" s="123"/>
      <c r="J652" s="123"/>
      <c r="K652" s="123"/>
    </row>
    <row r="653" spans="2:11" ht="14.25" customHeight="1" x14ac:dyDescent="0.55000000000000004">
      <c r="B653" s="123"/>
      <c r="I653" s="123"/>
      <c r="J653" s="123"/>
      <c r="K653" s="123"/>
    </row>
    <row r="654" spans="2:11" ht="14.25" customHeight="1" x14ac:dyDescent="0.55000000000000004">
      <c r="B654" s="123"/>
      <c r="I654" s="123"/>
      <c r="J654" s="123"/>
      <c r="K654" s="123"/>
    </row>
    <row r="655" spans="2:11" ht="14.25" customHeight="1" x14ac:dyDescent="0.55000000000000004">
      <c r="B655" s="123"/>
      <c r="I655" s="123"/>
      <c r="J655" s="123"/>
      <c r="K655" s="123"/>
    </row>
    <row r="656" spans="2:11" ht="14.25" customHeight="1" x14ac:dyDescent="0.55000000000000004">
      <c r="B656" s="123"/>
      <c r="I656" s="123"/>
      <c r="J656" s="123"/>
      <c r="K656" s="123"/>
    </row>
    <row r="657" spans="2:11" ht="14.25" customHeight="1" x14ac:dyDescent="0.55000000000000004">
      <c r="B657" s="123"/>
      <c r="I657" s="123"/>
      <c r="J657" s="123"/>
      <c r="K657" s="123"/>
    </row>
    <row r="658" spans="2:11" ht="14.25" customHeight="1" x14ac:dyDescent="0.55000000000000004">
      <c r="B658" s="123"/>
      <c r="I658" s="123"/>
      <c r="J658" s="123"/>
      <c r="K658" s="123"/>
    </row>
    <row r="659" spans="2:11" ht="14.25" customHeight="1" x14ac:dyDescent="0.55000000000000004">
      <c r="B659" s="123"/>
      <c r="I659" s="123"/>
      <c r="J659" s="123"/>
      <c r="K659" s="123"/>
    </row>
    <row r="660" spans="2:11" ht="14.25" customHeight="1" x14ac:dyDescent="0.55000000000000004">
      <c r="B660" s="123"/>
      <c r="I660" s="123"/>
      <c r="J660" s="123"/>
      <c r="K660" s="123"/>
    </row>
    <row r="661" spans="2:11" ht="14.25" customHeight="1" x14ac:dyDescent="0.55000000000000004">
      <c r="B661" s="123"/>
      <c r="I661" s="123"/>
      <c r="J661" s="123"/>
      <c r="K661" s="123"/>
    </row>
    <row r="662" spans="2:11" ht="14.25" customHeight="1" x14ac:dyDescent="0.55000000000000004">
      <c r="B662" s="123"/>
      <c r="I662" s="123"/>
      <c r="J662" s="123"/>
      <c r="K662" s="123"/>
    </row>
    <row r="663" spans="2:11" ht="14.25" customHeight="1" x14ac:dyDescent="0.55000000000000004">
      <c r="B663" s="123"/>
      <c r="I663" s="123"/>
      <c r="J663" s="123"/>
      <c r="K663" s="123"/>
    </row>
    <row r="664" spans="2:11" ht="14.25" customHeight="1" x14ac:dyDescent="0.55000000000000004">
      <c r="B664" s="123"/>
      <c r="I664" s="123"/>
      <c r="J664" s="123"/>
      <c r="K664" s="123"/>
    </row>
    <row r="665" spans="2:11" ht="14.25" customHeight="1" x14ac:dyDescent="0.55000000000000004">
      <c r="B665" s="123"/>
      <c r="I665" s="123"/>
      <c r="J665" s="123"/>
      <c r="K665" s="123"/>
    </row>
    <row r="666" spans="2:11" ht="14.25" customHeight="1" x14ac:dyDescent="0.55000000000000004">
      <c r="B666" s="123"/>
      <c r="I666" s="123"/>
      <c r="J666" s="123"/>
      <c r="K666" s="123"/>
    </row>
    <row r="667" spans="2:11" ht="14.25" customHeight="1" x14ac:dyDescent="0.55000000000000004">
      <c r="B667" s="123"/>
      <c r="I667" s="123"/>
      <c r="J667" s="123"/>
      <c r="K667" s="123"/>
    </row>
    <row r="668" spans="2:11" ht="14.25" customHeight="1" x14ac:dyDescent="0.55000000000000004">
      <c r="B668" s="123"/>
      <c r="I668" s="123"/>
      <c r="J668" s="123"/>
      <c r="K668" s="123"/>
    </row>
    <row r="669" spans="2:11" ht="14.25" customHeight="1" x14ac:dyDescent="0.55000000000000004">
      <c r="B669" s="123"/>
      <c r="I669" s="123"/>
      <c r="J669" s="123"/>
      <c r="K669" s="123"/>
    </row>
    <row r="670" spans="2:11" ht="14.25" customHeight="1" x14ac:dyDescent="0.55000000000000004">
      <c r="B670" s="123"/>
      <c r="I670" s="123"/>
      <c r="J670" s="123"/>
      <c r="K670" s="123"/>
    </row>
    <row r="671" spans="2:11" ht="14.25" customHeight="1" x14ac:dyDescent="0.55000000000000004">
      <c r="B671" s="123"/>
      <c r="I671" s="123"/>
      <c r="J671" s="123"/>
      <c r="K671" s="123"/>
    </row>
    <row r="672" spans="2:11" ht="14.25" customHeight="1" x14ac:dyDescent="0.55000000000000004">
      <c r="B672" s="123"/>
      <c r="I672" s="123"/>
      <c r="J672" s="123"/>
      <c r="K672" s="123"/>
    </row>
    <row r="673" spans="2:11" ht="14.25" customHeight="1" x14ac:dyDescent="0.55000000000000004">
      <c r="B673" s="123"/>
      <c r="I673" s="123"/>
      <c r="J673" s="123"/>
      <c r="K673" s="123"/>
    </row>
    <row r="674" spans="2:11" ht="14.25" customHeight="1" x14ac:dyDescent="0.55000000000000004">
      <c r="B674" s="123"/>
      <c r="I674" s="123"/>
      <c r="J674" s="123"/>
      <c r="K674" s="123"/>
    </row>
    <row r="675" spans="2:11" ht="14.25" customHeight="1" x14ac:dyDescent="0.55000000000000004">
      <c r="B675" s="123"/>
      <c r="I675" s="123"/>
      <c r="J675" s="123"/>
      <c r="K675" s="123"/>
    </row>
    <row r="676" spans="2:11" ht="14.25" customHeight="1" x14ac:dyDescent="0.55000000000000004">
      <c r="B676" s="123"/>
      <c r="I676" s="123"/>
      <c r="J676" s="123"/>
      <c r="K676" s="123"/>
    </row>
    <row r="677" spans="2:11" ht="14.25" customHeight="1" x14ac:dyDescent="0.55000000000000004">
      <c r="B677" s="123"/>
      <c r="I677" s="123"/>
      <c r="J677" s="123"/>
      <c r="K677" s="123"/>
    </row>
    <row r="678" spans="2:11" ht="14.25" customHeight="1" x14ac:dyDescent="0.55000000000000004">
      <c r="B678" s="123"/>
      <c r="I678" s="123"/>
      <c r="J678" s="123"/>
      <c r="K678" s="123"/>
    </row>
    <row r="679" spans="2:11" ht="14.25" customHeight="1" x14ac:dyDescent="0.55000000000000004">
      <c r="B679" s="123"/>
      <c r="I679" s="123"/>
      <c r="J679" s="123"/>
      <c r="K679" s="123"/>
    </row>
    <row r="680" spans="2:11" ht="14.25" customHeight="1" x14ac:dyDescent="0.55000000000000004">
      <c r="B680" s="123"/>
      <c r="I680" s="123"/>
      <c r="J680" s="123"/>
      <c r="K680" s="123"/>
    </row>
    <row r="681" spans="2:11" ht="14.25" customHeight="1" x14ac:dyDescent="0.55000000000000004">
      <c r="B681" s="123"/>
      <c r="I681" s="123"/>
      <c r="J681" s="123"/>
      <c r="K681" s="123"/>
    </row>
    <row r="682" spans="2:11" ht="14.25" customHeight="1" x14ac:dyDescent="0.55000000000000004">
      <c r="B682" s="123"/>
      <c r="I682" s="123"/>
      <c r="J682" s="123"/>
      <c r="K682" s="123"/>
    </row>
    <row r="683" spans="2:11" ht="14.25" customHeight="1" x14ac:dyDescent="0.55000000000000004">
      <c r="B683" s="123"/>
      <c r="I683" s="123"/>
      <c r="J683" s="123"/>
      <c r="K683" s="123"/>
    </row>
    <row r="684" spans="2:11" ht="14.25" customHeight="1" x14ac:dyDescent="0.55000000000000004">
      <c r="B684" s="123"/>
      <c r="I684" s="123"/>
      <c r="J684" s="123"/>
      <c r="K684" s="123"/>
    </row>
    <row r="685" spans="2:11" ht="14.25" customHeight="1" x14ac:dyDescent="0.55000000000000004">
      <c r="B685" s="123"/>
      <c r="I685" s="123"/>
      <c r="J685" s="123"/>
      <c r="K685" s="123"/>
    </row>
    <row r="686" spans="2:11" ht="14.25" customHeight="1" x14ac:dyDescent="0.55000000000000004">
      <c r="B686" s="123"/>
      <c r="I686" s="123"/>
      <c r="J686" s="123"/>
      <c r="K686" s="123"/>
    </row>
    <row r="687" spans="2:11" ht="14.25" customHeight="1" x14ac:dyDescent="0.55000000000000004">
      <c r="B687" s="123"/>
      <c r="I687" s="123"/>
      <c r="J687" s="123"/>
      <c r="K687" s="123"/>
    </row>
    <row r="688" spans="2:11" ht="14.25" customHeight="1" x14ac:dyDescent="0.55000000000000004">
      <c r="B688" s="123"/>
      <c r="I688" s="123"/>
      <c r="J688" s="123"/>
      <c r="K688" s="123"/>
    </row>
    <row r="689" spans="2:11" ht="14.25" customHeight="1" x14ac:dyDescent="0.55000000000000004">
      <c r="B689" s="123"/>
      <c r="I689" s="123"/>
      <c r="J689" s="123"/>
      <c r="K689" s="123"/>
    </row>
    <row r="690" spans="2:11" ht="14.25" customHeight="1" x14ac:dyDescent="0.55000000000000004">
      <c r="B690" s="123"/>
      <c r="I690" s="123"/>
      <c r="J690" s="123"/>
      <c r="K690" s="123"/>
    </row>
    <row r="691" spans="2:11" ht="14.25" customHeight="1" x14ac:dyDescent="0.55000000000000004">
      <c r="B691" s="123"/>
      <c r="I691" s="123"/>
      <c r="J691" s="123"/>
      <c r="K691" s="123"/>
    </row>
    <row r="692" spans="2:11" ht="14.25" customHeight="1" x14ac:dyDescent="0.55000000000000004">
      <c r="B692" s="123"/>
      <c r="I692" s="123"/>
      <c r="J692" s="123"/>
      <c r="K692" s="123"/>
    </row>
    <row r="693" spans="2:11" ht="14.25" customHeight="1" x14ac:dyDescent="0.55000000000000004">
      <c r="B693" s="123"/>
      <c r="I693" s="123"/>
      <c r="J693" s="123"/>
      <c r="K693" s="123"/>
    </row>
    <row r="694" spans="2:11" ht="14.25" customHeight="1" x14ac:dyDescent="0.55000000000000004">
      <c r="B694" s="123"/>
      <c r="I694" s="123"/>
      <c r="J694" s="123"/>
      <c r="K694" s="123"/>
    </row>
    <row r="695" spans="2:11" ht="14.25" customHeight="1" x14ac:dyDescent="0.55000000000000004">
      <c r="B695" s="123"/>
      <c r="I695" s="123"/>
      <c r="J695" s="123"/>
      <c r="K695" s="123"/>
    </row>
    <row r="696" spans="2:11" ht="14.25" customHeight="1" x14ac:dyDescent="0.55000000000000004">
      <c r="B696" s="123"/>
      <c r="I696" s="123"/>
      <c r="J696" s="123"/>
      <c r="K696" s="123"/>
    </row>
    <row r="697" spans="2:11" ht="14.25" customHeight="1" x14ac:dyDescent="0.55000000000000004">
      <c r="B697" s="123"/>
      <c r="I697" s="123"/>
      <c r="J697" s="123"/>
      <c r="K697" s="123"/>
    </row>
    <row r="698" spans="2:11" ht="14.25" customHeight="1" x14ac:dyDescent="0.55000000000000004">
      <c r="B698" s="123"/>
      <c r="I698" s="123"/>
      <c r="J698" s="123"/>
      <c r="K698" s="123"/>
    </row>
    <row r="699" spans="2:11" ht="14.25" customHeight="1" x14ac:dyDescent="0.55000000000000004">
      <c r="B699" s="123"/>
      <c r="I699" s="123"/>
      <c r="J699" s="123"/>
      <c r="K699" s="123"/>
    </row>
    <row r="700" spans="2:11" ht="14.25" customHeight="1" x14ac:dyDescent="0.55000000000000004">
      <c r="B700" s="123"/>
      <c r="I700" s="123"/>
      <c r="J700" s="123"/>
      <c r="K700" s="123"/>
    </row>
    <row r="701" spans="2:11" ht="14.25" customHeight="1" x14ac:dyDescent="0.55000000000000004">
      <c r="B701" s="123"/>
      <c r="I701" s="123"/>
      <c r="J701" s="123"/>
      <c r="K701" s="123"/>
    </row>
    <row r="702" spans="2:11" ht="14.25" customHeight="1" x14ac:dyDescent="0.55000000000000004">
      <c r="B702" s="123"/>
      <c r="I702" s="123"/>
      <c r="J702" s="123"/>
      <c r="K702" s="123"/>
    </row>
    <row r="703" spans="2:11" ht="14.25" customHeight="1" x14ac:dyDescent="0.55000000000000004">
      <c r="B703" s="123"/>
      <c r="I703" s="123"/>
      <c r="J703" s="123"/>
      <c r="K703" s="123"/>
    </row>
    <row r="704" spans="2:11" ht="14.25" customHeight="1" x14ac:dyDescent="0.55000000000000004">
      <c r="B704" s="123"/>
      <c r="I704" s="123"/>
      <c r="J704" s="123"/>
      <c r="K704" s="123"/>
    </row>
    <row r="705" spans="2:11" ht="14.25" customHeight="1" x14ac:dyDescent="0.55000000000000004">
      <c r="B705" s="123"/>
      <c r="I705" s="123"/>
      <c r="J705" s="123"/>
      <c r="K705" s="123"/>
    </row>
    <row r="706" spans="2:11" ht="14.25" customHeight="1" x14ac:dyDescent="0.55000000000000004">
      <c r="B706" s="123"/>
      <c r="I706" s="123"/>
      <c r="J706" s="123"/>
      <c r="K706" s="123"/>
    </row>
    <row r="707" spans="2:11" ht="14.25" customHeight="1" x14ac:dyDescent="0.55000000000000004">
      <c r="B707" s="123"/>
      <c r="I707" s="123"/>
      <c r="J707" s="123"/>
      <c r="K707" s="123"/>
    </row>
    <row r="708" spans="2:11" ht="14.25" customHeight="1" x14ac:dyDescent="0.55000000000000004">
      <c r="B708" s="123"/>
      <c r="I708" s="123"/>
      <c r="J708" s="123"/>
      <c r="K708" s="123"/>
    </row>
    <row r="709" spans="2:11" ht="14.25" customHeight="1" x14ac:dyDescent="0.55000000000000004">
      <c r="B709" s="123"/>
      <c r="I709" s="123"/>
      <c r="J709" s="123"/>
      <c r="K709" s="123"/>
    </row>
    <row r="710" spans="2:11" ht="14.25" customHeight="1" x14ac:dyDescent="0.55000000000000004">
      <c r="B710" s="123"/>
      <c r="I710" s="123"/>
      <c r="J710" s="123"/>
      <c r="K710" s="123"/>
    </row>
    <row r="711" spans="2:11" ht="14.25" customHeight="1" x14ac:dyDescent="0.55000000000000004">
      <c r="B711" s="123"/>
      <c r="I711" s="123"/>
      <c r="J711" s="123"/>
      <c r="K711" s="123"/>
    </row>
    <row r="712" spans="2:11" ht="14.25" customHeight="1" x14ac:dyDescent="0.55000000000000004">
      <c r="B712" s="123"/>
      <c r="I712" s="123"/>
      <c r="J712" s="123"/>
      <c r="K712" s="123"/>
    </row>
    <row r="713" spans="2:11" ht="14.25" customHeight="1" x14ac:dyDescent="0.55000000000000004">
      <c r="B713" s="123"/>
      <c r="I713" s="123"/>
      <c r="J713" s="123"/>
      <c r="K713" s="123"/>
    </row>
    <row r="714" spans="2:11" ht="14.25" customHeight="1" x14ac:dyDescent="0.55000000000000004">
      <c r="B714" s="123"/>
      <c r="I714" s="123"/>
      <c r="J714" s="123"/>
      <c r="K714" s="123"/>
    </row>
    <row r="715" spans="2:11" ht="14.25" customHeight="1" x14ac:dyDescent="0.55000000000000004">
      <c r="B715" s="123"/>
      <c r="I715" s="123"/>
      <c r="J715" s="123"/>
      <c r="K715" s="123"/>
    </row>
    <row r="716" spans="2:11" ht="14.25" customHeight="1" x14ac:dyDescent="0.55000000000000004">
      <c r="B716" s="123"/>
      <c r="I716" s="123"/>
      <c r="J716" s="123"/>
      <c r="K716" s="123"/>
    </row>
    <row r="717" spans="2:11" ht="14.25" customHeight="1" x14ac:dyDescent="0.55000000000000004">
      <c r="B717" s="123"/>
      <c r="I717" s="123"/>
      <c r="J717" s="123"/>
      <c r="K717" s="123"/>
    </row>
    <row r="718" spans="2:11" ht="14.25" customHeight="1" x14ac:dyDescent="0.55000000000000004">
      <c r="B718" s="123"/>
      <c r="I718" s="123"/>
      <c r="J718" s="123"/>
      <c r="K718" s="123"/>
    </row>
    <row r="719" spans="2:11" ht="14.25" customHeight="1" x14ac:dyDescent="0.55000000000000004">
      <c r="B719" s="123"/>
      <c r="I719" s="123"/>
      <c r="J719" s="123"/>
      <c r="K719" s="123"/>
    </row>
    <row r="720" spans="2:11" ht="14.25" customHeight="1" x14ac:dyDescent="0.55000000000000004">
      <c r="B720" s="123"/>
      <c r="I720" s="123"/>
      <c r="J720" s="123"/>
      <c r="K720" s="123"/>
    </row>
    <row r="721" spans="2:11" ht="14.25" customHeight="1" x14ac:dyDescent="0.55000000000000004">
      <c r="B721" s="123"/>
      <c r="I721" s="123"/>
      <c r="J721" s="123"/>
      <c r="K721" s="123"/>
    </row>
    <row r="722" spans="2:11" ht="14.25" customHeight="1" x14ac:dyDescent="0.55000000000000004">
      <c r="B722" s="123"/>
      <c r="I722" s="123"/>
      <c r="J722" s="123"/>
      <c r="K722" s="123"/>
    </row>
    <row r="723" spans="2:11" ht="14.25" customHeight="1" x14ac:dyDescent="0.55000000000000004">
      <c r="B723" s="123"/>
      <c r="I723" s="123"/>
      <c r="J723" s="123"/>
      <c r="K723" s="123"/>
    </row>
    <row r="724" spans="2:11" ht="14.25" customHeight="1" x14ac:dyDescent="0.55000000000000004">
      <c r="B724" s="123"/>
      <c r="I724" s="123"/>
      <c r="J724" s="123"/>
      <c r="K724" s="123"/>
    </row>
    <row r="725" spans="2:11" ht="14.25" customHeight="1" x14ac:dyDescent="0.55000000000000004">
      <c r="B725" s="123"/>
      <c r="I725" s="123"/>
      <c r="J725" s="123"/>
      <c r="K725" s="123"/>
    </row>
    <row r="726" spans="2:11" ht="14.25" customHeight="1" x14ac:dyDescent="0.55000000000000004">
      <c r="B726" s="123"/>
      <c r="I726" s="123"/>
      <c r="J726" s="123"/>
      <c r="K726" s="123"/>
    </row>
    <row r="727" spans="2:11" ht="14.25" customHeight="1" x14ac:dyDescent="0.55000000000000004">
      <c r="B727" s="123"/>
      <c r="I727" s="123"/>
      <c r="J727" s="123"/>
      <c r="K727" s="123"/>
    </row>
    <row r="728" spans="2:11" ht="14.25" customHeight="1" x14ac:dyDescent="0.55000000000000004">
      <c r="B728" s="123"/>
      <c r="I728" s="123"/>
      <c r="J728" s="123"/>
      <c r="K728" s="123"/>
    </row>
    <row r="729" spans="2:11" ht="14.25" customHeight="1" x14ac:dyDescent="0.55000000000000004">
      <c r="B729" s="123"/>
      <c r="I729" s="123"/>
      <c r="J729" s="123"/>
      <c r="K729" s="123"/>
    </row>
    <row r="730" spans="2:11" ht="14.25" customHeight="1" x14ac:dyDescent="0.55000000000000004">
      <c r="B730" s="123"/>
      <c r="I730" s="123"/>
      <c r="J730" s="123"/>
      <c r="K730" s="123"/>
    </row>
    <row r="731" spans="2:11" ht="14.25" customHeight="1" x14ac:dyDescent="0.55000000000000004">
      <c r="B731" s="123"/>
      <c r="I731" s="123"/>
      <c r="J731" s="123"/>
      <c r="K731" s="123"/>
    </row>
    <row r="732" spans="2:11" ht="14.25" customHeight="1" x14ac:dyDescent="0.55000000000000004">
      <c r="B732" s="123"/>
      <c r="I732" s="123"/>
      <c r="J732" s="123"/>
      <c r="K732" s="123"/>
    </row>
    <row r="733" spans="2:11" ht="14.25" customHeight="1" x14ac:dyDescent="0.55000000000000004">
      <c r="B733" s="123"/>
      <c r="I733" s="123"/>
      <c r="J733" s="123"/>
      <c r="K733" s="123"/>
    </row>
    <row r="734" spans="2:11" ht="14.25" customHeight="1" x14ac:dyDescent="0.55000000000000004">
      <c r="B734" s="123"/>
      <c r="I734" s="123"/>
      <c r="J734" s="123"/>
      <c r="K734" s="123"/>
    </row>
    <row r="735" spans="2:11" ht="14.25" customHeight="1" x14ac:dyDescent="0.55000000000000004">
      <c r="B735" s="123"/>
      <c r="I735" s="123"/>
      <c r="J735" s="123"/>
      <c r="K735" s="123"/>
    </row>
    <row r="736" spans="2:11" ht="14.25" customHeight="1" x14ac:dyDescent="0.55000000000000004">
      <c r="B736" s="123"/>
      <c r="I736" s="123"/>
      <c r="J736" s="123"/>
      <c r="K736" s="123"/>
    </row>
    <row r="737" spans="2:11" ht="14.25" customHeight="1" x14ac:dyDescent="0.55000000000000004">
      <c r="B737" s="123"/>
      <c r="I737" s="123"/>
      <c r="J737" s="123"/>
      <c r="K737" s="123"/>
    </row>
    <row r="738" spans="2:11" ht="14.25" customHeight="1" x14ac:dyDescent="0.55000000000000004">
      <c r="B738" s="123"/>
      <c r="I738" s="123"/>
      <c r="J738" s="123"/>
      <c r="K738" s="123"/>
    </row>
    <row r="739" spans="2:11" ht="14.25" customHeight="1" x14ac:dyDescent="0.55000000000000004">
      <c r="B739" s="123"/>
      <c r="I739" s="123"/>
      <c r="J739" s="123"/>
      <c r="K739" s="123"/>
    </row>
    <row r="740" spans="2:11" ht="14.25" customHeight="1" x14ac:dyDescent="0.55000000000000004">
      <c r="B740" s="123"/>
      <c r="I740" s="123"/>
      <c r="J740" s="123"/>
      <c r="K740" s="123"/>
    </row>
    <row r="741" spans="2:11" ht="14.25" customHeight="1" x14ac:dyDescent="0.55000000000000004">
      <c r="B741" s="123"/>
      <c r="I741" s="123"/>
      <c r="J741" s="123"/>
      <c r="K741" s="123"/>
    </row>
    <row r="742" spans="2:11" ht="14.25" customHeight="1" x14ac:dyDescent="0.55000000000000004">
      <c r="B742" s="123"/>
      <c r="I742" s="123"/>
      <c r="J742" s="123"/>
      <c r="K742" s="123"/>
    </row>
    <row r="743" spans="2:11" ht="14.25" customHeight="1" x14ac:dyDescent="0.55000000000000004">
      <c r="B743" s="123"/>
      <c r="I743" s="123"/>
      <c r="J743" s="123"/>
      <c r="K743" s="123"/>
    </row>
    <row r="744" spans="2:11" ht="14.25" customHeight="1" x14ac:dyDescent="0.55000000000000004">
      <c r="B744" s="123"/>
      <c r="I744" s="123"/>
      <c r="J744" s="123"/>
      <c r="K744" s="123"/>
    </row>
    <row r="745" spans="2:11" ht="14.25" customHeight="1" x14ac:dyDescent="0.55000000000000004">
      <c r="B745" s="123"/>
      <c r="I745" s="123"/>
      <c r="J745" s="123"/>
      <c r="K745" s="123"/>
    </row>
    <row r="746" spans="2:11" ht="14.25" customHeight="1" x14ac:dyDescent="0.55000000000000004">
      <c r="B746" s="123"/>
      <c r="I746" s="123"/>
      <c r="J746" s="123"/>
      <c r="K746" s="123"/>
    </row>
    <row r="747" spans="2:11" ht="14.25" customHeight="1" x14ac:dyDescent="0.55000000000000004">
      <c r="B747" s="123"/>
      <c r="I747" s="123"/>
      <c r="J747" s="123"/>
      <c r="K747" s="123"/>
    </row>
    <row r="748" spans="2:11" ht="14.25" customHeight="1" x14ac:dyDescent="0.55000000000000004">
      <c r="B748" s="123"/>
      <c r="I748" s="123"/>
      <c r="J748" s="123"/>
      <c r="K748" s="123"/>
    </row>
    <row r="749" spans="2:11" ht="14.25" customHeight="1" x14ac:dyDescent="0.55000000000000004">
      <c r="B749" s="123"/>
      <c r="I749" s="123"/>
      <c r="J749" s="123"/>
      <c r="K749" s="123"/>
    </row>
    <row r="750" spans="2:11" ht="14.25" customHeight="1" x14ac:dyDescent="0.55000000000000004">
      <c r="B750" s="123"/>
      <c r="I750" s="123"/>
      <c r="J750" s="123"/>
      <c r="K750" s="123"/>
    </row>
    <row r="751" spans="2:11" ht="14.25" customHeight="1" x14ac:dyDescent="0.55000000000000004">
      <c r="B751" s="123"/>
      <c r="I751" s="123"/>
      <c r="J751" s="123"/>
      <c r="K751" s="123"/>
    </row>
    <row r="752" spans="2:11" ht="14.25" customHeight="1" x14ac:dyDescent="0.55000000000000004">
      <c r="B752" s="123"/>
      <c r="I752" s="123"/>
      <c r="J752" s="123"/>
      <c r="K752" s="123"/>
    </row>
    <row r="753" spans="2:11" ht="14.25" customHeight="1" x14ac:dyDescent="0.55000000000000004">
      <c r="B753" s="123"/>
      <c r="I753" s="123"/>
      <c r="J753" s="123"/>
      <c r="K753" s="123"/>
    </row>
    <row r="754" spans="2:11" ht="14.25" customHeight="1" x14ac:dyDescent="0.55000000000000004">
      <c r="B754" s="123"/>
      <c r="I754" s="123"/>
      <c r="J754" s="123"/>
      <c r="K754" s="123"/>
    </row>
    <row r="755" spans="2:11" ht="14.25" customHeight="1" x14ac:dyDescent="0.55000000000000004">
      <c r="B755" s="123"/>
      <c r="I755" s="123"/>
      <c r="J755" s="123"/>
      <c r="K755" s="123"/>
    </row>
    <row r="756" spans="2:11" ht="14.25" customHeight="1" x14ac:dyDescent="0.55000000000000004">
      <c r="B756" s="123"/>
      <c r="I756" s="123"/>
      <c r="J756" s="123"/>
      <c r="K756" s="123"/>
    </row>
    <row r="757" spans="2:11" ht="14.25" customHeight="1" x14ac:dyDescent="0.55000000000000004">
      <c r="B757" s="123"/>
      <c r="I757" s="123"/>
      <c r="J757" s="123"/>
      <c r="K757" s="123"/>
    </row>
    <row r="758" spans="2:11" ht="14.25" customHeight="1" x14ac:dyDescent="0.55000000000000004">
      <c r="B758" s="123"/>
      <c r="I758" s="123"/>
      <c r="J758" s="123"/>
      <c r="K758" s="123"/>
    </row>
    <row r="759" spans="2:11" ht="14.25" customHeight="1" x14ac:dyDescent="0.55000000000000004">
      <c r="B759" s="123"/>
      <c r="I759" s="123"/>
      <c r="J759" s="123"/>
      <c r="K759" s="123"/>
    </row>
    <row r="760" spans="2:11" ht="14.25" customHeight="1" x14ac:dyDescent="0.55000000000000004">
      <c r="B760" s="123"/>
      <c r="I760" s="123"/>
      <c r="J760" s="123"/>
      <c r="K760" s="123"/>
    </row>
    <row r="761" spans="2:11" ht="14.25" customHeight="1" x14ac:dyDescent="0.55000000000000004">
      <c r="B761" s="123"/>
      <c r="I761" s="123"/>
      <c r="J761" s="123"/>
      <c r="K761" s="123"/>
    </row>
    <row r="762" spans="2:11" ht="14.25" customHeight="1" x14ac:dyDescent="0.55000000000000004">
      <c r="B762" s="123"/>
      <c r="I762" s="123"/>
      <c r="J762" s="123"/>
      <c r="K762" s="123"/>
    </row>
    <row r="763" spans="2:11" ht="14.25" customHeight="1" x14ac:dyDescent="0.55000000000000004">
      <c r="B763" s="123"/>
      <c r="I763" s="123"/>
      <c r="J763" s="123"/>
      <c r="K763" s="123"/>
    </row>
    <row r="764" spans="2:11" ht="14.25" customHeight="1" x14ac:dyDescent="0.55000000000000004">
      <c r="B764" s="123"/>
      <c r="I764" s="123"/>
      <c r="J764" s="123"/>
      <c r="K764" s="123"/>
    </row>
    <row r="765" spans="2:11" ht="14.25" customHeight="1" x14ac:dyDescent="0.55000000000000004">
      <c r="B765" s="123"/>
      <c r="I765" s="123"/>
      <c r="J765" s="123"/>
      <c r="K765" s="123"/>
    </row>
    <row r="766" spans="2:11" ht="14.25" customHeight="1" x14ac:dyDescent="0.55000000000000004">
      <c r="B766" s="123"/>
      <c r="I766" s="123"/>
      <c r="J766" s="123"/>
      <c r="K766" s="123"/>
    </row>
    <row r="767" spans="2:11" ht="14.25" customHeight="1" x14ac:dyDescent="0.55000000000000004">
      <c r="B767" s="123"/>
      <c r="I767" s="123"/>
      <c r="J767" s="123"/>
      <c r="K767" s="123"/>
    </row>
    <row r="768" spans="2:11" ht="14.25" customHeight="1" x14ac:dyDescent="0.55000000000000004">
      <c r="B768" s="123"/>
      <c r="I768" s="123"/>
      <c r="J768" s="123"/>
      <c r="K768" s="123"/>
    </row>
    <row r="769" spans="2:11" ht="14.25" customHeight="1" x14ac:dyDescent="0.55000000000000004">
      <c r="B769" s="123"/>
      <c r="I769" s="123"/>
      <c r="J769" s="123"/>
      <c r="K769" s="123"/>
    </row>
    <row r="770" spans="2:11" ht="14.25" customHeight="1" x14ac:dyDescent="0.55000000000000004">
      <c r="B770" s="123"/>
      <c r="I770" s="123"/>
      <c r="J770" s="123"/>
      <c r="K770" s="123"/>
    </row>
    <row r="771" spans="2:11" ht="14.25" customHeight="1" x14ac:dyDescent="0.55000000000000004">
      <c r="B771" s="123"/>
      <c r="I771" s="123"/>
      <c r="J771" s="123"/>
      <c r="K771" s="123"/>
    </row>
    <row r="772" spans="2:11" ht="14.25" customHeight="1" x14ac:dyDescent="0.55000000000000004">
      <c r="B772" s="123"/>
      <c r="I772" s="123"/>
      <c r="J772" s="123"/>
      <c r="K772" s="123"/>
    </row>
    <row r="773" spans="2:11" ht="14.25" customHeight="1" x14ac:dyDescent="0.55000000000000004">
      <c r="B773" s="123"/>
      <c r="I773" s="123"/>
      <c r="J773" s="123"/>
      <c r="K773" s="123"/>
    </row>
    <row r="774" spans="2:11" ht="14.25" customHeight="1" x14ac:dyDescent="0.55000000000000004">
      <c r="B774" s="123"/>
      <c r="I774" s="123"/>
      <c r="J774" s="123"/>
      <c r="K774" s="123"/>
    </row>
    <row r="775" spans="2:11" ht="14.25" customHeight="1" x14ac:dyDescent="0.55000000000000004">
      <c r="B775" s="123"/>
      <c r="I775" s="123"/>
      <c r="J775" s="123"/>
      <c r="K775" s="123"/>
    </row>
    <row r="776" spans="2:11" ht="14.25" customHeight="1" x14ac:dyDescent="0.55000000000000004">
      <c r="B776" s="123"/>
      <c r="I776" s="123"/>
      <c r="J776" s="123"/>
      <c r="K776" s="123"/>
    </row>
    <row r="777" spans="2:11" ht="14.25" customHeight="1" x14ac:dyDescent="0.55000000000000004">
      <c r="B777" s="123"/>
      <c r="I777" s="123"/>
      <c r="J777" s="123"/>
      <c r="K777" s="123"/>
    </row>
    <row r="778" spans="2:11" ht="14.25" customHeight="1" x14ac:dyDescent="0.55000000000000004">
      <c r="B778" s="123"/>
      <c r="I778" s="123"/>
      <c r="J778" s="123"/>
      <c r="K778" s="123"/>
    </row>
    <row r="779" spans="2:11" ht="14.25" customHeight="1" x14ac:dyDescent="0.55000000000000004">
      <c r="B779" s="123"/>
      <c r="I779" s="123"/>
      <c r="J779" s="123"/>
      <c r="K779" s="123"/>
    </row>
    <row r="780" spans="2:11" ht="14.25" customHeight="1" x14ac:dyDescent="0.55000000000000004">
      <c r="B780" s="123"/>
      <c r="I780" s="123"/>
      <c r="J780" s="123"/>
      <c r="K780" s="123"/>
    </row>
    <row r="781" spans="2:11" ht="14.25" customHeight="1" x14ac:dyDescent="0.55000000000000004">
      <c r="B781" s="123"/>
      <c r="I781" s="123"/>
      <c r="J781" s="123"/>
      <c r="K781" s="123"/>
    </row>
    <row r="782" spans="2:11" ht="14.25" customHeight="1" x14ac:dyDescent="0.55000000000000004">
      <c r="B782" s="123"/>
      <c r="I782" s="123"/>
      <c r="J782" s="123"/>
      <c r="K782" s="123"/>
    </row>
    <row r="783" spans="2:11" ht="14.25" customHeight="1" x14ac:dyDescent="0.55000000000000004">
      <c r="B783" s="123"/>
      <c r="I783" s="123"/>
      <c r="J783" s="123"/>
      <c r="K783" s="123"/>
    </row>
    <row r="784" spans="2:11" ht="14.25" customHeight="1" x14ac:dyDescent="0.55000000000000004">
      <c r="B784" s="123"/>
      <c r="I784" s="123"/>
      <c r="J784" s="123"/>
      <c r="K784" s="123"/>
    </row>
    <row r="785" spans="2:11" ht="14.25" customHeight="1" x14ac:dyDescent="0.55000000000000004">
      <c r="B785" s="123"/>
      <c r="I785" s="123"/>
      <c r="J785" s="123"/>
      <c r="K785" s="123"/>
    </row>
    <row r="786" spans="2:11" ht="14.25" customHeight="1" x14ac:dyDescent="0.55000000000000004">
      <c r="B786" s="123"/>
      <c r="I786" s="123"/>
      <c r="J786" s="123"/>
      <c r="K786" s="123"/>
    </row>
    <row r="787" spans="2:11" ht="14.25" customHeight="1" x14ac:dyDescent="0.55000000000000004">
      <c r="B787" s="123"/>
      <c r="I787" s="123"/>
      <c r="J787" s="123"/>
      <c r="K787" s="123"/>
    </row>
    <row r="788" spans="2:11" ht="14.25" customHeight="1" x14ac:dyDescent="0.55000000000000004">
      <c r="B788" s="123"/>
      <c r="I788" s="123"/>
      <c r="J788" s="123"/>
      <c r="K788" s="123"/>
    </row>
    <row r="789" spans="2:11" ht="14.25" customHeight="1" x14ac:dyDescent="0.55000000000000004">
      <c r="B789" s="123"/>
      <c r="I789" s="123"/>
      <c r="J789" s="123"/>
      <c r="K789" s="123"/>
    </row>
    <row r="790" spans="2:11" ht="14.25" customHeight="1" x14ac:dyDescent="0.55000000000000004">
      <c r="B790" s="123"/>
      <c r="I790" s="123"/>
      <c r="J790" s="123"/>
      <c r="K790" s="123"/>
    </row>
    <row r="791" spans="2:11" ht="14.25" customHeight="1" x14ac:dyDescent="0.55000000000000004">
      <c r="B791" s="123"/>
      <c r="I791" s="123"/>
      <c r="J791" s="123"/>
      <c r="K791" s="123"/>
    </row>
    <row r="792" spans="2:11" ht="14.25" customHeight="1" x14ac:dyDescent="0.55000000000000004">
      <c r="B792" s="123"/>
      <c r="I792" s="123"/>
      <c r="J792" s="123"/>
      <c r="K792" s="123"/>
    </row>
    <row r="793" spans="2:11" ht="14.25" customHeight="1" x14ac:dyDescent="0.55000000000000004">
      <c r="B793" s="123"/>
      <c r="I793" s="123"/>
      <c r="J793" s="123"/>
      <c r="K793" s="123"/>
    </row>
    <row r="794" spans="2:11" ht="14.25" customHeight="1" x14ac:dyDescent="0.55000000000000004">
      <c r="B794" s="123"/>
      <c r="I794" s="123"/>
      <c r="J794" s="123"/>
      <c r="K794" s="123"/>
    </row>
    <row r="795" spans="2:11" ht="14.25" customHeight="1" x14ac:dyDescent="0.55000000000000004">
      <c r="B795" s="123"/>
      <c r="I795" s="123"/>
      <c r="J795" s="123"/>
      <c r="K795" s="123"/>
    </row>
    <row r="796" spans="2:11" ht="14.25" customHeight="1" x14ac:dyDescent="0.55000000000000004">
      <c r="B796" s="123"/>
      <c r="I796" s="123"/>
      <c r="J796" s="123"/>
      <c r="K796" s="123"/>
    </row>
    <row r="797" spans="2:11" ht="14.25" customHeight="1" x14ac:dyDescent="0.55000000000000004">
      <c r="B797" s="123"/>
      <c r="I797" s="123"/>
      <c r="J797" s="123"/>
      <c r="K797" s="123"/>
    </row>
    <row r="798" spans="2:11" ht="14.25" customHeight="1" x14ac:dyDescent="0.55000000000000004">
      <c r="B798" s="123"/>
      <c r="I798" s="123"/>
      <c r="J798" s="123"/>
      <c r="K798" s="123"/>
    </row>
    <row r="799" spans="2:11" ht="14.25" customHeight="1" x14ac:dyDescent="0.55000000000000004">
      <c r="B799" s="123"/>
      <c r="I799" s="123"/>
      <c r="J799" s="123"/>
      <c r="K799" s="123"/>
    </row>
    <row r="800" spans="2:11" ht="14.25" customHeight="1" x14ac:dyDescent="0.55000000000000004">
      <c r="B800" s="123"/>
      <c r="I800" s="123"/>
      <c r="J800" s="123"/>
      <c r="K800" s="123"/>
    </row>
    <row r="801" spans="2:11" ht="14.25" customHeight="1" x14ac:dyDescent="0.55000000000000004">
      <c r="B801" s="123"/>
      <c r="I801" s="123"/>
      <c r="J801" s="123"/>
      <c r="K801" s="123"/>
    </row>
    <row r="802" spans="2:11" ht="14.25" customHeight="1" x14ac:dyDescent="0.55000000000000004">
      <c r="B802" s="123"/>
      <c r="I802" s="123"/>
      <c r="J802" s="123"/>
      <c r="K802" s="123"/>
    </row>
    <row r="803" spans="2:11" ht="14.25" customHeight="1" x14ac:dyDescent="0.55000000000000004">
      <c r="B803" s="123"/>
      <c r="I803" s="123"/>
      <c r="J803" s="123"/>
      <c r="K803" s="123"/>
    </row>
    <row r="804" spans="2:11" ht="14.25" customHeight="1" x14ac:dyDescent="0.55000000000000004">
      <c r="B804" s="123"/>
      <c r="I804" s="123"/>
      <c r="J804" s="123"/>
      <c r="K804" s="123"/>
    </row>
    <row r="805" spans="2:11" ht="14.25" customHeight="1" x14ac:dyDescent="0.55000000000000004">
      <c r="B805" s="123"/>
      <c r="I805" s="123"/>
      <c r="J805" s="123"/>
      <c r="K805" s="123"/>
    </row>
    <row r="806" spans="2:11" ht="14.25" customHeight="1" x14ac:dyDescent="0.55000000000000004">
      <c r="B806" s="123"/>
      <c r="I806" s="123"/>
      <c r="J806" s="123"/>
      <c r="K806" s="123"/>
    </row>
    <row r="807" spans="2:11" ht="14.25" customHeight="1" x14ac:dyDescent="0.55000000000000004">
      <c r="B807" s="123"/>
      <c r="I807" s="123"/>
      <c r="J807" s="123"/>
      <c r="K807" s="123"/>
    </row>
    <row r="808" spans="2:11" ht="14.25" customHeight="1" x14ac:dyDescent="0.55000000000000004">
      <c r="B808" s="123"/>
      <c r="I808" s="123"/>
      <c r="J808" s="123"/>
      <c r="K808" s="123"/>
    </row>
    <row r="809" spans="2:11" ht="14.25" customHeight="1" x14ac:dyDescent="0.55000000000000004">
      <c r="B809" s="123"/>
      <c r="I809" s="123"/>
      <c r="J809" s="123"/>
      <c r="K809" s="123"/>
    </row>
    <row r="810" spans="2:11" ht="14.25" customHeight="1" x14ac:dyDescent="0.55000000000000004">
      <c r="B810" s="123"/>
      <c r="I810" s="123"/>
      <c r="J810" s="123"/>
      <c r="K810" s="123"/>
    </row>
    <row r="811" spans="2:11" ht="14.25" customHeight="1" x14ac:dyDescent="0.55000000000000004">
      <c r="B811" s="123"/>
      <c r="I811" s="123"/>
      <c r="J811" s="123"/>
      <c r="K811" s="123"/>
    </row>
    <row r="812" spans="2:11" ht="14.25" customHeight="1" x14ac:dyDescent="0.55000000000000004">
      <c r="B812" s="123"/>
      <c r="I812" s="123"/>
      <c r="J812" s="123"/>
      <c r="K812" s="123"/>
    </row>
    <row r="813" spans="2:11" ht="14.25" customHeight="1" x14ac:dyDescent="0.55000000000000004">
      <c r="B813" s="123"/>
      <c r="I813" s="123"/>
      <c r="J813" s="123"/>
      <c r="K813" s="123"/>
    </row>
    <row r="814" spans="2:11" ht="14.25" customHeight="1" x14ac:dyDescent="0.55000000000000004">
      <c r="B814" s="123"/>
      <c r="I814" s="123"/>
      <c r="J814" s="123"/>
      <c r="K814" s="123"/>
    </row>
    <row r="815" spans="2:11" ht="14.25" customHeight="1" x14ac:dyDescent="0.55000000000000004">
      <c r="B815" s="123"/>
      <c r="I815" s="123"/>
      <c r="J815" s="123"/>
      <c r="K815" s="123"/>
    </row>
    <row r="816" spans="2:11" ht="14.25" customHeight="1" x14ac:dyDescent="0.55000000000000004">
      <c r="B816" s="123"/>
      <c r="I816" s="123"/>
      <c r="J816" s="123"/>
      <c r="K816" s="123"/>
    </row>
    <row r="817" spans="2:11" ht="14.25" customHeight="1" x14ac:dyDescent="0.55000000000000004">
      <c r="B817" s="123"/>
      <c r="I817" s="123"/>
      <c r="J817" s="123"/>
      <c r="K817" s="123"/>
    </row>
    <row r="818" spans="2:11" ht="14.25" customHeight="1" x14ac:dyDescent="0.55000000000000004">
      <c r="B818" s="123"/>
      <c r="I818" s="123"/>
      <c r="J818" s="123"/>
      <c r="K818" s="123"/>
    </row>
    <row r="819" spans="2:11" ht="14.25" customHeight="1" x14ac:dyDescent="0.55000000000000004">
      <c r="B819" s="123"/>
      <c r="I819" s="123"/>
      <c r="J819" s="123"/>
      <c r="K819" s="123"/>
    </row>
    <row r="820" spans="2:11" ht="14.25" customHeight="1" x14ac:dyDescent="0.55000000000000004">
      <c r="B820" s="123"/>
      <c r="I820" s="123"/>
      <c r="J820" s="123"/>
      <c r="K820" s="123"/>
    </row>
    <row r="821" spans="2:11" ht="14.25" customHeight="1" x14ac:dyDescent="0.55000000000000004">
      <c r="B821" s="123"/>
      <c r="I821" s="123"/>
      <c r="J821" s="123"/>
      <c r="K821" s="123"/>
    </row>
    <row r="822" spans="2:11" ht="14.25" customHeight="1" x14ac:dyDescent="0.55000000000000004">
      <c r="B822" s="123"/>
      <c r="I822" s="123"/>
      <c r="J822" s="123"/>
      <c r="K822" s="123"/>
    </row>
    <row r="823" spans="2:11" ht="14.25" customHeight="1" x14ac:dyDescent="0.55000000000000004">
      <c r="B823" s="123"/>
      <c r="I823" s="123"/>
      <c r="J823" s="123"/>
      <c r="K823" s="123"/>
    </row>
    <row r="824" spans="2:11" ht="14.25" customHeight="1" x14ac:dyDescent="0.55000000000000004">
      <c r="B824" s="123"/>
      <c r="I824" s="123"/>
      <c r="J824" s="123"/>
      <c r="K824" s="123"/>
    </row>
    <row r="825" spans="2:11" ht="14.25" customHeight="1" x14ac:dyDescent="0.55000000000000004">
      <c r="B825" s="123"/>
      <c r="I825" s="123"/>
      <c r="J825" s="123"/>
      <c r="K825" s="123"/>
    </row>
    <row r="826" spans="2:11" ht="14.25" customHeight="1" x14ac:dyDescent="0.55000000000000004">
      <c r="B826" s="123"/>
      <c r="I826" s="123"/>
      <c r="J826" s="123"/>
      <c r="K826" s="123"/>
    </row>
    <row r="827" spans="2:11" ht="14.25" customHeight="1" x14ac:dyDescent="0.55000000000000004">
      <c r="B827" s="123"/>
      <c r="I827" s="123"/>
      <c r="J827" s="123"/>
      <c r="K827" s="123"/>
    </row>
    <row r="828" spans="2:11" ht="14.25" customHeight="1" x14ac:dyDescent="0.55000000000000004">
      <c r="B828" s="123"/>
      <c r="I828" s="123"/>
      <c r="J828" s="123"/>
      <c r="K828" s="123"/>
    </row>
    <row r="829" spans="2:11" ht="14.25" customHeight="1" x14ac:dyDescent="0.55000000000000004">
      <c r="B829" s="123"/>
      <c r="I829" s="123"/>
      <c r="J829" s="123"/>
      <c r="K829" s="123"/>
    </row>
    <row r="830" spans="2:11" ht="14.25" customHeight="1" x14ac:dyDescent="0.55000000000000004">
      <c r="B830" s="123"/>
      <c r="I830" s="123"/>
      <c r="J830" s="123"/>
      <c r="K830" s="123"/>
    </row>
    <row r="831" spans="2:11" ht="14.25" customHeight="1" x14ac:dyDescent="0.55000000000000004">
      <c r="B831" s="123"/>
      <c r="I831" s="123"/>
      <c r="J831" s="123"/>
      <c r="K831" s="123"/>
    </row>
    <row r="832" spans="2:11" ht="14.25" customHeight="1" x14ac:dyDescent="0.55000000000000004">
      <c r="B832" s="123"/>
      <c r="I832" s="123"/>
      <c r="J832" s="123"/>
      <c r="K832" s="123"/>
    </row>
    <row r="833" spans="2:11" ht="14.25" customHeight="1" x14ac:dyDescent="0.55000000000000004">
      <c r="B833" s="123"/>
      <c r="I833" s="123"/>
      <c r="J833" s="123"/>
      <c r="K833" s="123"/>
    </row>
    <row r="834" spans="2:11" ht="14.25" customHeight="1" x14ac:dyDescent="0.55000000000000004">
      <c r="B834" s="123"/>
      <c r="I834" s="123"/>
      <c r="J834" s="123"/>
      <c r="K834" s="123"/>
    </row>
    <row r="835" spans="2:11" ht="14.25" customHeight="1" x14ac:dyDescent="0.55000000000000004">
      <c r="B835" s="123"/>
      <c r="I835" s="123"/>
      <c r="J835" s="123"/>
      <c r="K835" s="123"/>
    </row>
    <row r="836" spans="2:11" ht="14.25" customHeight="1" x14ac:dyDescent="0.55000000000000004">
      <c r="B836" s="123"/>
      <c r="I836" s="123"/>
      <c r="J836" s="123"/>
      <c r="K836" s="123"/>
    </row>
    <row r="837" spans="2:11" ht="14.25" customHeight="1" x14ac:dyDescent="0.55000000000000004">
      <c r="B837" s="123"/>
      <c r="I837" s="123"/>
      <c r="J837" s="123"/>
      <c r="K837" s="123"/>
    </row>
    <row r="838" spans="2:11" ht="14.25" customHeight="1" x14ac:dyDescent="0.55000000000000004">
      <c r="B838" s="123"/>
      <c r="I838" s="123"/>
      <c r="J838" s="123"/>
      <c r="K838" s="123"/>
    </row>
    <row r="839" spans="2:11" ht="14.25" customHeight="1" x14ac:dyDescent="0.55000000000000004">
      <c r="B839" s="123"/>
      <c r="I839" s="123"/>
      <c r="J839" s="123"/>
      <c r="K839" s="123"/>
    </row>
    <row r="840" spans="2:11" ht="14.25" customHeight="1" x14ac:dyDescent="0.55000000000000004">
      <c r="B840" s="123"/>
      <c r="I840" s="123"/>
      <c r="J840" s="123"/>
      <c r="K840" s="123"/>
    </row>
    <row r="841" spans="2:11" ht="14.25" customHeight="1" x14ac:dyDescent="0.55000000000000004">
      <c r="B841" s="123"/>
      <c r="I841" s="123"/>
      <c r="J841" s="123"/>
      <c r="K841" s="123"/>
    </row>
    <row r="842" spans="2:11" ht="14.25" customHeight="1" x14ac:dyDescent="0.55000000000000004">
      <c r="B842" s="123"/>
      <c r="I842" s="123"/>
      <c r="J842" s="123"/>
      <c r="K842" s="123"/>
    </row>
    <row r="843" spans="2:11" ht="14.25" customHeight="1" x14ac:dyDescent="0.55000000000000004">
      <c r="B843" s="123"/>
      <c r="I843" s="123"/>
      <c r="J843" s="123"/>
      <c r="K843" s="123"/>
    </row>
    <row r="844" spans="2:11" ht="14.25" customHeight="1" x14ac:dyDescent="0.55000000000000004">
      <c r="B844" s="123"/>
      <c r="I844" s="123"/>
      <c r="J844" s="123"/>
      <c r="K844" s="123"/>
    </row>
    <row r="845" spans="2:11" ht="14.25" customHeight="1" x14ac:dyDescent="0.55000000000000004">
      <c r="B845" s="123"/>
      <c r="I845" s="123"/>
      <c r="J845" s="123"/>
      <c r="K845" s="123"/>
    </row>
    <row r="846" spans="2:11" ht="14.25" customHeight="1" x14ac:dyDescent="0.55000000000000004">
      <c r="B846" s="123"/>
      <c r="I846" s="123"/>
      <c r="J846" s="123"/>
      <c r="K846" s="123"/>
    </row>
    <row r="847" spans="2:11" ht="14.25" customHeight="1" x14ac:dyDescent="0.55000000000000004">
      <c r="B847" s="123"/>
      <c r="I847" s="123"/>
      <c r="J847" s="123"/>
      <c r="K847" s="123"/>
    </row>
    <row r="848" spans="2:11" ht="14.25" customHeight="1" x14ac:dyDescent="0.55000000000000004">
      <c r="B848" s="123"/>
      <c r="I848" s="123"/>
      <c r="J848" s="123"/>
      <c r="K848" s="123"/>
    </row>
    <row r="849" spans="2:11" ht="14.25" customHeight="1" x14ac:dyDescent="0.55000000000000004">
      <c r="B849" s="123"/>
      <c r="I849" s="123"/>
      <c r="J849" s="123"/>
      <c r="K849" s="123"/>
    </row>
    <row r="850" spans="2:11" ht="14.25" customHeight="1" x14ac:dyDescent="0.55000000000000004">
      <c r="B850" s="123"/>
      <c r="I850" s="123"/>
      <c r="J850" s="123"/>
      <c r="K850" s="123"/>
    </row>
    <row r="851" spans="2:11" ht="14.25" customHeight="1" x14ac:dyDescent="0.55000000000000004">
      <c r="B851" s="123"/>
      <c r="I851" s="123"/>
      <c r="J851" s="123"/>
      <c r="K851" s="123"/>
    </row>
    <row r="852" spans="2:11" ht="14.25" customHeight="1" x14ac:dyDescent="0.55000000000000004">
      <c r="B852" s="123"/>
      <c r="I852" s="123"/>
      <c r="J852" s="123"/>
      <c r="K852" s="123"/>
    </row>
    <row r="853" spans="2:11" ht="14.25" customHeight="1" x14ac:dyDescent="0.55000000000000004">
      <c r="B853" s="123"/>
      <c r="I853" s="123"/>
      <c r="J853" s="123"/>
      <c r="K853" s="123"/>
    </row>
    <row r="854" spans="2:11" ht="14.25" customHeight="1" x14ac:dyDescent="0.55000000000000004">
      <c r="B854" s="123"/>
      <c r="I854" s="123"/>
      <c r="J854" s="123"/>
      <c r="K854" s="123"/>
    </row>
    <row r="855" spans="2:11" ht="14.25" customHeight="1" x14ac:dyDescent="0.55000000000000004">
      <c r="B855" s="123"/>
      <c r="I855" s="123"/>
      <c r="J855" s="123"/>
      <c r="K855" s="123"/>
    </row>
    <row r="856" spans="2:11" ht="14.25" customHeight="1" x14ac:dyDescent="0.55000000000000004">
      <c r="B856" s="123"/>
      <c r="I856" s="123"/>
      <c r="J856" s="123"/>
      <c r="K856" s="123"/>
    </row>
    <row r="857" spans="2:11" ht="14.25" customHeight="1" x14ac:dyDescent="0.55000000000000004">
      <c r="B857" s="123"/>
      <c r="I857" s="123"/>
      <c r="J857" s="123"/>
      <c r="K857" s="123"/>
    </row>
    <row r="858" spans="2:11" ht="14.25" customHeight="1" x14ac:dyDescent="0.55000000000000004">
      <c r="B858" s="123"/>
      <c r="I858" s="123"/>
      <c r="J858" s="123"/>
      <c r="K858" s="123"/>
    </row>
    <row r="859" spans="2:11" ht="14.25" customHeight="1" x14ac:dyDescent="0.55000000000000004">
      <c r="B859" s="123"/>
      <c r="I859" s="123"/>
      <c r="J859" s="123"/>
      <c r="K859" s="123"/>
    </row>
    <row r="860" spans="2:11" ht="14.25" customHeight="1" x14ac:dyDescent="0.55000000000000004">
      <c r="B860" s="123"/>
      <c r="I860" s="123"/>
      <c r="J860" s="123"/>
      <c r="K860" s="123"/>
    </row>
    <row r="861" spans="2:11" ht="14.25" customHeight="1" x14ac:dyDescent="0.55000000000000004">
      <c r="B861" s="123"/>
      <c r="I861" s="123"/>
      <c r="J861" s="123"/>
      <c r="K861" s="123"/>
    </row>
    <row r="862" spans="2:11" ht="14.25" customHeight="1" x14ac:dyDescent="0.55000000000000004">
      <c r="B862" s="123"/>
      <c r="I862" s="123"/>
      <c r="J862" s="123"/>
      <c r="K862" s="123"/>
    </row>
    <row r="863" spans="2:11" ht="14.25" customHeight="1" x14ac:dyDescent="0.55000000000000004">
      <c r="B863" s="123"/>
      <c r="I863" s="123"/>
      <c r="J863" s="123"/>
      <c r="K863" s="123"/>
    </row>
    <row r="864" spans="2:11" ht="14.25" customHeight="1" x14ac:dyDescent="0.55000000000000004">
      <c r="B864" s="123"/>
      <c r="I864" s="123"/>
      <c r="J864" s="123"/>
      <c r="K864" s="123"/>
    </row>
    <row r="865" spans="2:11" ht="14.25" customHeight="1" x14ac:dyDescent="0.55000000000000004">
      <c r="B865" s="123"/>
      <c r="I865" s="123"/>
      <c r="J865" s="123"/>
      <c r="K865" s="123"/>
    </row>
    <row r="866" spans="2:11" ht="14.25" customHeight="1" x14ac:dyDescent="0.55000000000000004">
      <c r="B866" s="123"/>
      <c r="I866" s="123"/>
      <c r="J866" s="123"/>
      <c r="K866" s="123"/>
    </row>
    <row r="867" spans="2:11" ht="14.25" customHeight="1" x14ac:dyDescent="0.55000000000000004">
      <c r="B867" s="123"/>
      <c r="I867" s="123"/>
      <c r="J867" s="123"/>
      <c r="K867" s="123"/>
    </row>
    <row r="868" spans="2:11" ht="14.25" customHeight="1" x14ac:dyDescent="0.55000000000000004">
      <c r="B868" s="123"/>
      <c r="I868" s="123"/>
      <c r="J868" s="123"/>
      <c r="K868" s="123"/>
    </row>
    <row r="869" spans="2:11" ht="14.25" customHeight="1" x14ac:dyDescent="0.55000000000000004">
      <c r="B869" s="123"/>
      <c r="I869" s="123"/>
      <c r="J869" s="123"/>
      <c r="K869" s="123"/>
    </row>
    <row r="870" spans="2:11" ht="14.25" customHeight="1" x14ac:dyDescent="0.55000000000000004">
      <c r="B870" s="123"/>
      <c r="I870" s="123"/>
      <c r="J870" s="123"/>
      <c r="K870" s="123"/>
    </row>
    <row r="871" spans="2:11" ht="14.25" customHeight="1" x14ac:dyDescent="0.55000000000000004">
      <c r="B871" s="123"/>
      <c r="I871" s="123"/>
      <c r="J871" s="123"/>
      <c r="K871" s="123"/>
    </row>
    <row r="872" spans="2:11" ht="14.25" customHeight="1" x14ac:dyDescent="0.55000000000000004">
      <c r="B872" s="123"/>
      <c r="I872" s="123"/>
      <c r="J872" s="123"/>
      <c r="K872" s="123"/>
    </row>
    <row r="873" spans="2:11" ht="14.25" customHeight="1" x14ac:dyDescent="0.55000000000000004">
      <c r="B873" s="123"/>
      <c r="I873" s="123"/>
      <c r="J873" s="123"/>
      <c r="K873" s="123"/>
    </row>
    <row r="874" spans="2:11" ht="14.25" customHeight="1" x14ac:dyDescent="0.55000000000000004">
      <c r="B874" s="123"/>
      <c r="I874" s="123"/>
      <c r="J874" s="123"/>
      <c r="K874" s="123"/>
    </row>
    <row r="875" spans="2:11" ht="14.25" customHeight="1" x14ac:dyDescent="0.55000000000000004">
      <c r="B875" s="123"/>
      <c r="I875" s="123"/>
      <c r="J875" s="123"/>
      <c r="K875" s="123"/>
    </row>
    <row r="876" spans="2:11" ht="14.25" customHeight="1" x14ac:dyDescent="0.55000000000000004">
      <c r="B876" s="123"/>
      <c r="I876" s="123"/>
      <c r="J876" s="123"/>
      <c r="K876" s="123"/>
    </row>
    <row r="877" spans="2:11" ht="14.25" customHeight="1" x14ac:dyDescent="0.55000000000000004">
      <c r="B877" s="123"/>
      <c r="I877" s="123"/>
      <c r="J877" s="123"/>
      <c r="K877" s="123"/>
    </row>
    <row r="878" spans="2:11" ht="14.25" customHeight="1" x14ac:dyDescent="0.55000000000000004">
      <c r="B878" s="123"/>
      <c r="I878" s="123"/>
      <c r="J878" s="123"/>
      <c r="K878" s="123"/>
    </row>
    <row r="879" spans="2:11" ht="14.25" customHeight="1" x14ac:dyDescent="0.55000000000000004">
      <c r="B879" s="123"/>
      <c r="I879" s="123"/>
      <c r="J879" s="123"/>
      <c r="K879" s="123"/>
    </row>
    <row r="880" spans="2:11" ht="14.25" customHeight="1" x14ac:dyDescent="0.55000000000000004">
      <c r="B880" s="123"/>
      <c r="I880" s="123"/>
      <c r="J880" s="123"/>
      <c r="K880" s="123"/>
    </row>
    <row r="881" spans="2:11" ht="14.25" customHeight="1" x14ac:dyDescent="0.55000000000000004">
      <c r="B881" s="123"/>
      <c r="I881" s="123"/>
      <c r="J881" s="123"/>
      <c r="K881" s="123"/>
    </row>
    <row r="882" spans="2:11" ht="14.25" customHeight="1" x14ac:dyDescent="0.55000000000000004">
      <c r="B882" s="123"/>
      <c r="I882" s="123"/>
      <c r="J882" s="123"/>
      <c r="K882" s="123"/>
    </row>
    <row r="883" spans="2:11" ht="14.25" customHeight="1" x14ac:dyDescent="0.55000000000000004">
      <c r="B883" s="123"/>
      <c r="I883" s="123"/>
      <c r="J883" s="123"/>
      <c r="K883" s="123"/>
    </row>
    <row r="884" spans="2:11" ht="14.25" customHeight="1" x14ac:dyDescent="0.55000000000000004">
      <c r="B884" s="123"/>
      <c r="I884" s="123"/>
      <c r="J884" s="123"/>
      <c r="K884" s="123"/>
    </row>
    <row r="885" spans="2:11" ht="14.25" customHeight="1" x14ac:dyDescent="0.55000000000000004">
      <c r="B885" s="123"/>
      <c r="I885" s="123"/>
      <c r="J885" s="123"/>
      <c r="K885" s="123"/>
    </row>
    <row r="886" spans="2:11" ht="14.25" customHeight="1" x14ac:dyDescent="0.55000000000000004">
      <c r="B886" s="123"/>
      <c r="I886" s="123"/>
      <c r="J886" s="123"/>
      <c r="K886" s="123"/>
    </row>
    <row r="887" spans="2:11" ht="14.25" customHeight="1" x14ac:dyDescent="0.55000000000000004">
      <c r="B887" s="123"/>
      <c r="I887" s="123"/>
      <c r="J887" s="123"/>
      <c r="K887" s="123"/>
    </row>
    <row r="888" spans="2:11" ht="14.25" customHeight="1" x14ac:dyDescent="0.55000000000000004">
      <c r="B888" s="123"/>
      <c r="I888" s="123"/>
      <c r="J888" s="123"/>
      <c r="K888" s="123"/>
    </row>
    <row r="889" spans="2:11" ht="14.25" customHeight="1" x14ac:dyDescent="0.55000000000000004">
      <c r="B889" s="123"/>
      <c r="I889" s="123"/>
      <c r="J889" s="123"/>
      <c r="K889" s="123"/>
    </row>
    <row r="890" spans="2:11" ht="14.25" customHeight="1" x14ac:dyDescent="0.55000000000000004">
      <c r="B890" s="123"/>
      <c r="I890" s="123"/>
      <c r="J890" s="123"/>
      <c r="K890" s="123"/>
    </row>
    <row r="891" spans="2:11" ht="14.25" customHeight="1" x14ac:dyDescent="0.55000000000000004">
      <c r="B891" s="123"/>
      <c r="I891" s="123"/>
      <c r="J891" s="123"/>
      <c r="K891" s="123"/>
    </row>
    <row r="892" spans="2:11" ht="14.25" customHeight="1" x14ac:dyDescent="0.55000000000000004">
      <c r="B892" s="123"/>
      <c r="I892" s="123"/>
      <c r="J892" s="123"/>
      <c r="K892" s="123"/>
    </row>
    <row r="893" spans="2:11" ht="14.25" customHeight="1" x14ac:dyDescent="0.55000000000000004">
      <c r="B893" s="123"/>
      <c r="I893" s="123"/>
      <c r="J893" s="123"/>
      <c r="K893" s="123"/>
    </row>
    <row r="894" spans="2:11" ht="14.25" customHeight="1" x14ac:dyDescent="0.55000000000000004">
      <c r="B894" s="123"/>
      <c r="I894" s="123"/>
      <c r="J894" s="123"/>
      <c r="K894" s="123"/>
    </row>
    <row r="895" spans="2:11" ht="14.25" customHeight="1" x14ac:dyDescent="0.55000000000000004">
      <c r="B895" s="123"/>
      <c r="I895" s="123"/>
      <c r="J895" s="123"/>
      <c r="K895" s="123"/>
    </row>
    <row r="896" spans="2:11" ht="14.25" customHeight="1" x14ac:dyDescent="0.55000000000000004">
      <c r="B896" s="123"/>
      <c r="I896" s="123"/>
      <c r="J896" s="123"/>
      <c r="K896" s="123"/>
    </row>
    <row r="897" spans="2:11" ht="14.25" customHeight="1" x14ac:dyDescent="0.55000000000000004">
      <c r="B897" s="123"/>
      <c r="I897" s="123"/>
      <c r="J897" s="123"/>
      <c r="K897" s="123"/>
    </row>
    <row r="898" spans="2:11" ht="14.25" customHeight="1" x14ac:dyDescent="0.55000000000000004">
      <c r="B898" s="123"/>
      <c r="I898" s="123"/>
      <c r="J898" s="123"/>
      <c r="K898" s="123"/>
    </row>
    <row r="899" spans="2:11" ht="14.25" customHeight="1" x14ac:dyDescent="0.55000000000000004">
      <c r="B899" s="123"/>
      <c r="I899" s="123"/>
      <c r="J899" s="123"/>
      <c r="K899" s="123"/>
    </row>
    <row r="900" spans="2:11" ht="14.25" customHeight="1" x14ac:dyDescent="0.55000000000000004">
      <c r="B900" s="123"/>
      <c r="I900" s="123"/>
      <c r="J900" s="123"/>
      <c r="K900" s="123"/>
    </row>
    <row r="901" spans="2:11" ht="14.25" customHeight="1" x14ac:dyDescent="0.55000000000000004">
      <c r="B901" s="123"/>
      <c r="I901" s="123"/>
      <c r="J901" s="123"/>
      <c r="K901" s="123"/>
    </row>
    <row r="902" spans="2:11" ht="14.25" customHeight="1" x14ac:dyDescent="0.55000000000000004">
      <c r="B902" s="123"/>
      <c r="I902" s="123"/>
      <c r="J902" s="123"/>
      <c r="K902" s="123"/>
    </row>
    <row r="903" spans="2:11" ht="14.25" customHeight="1" x14ac:dyDescent="0.55000000000000004">
      <c r="B903" s="123"/>
      <c r="I903" s="123"/>
      <c r="J903" s="123"/>
      <c r="K903" s="123"/>
    </row>
    <row r="904" spans="2:11" ht="14.25" customHeight="1" x14ac:dyDescent="0.55000000000000004">
      <c r="B904" s="123"/>
      <c r="I904" s="123"/>
      <c r="J904" s="123"/>
      <c r="K904" s="123"/>
    </row>
    <row r="905" spans="2:11" ht="14.25" customHeight="1" x14ac:dyDescent="0.55000000000000004">
      <c r="B905" s="123"/>
      <c r="I905" s="123"/>
      <c r="J905" s="123"/>
      <c r="K905" s="123"/>
    </row>
    <row r="906" spans="2:11" ht="14.25" customHeight="1" x14ac:dyDescent="0.55000000000000004">
      <c r="B906" s="123"/>
      <c r="I906" s="123"/>
      <c r="J906" s="123"/>
      <c r="K906" s="123"/>
    </row>
    <row r="907" spans="2:11" ht="14.25" customHeight="1" x14ac:dyDescent="0.55000000000000004">
      <c r="B907" s="123"/>
      <c r="I907" s="123"/>
      <c r="J907" s="123"/>
      <c r="K907" s="123"/>
    </row>
    <row r="908" spans="2:11" ht="14.25" customHeight="1" x14ac:dyDescent="0.55000000000000004">
      <c r="B908" s="123"/>
      <c r="I908" s="123"/>
      <c r="J908" s="123"/>
      <c r="K908" s="123"/>
    </row>
    <row r="909" spans="2:11" ht="14.25" customHeight="1" x14ac:dyDescent="0.55000000000000004">
      <c r="B909" s="123"/>
      <c r="I909" s="123"/>
      <c r="J909" s="123"/>
      <c r="K909" s="123"/>
    </row>
    <row r="910" spans="2:11" ht="14.25" customHeight="1" x14ac:dyDescent="0.55000000000000004">
      <c r="B910" s="123"/>
      <c r="I910" s="123"/>
      <c r="J910" s="123"/>
      <c r="K910" s="123"/>
    </row>
    <row r="911" spans="2:11" ht="14.25" customHeight="1" x14ac:dyDescent="0.55000000000000004">
      <c r="B911" s="123"/>
      <c r="I911" s="123"/>
      <c r="J911" s="123"/>
      <c r="K911" s="123"/>
    </row>
    <row r="912" spans="2:11" ht="14.25" customHeight="1" x14ac:dyDescent="0.55000000000000004">
      <c r="B912" s="123"/>
      <c r="I912" s="123"/>
      <c r="J912" s="123"/>
      <c r="K912" s="123"/>
    </row>
    <row r="913" spans="2:11" ht="14.25" customHeight="1" x14ac:dyDescent="0.55000000000000004">
      <c r="B913" s="123"/>
      <c r="I913" s="123"/>
      <c r="J913" s="123"/>
      <c r="K913" s="123"/>
    </row>
    <row r="914" spans="2:11" ht="14.25" customHeight="1" x14ac:dyDescent="0.55000000000000004">
      <c r="B914" s="123"/>
      <c r="I914" s="123"/>
      <c r="J914" s="123"/>
      <c r="K914" s="123"/>
    </row>
    <row r="915" spans="2:11" ht="14.25" customHeight="1" x14ac:dyDescent="0.55000000000000004">
      <c r="B915" s="123"/>
      <c r="I915" s="123"/>
      <c r="J915" s="123"/>
      <c r="K915" s="123"/>
    </row>
    <row r="916" spans="2:11" ht="14.25" customHeight="1" x14ac:dyDescent="0.55000000000000004">
      <c r="B916" s="123"/>
      <c r="I916" s="123"/>
      <c r="J916" s="123"/>
      <c r="K916" s="123"/>
    </row>
    <row r="917" spans="2:11" ht="14.25" customHeight="1" x14ac:dyDescent="0.55000000000000004">
      <c r="B917" s="123"/>
      <c r="I917" s="123"/>
      <c r="J917" s="123"/>
      <c r="K917" s="123"/>
    </row>
    <row r="918" spans="2:11" ht="14.25" customHeight="1" x14ac:dyDescent="0.55000000000000004">
      <c r="B918" s="123"/>
      <c r="I918" s="123"/>
      <c r="J918" s="123"/>
      <c r="K918" s="123"/>
    </row>
    <row r="919" spans="2:11" ht="14.25" customHeight="1" x14ac:dyDescent="0.55000000000000004">
      <c r="B919" s="123"/>
      <c r="I919" s="123"/>
      <c r="J919" s="123"/>
      <c r="K919" s="123"/>
    </row>
    <row r="920" spans="2:11" ht="14.25" customHeight="1" x14ac:dyDescent="0.55000000000000004">
      <c r="B920" s="123"/>
      <c r="I920" s="123"/>
      <c r="J920" s="123"/>
      <c r="K920" s="123"/>
    </row>
    <row r="921" spans="2:11" ht="14.25" customHeight="1" x14ac:dyDescent="0.55000000000000004">
      <c r="B921" s="123"/>
      <c r="I921" s="123"/>
      <c r="J921" s="123"/>
      <c r="K921" s="123"/>
    </row>
    <row r="922" spans="2:11" ht="14.25" customHeight="1" x14ac:dyDescent="0.55000000000000004">
      <c r="B922" s="123"/>
      <c r="I922" s="123"/>
      <c r="J922" s="123"/>
      <c r="K922" s="123"/>
    </row>
    <row r="923" spans="2:11" ht="14.25" customHeight="1" x14ac:dyDescent="0.55000000000000004">
      <c r="B923" s="123"/>
      <c r="I923" s="123"/>
      <c r="J923" s="123"/>
      <c r="K923" s="123"/>
    </row>
    <row r="924" spans="2:11" ht="14.25" customHeight="1" x14ac:dyDescent="0.55000000000000004">
      <c r="B924" s="123"/>
      <c r="I924" s="123"/>
      <c r="J924" s="123"/>
      <c r="K924" s="123"/>
    </row>
    <row r="925" spans="2:11" ht="14.25" customHeight="1" x14ac:dyDescent="0.55000000000000004">
      <c r="B925" s="123"/>
      <c r="I925" s="123"/>
      <c r="J925" s="123"/>
      <c r="K925" s="123"/>
    </row>
    <row r="926" spans="2:11" ht="14.25" customHeight="1" x14ac:dyDescent="0.55000000000000004">
      <c r="B926" s="123"/>
      <c r="I926" s="123"/>
      <c r="J926" s="123"/>
      <c r="K926" s="123"/>
    </row>
    <row r="927" spans="2:11" ht="14.25" customHeight="1" x14ac:dyDescent="0.55000000000000004">
      <c r="B927" s="123"/>
      <c r="I927" s="123"/>
      <c r="J927" s="123"/>
      <c r="K927" s="123"/>
    </row>
    <row r="928" spans="2:11" ht="14.25" customHeight="1" x14ac:dyDescent="0.55000000000000004">
      <c r="B928" s="123"/>
      <c r="I928" s="123"/>
      <c r="J928" s="123"/>
      <c r="K928" s="123"/>
    </row>
    <row r="929" spans="2:11" ht="14.25" customHeight="1" x14ac:dyDescent="0.55000000000000004">
      <c r="B929" s="123"/>
      <c r="I929" s="123"/>
      <c r="J929" s="123"/>
      <c r="K929" s="123"/>
    </row>
    <row r="930" spans="2:11" ht="14.25" customHeight="1" x14ac:dyDescent="0.55000000000000004">
      <c r="B930" s="123"/>
      <c r="I930" s="123"/>
      <c r="J930" s="123"/>
      <c r="K930" s="123"/>
    </row>
    <row r="931" spans="2:11" ht="14.25" customHeight="1" x14ac:dyDescent="0.55000000000000004">
      <c r="B931" s="123"/>
      <c r="I931" s="123"/>
      <c r="J931" s="123"/>
      <c r="K931" s="123"/>
    </row>
    <row r="932" spans="2:11" ht="14.25" customHeight="1" x14ac:dyDescent="0.55000000000000004">
      <c r="B932" s="123"/>
      <c r="I932" s="123"/>
      <c r="J932" s="123"/>
      <c r="K932" s="123"/>
    </row>
    <row r="933" spans="2:11" ht="14.25" customHeight="1" x14ac:dyDescent="0.55000000000000004">
      <c r="B933" s="123"/>
      <c r="I933" s="123"/>
      <c r="J933" s="123"/>
      <c r="K933" s="123"/>
    </row>
    <row r="934" spans="2:11" ht="14.25" customHeight="1" x14ac:dyDescent="0.55000000000000004">
      <c r="B934" s="123"/>
      <c r="I934" s="123"/>
      <c r="J934" s="123"/>
      <c r="K934" s="123"/>
    </row>
    <row r="935" spans="2:11" ht="14.25" customHeight="1" x14ac:dyDescent="0.55000000000000004">
      <c r="B935" s="123"/>
      <c r="I935" s="123"/>
      <c r="J935" s="123"/>
      <c r="K935" s="123"/>
    </row>
    <row r="936" spans="2:11" ht="14.25" customHeight="1" x14ac:dyDescent="0.55000000000000004">
      <c r="B936" s="123"/>
      <c r="I936" s="123"/>
      <c r="J936" s="123"/>
      <c r="K936" s="123"/>
    </row>
    <row r="937" spans="2:11" ht="14.25" customHeight="1" x14ac:dyDescent="0.55000000000000004">
      <c r="B937" s="123"/>
      <c r="I937" s="123"/>
      <c r="J937" s="123"/>
      <c r="K937" s="123"/>
    </row>
    <row r="938" spans="2:11" ht="14.25" customHeight="1" x14ac:dyDescent="0.55000000000000004">
      <c r="B938" s="123"/>
      <c r="I938" s="123"/>
      <c r="J938" s="123"/>
      <c r="K938" s="123"/>
    </row>
    <row r="939" spans="2:11" ht="14.25" customHeight="1" x14ac:dyDescent="0.55000000000000004">
      <c r="B939" s="123"/>
      <c r="I939" s="123"/>
      <c r="J939" s="123"/>
      <c r="K939" s="123"/>
    </row>
    <row r="940" spans="2:11" ht="14.25" customHeight="1" x14ac:dyDescent="0.55000000000000004">
      <c r="B940" s="123"/>
      <c r="I940" s="123"/>
      <c r="J940" s="123"/>
      <c r="K940" s="123"/>
    </row>
    <row r="941" spans="2:11" ht="14.25" customHeight="1" x14ac:dyDescent="0.55000000000000004">
      <c r="B941" s="123"/>
      <c r="I941" s="123"/>
      <c r="J941" s="123"/>
      <c r="K941" s="123"/>
    </row>
    <row r="942" spans="2:11" ht="14.25" customHeight="1" x14ac:dyDescent="0.55000000000000004">
      <c r="B942" s="123"/>
      <c r="I942" s="123"/>
      <c r="J942" s="123"/>
      <c r="K942" s="123"/>
    </row>
    <row r="943" spans="2:11" ht="14.25" customHeight="1" x14ac:dyDescent="0.55000000000000004">
      <c r="B943" s="123"/>
      <c r="I943" s="123"/>
      <c r="J943" s="123"/>
      <c r="K943" s="123"/>
    </row>
    <row r="944" spans="2:11" ht="14.25" customHeight="1" x14ac:dyDescent="0.55000000000000004">
      <c r="B944" s="123"/>
      <c r="I944" s="123"/>
      <c r="J944" s="123"/>
      <c r="K944" s="123"/>
    </row>
    <row r="945" spans="2:11" ht="14.25" customHeight="1" x14ac:dyDescent="0.55000000000000004">
      <c r="B945" s="123"/>
      <c r="I945" s="123"/>
      <c r="J945" s="123"/>
      <c r="K945" s="123"/>
    </row>
    <row r="946" spans="2:11" ht="14.25" customHeight="1" x14ac:dyDescent="0.55000000000000004">
      <c r="B946" s="123"/>
      <c r="I946" s="123"/>
      <c r="J946" s="123"/>
      <c r="K946" s="123"/>
    </row>
    <row r="947" spans="2:11" ht="14.25" customHeight="1" x14ac:dyDescent="0.55000000000000004">
      <c r="B947" s="123"/>
      <c r="I947" s="123"/>
      <c r="J947" s="123"/>
      <c r="K947" s="123"/>
    </row>
    <row r="948" spans="2:11" ht="14.25" customHeight="1" x14ac:dyDescent="0.55000000000000004">
      <c r="B948" s="123"/>
      <c r="I948" s="123"/>
      <c r="J948" s="123"/>
      <c r="K948" s="123"/>
    </row>
    <row r="949" spans="2:11" ht="14.25" customHeight="1" x14ac:dyDescent="0.55000000000000004">
      <c r="B949" s="123"/>
      <c r="I949" s="123"/>
      <c r="J949" s="123"/>
      <c r="K949" s="123"/>
    </row>
    <row r="950" spans="2:11" ht="14.25" customHeight="1" x14ac:dyDescent="0.55000000000000004">
      <c r="B950" s="123"/>
      <c r="I950" s="123"/>
      <c r="J950" s="123"/>
      <c r="K950" s="123"/>
    </row>
    <row r="951" spans="2:11" ht="14.25" customHeight="1" x14ac:dyDescent="0.55000000000000004">
      <c r="B951" s="123"/>
      <c r="I951" s="123"/>
      <c r="J951" s="123"/>
      <c r="K951" s="123"/>
    </row>
    <row r="952" spans="2:11" ht="14.25" customHeight="1" x14ac:dyDescent="0.55000000000000004">
      <c r="B952" s="123"/>
      <c r="I952" s="123"/>
      <c r="J952" s="123"/>
      <c r="K952" s="123"/>
    </row>
    <row r="953" spans="2:11" ht="14.25" customHeight="1" x14ac:dyDescent="0.55000000000000004">
      <c r="B953" s="123"/>
      <c r="I953" s="123"/>
      <c r="J953" s="123"/>
      <c r="K953" s="123"/>
    </row>
    <row r="954" spans="2:11" ht="14.25" customHeight="1" x14ac:dyDescent="0.55000000000000004">
      <c r="B954" s="123"/>
      <c r="I954" s="123"/>
      <c r="J954" s="123"/>
      <c r="K954" s="123"/>
    </row>
    <row r="955" spans="2:11" ht="14.25" customHeight="1" x14ac:dyDescent="0.55000000000000004">
      <c r="B955" s="123"/>
      <c r="I955" s="123"/>
      <c r="J955" s="123"/>
      <c r="K955" s="123"/>
    </row>
    <row r="956" spans="2:11" ht="14.25" customHeight="1" x14ac:dyDescent="0.55000000000000004">
      <c r="B956" s="123"/>
      <c r="I956" s="123"/>
      <c r="J956" s="123"/>
      <c r="K956" s="123"/>
    </row>
    <row r="957" spans="2:11" ht="14.25" customHeight="1" x14ac:dyDescent="0.55000000000000004">
      <c r="B957" s="123"/>
      <c r="I957" s="123"/>
      <c r="J957" s="123"/>
      <c r="K957" s="123"/>
    </row>
    <row r="958" spans="2:11" ht="14.25" customHeight="1" x14ac:dyDescent="0.55000000000000004">
      <c r="B958" s="123"/>
      <c r="I958" s="123"/>
      <c r="J958" s="123"/>
      <c r="K958" s="123"/>
    </row>
    <row r="959" spans="2:11" ht="14.25" customHeight="1" x14ac:dyDescent="0.55000000000000004">
      <c r="B959" s="123"/>
      <c r="I959" s="123"/>
      <c r="J959" s="123"/>
      <c r="K959" s="123"/>
    </row>
    <row r="960" spans="2:11" ht="14.25" customHeight="1" x14ac:dyDescent="0.55000000000000004">
      <c r="B960" s="123"/>
      <c r="I960" s="123"/>
      <c r="J960" s="123"/>
      <c r="K960" s="123"/>
    </row>
    <row r="961" spans="2:11" ht="14.25" customHeight="1" x14ac:dyDescent="0.55000000000000004">
      <c r="B961" s="123"/>
      <c r="I961" s="123"/>
      <c r="J961" s="123"/>
      <c r="K961" s="123"/>
    </row>
    <row r="962" spans="2:11" ht="14.25" customHeight="1" x14ac:dyDescent="0.55000000000000004">
      <c r="B962" s="123"/>
      <c r="I962" s="123"/>
      <c r="J962" s="123"/>
      <c r="K962" s="123"/>
    </row>
    <row r="963" spans="2:11" ht="14.25" customHeight="1" x14ac:dyDescent="0.55000000000000004">
      <c r="B963" s="123"/>
      <c r="I963" s="123"/>
      <c r="J963" s="123"/>
      <c r="K963" s="123"/>
    </row>
    <row r="964" spans="2:11" ht="14.25" customHeight="1" x14ac:dyDescent="0.55000000000000004">
      <c r="B964" s="123"/>
      <c r="I964" s="123"/>
      <c r="J964" s="123"/>
      <c r="K964" s="123"/>
    </row>
    <row r="965" spans="2:11" ht="14.25" customHeight="1" x14ac:dyDescent="0.55000000000000004">
      <c r="B965" s="123"/>
      <c r="I965" s="123"/>
      <c r="J965" s="123"/>
      <c r="K965" s="123"/>
    </row>
    <row r="966" spans="2:11" ht="14.25" customHeight="1" x14ac:dyDescent="0.55000000000000004">
      <c r="B966" s="123"/>
      <c r="I966" s="123"/>
      <c r="J966" s="123"/>
      <c r="K966" s="123"/>
    </row>
    <row r="967" spans="2:11" ht="14.25" customHeight="1" x14ac:dyDescent="0.55000000000000004">
      <c r="B967" s="123"/>
      <c r="I967" s="123"/>
      <c r="J967" s="123"/>
      <c r="K967" s="123"/>
    </row>
    <row r="968" spans="2:11" ht="14.25" customHeight="1" x14ac:dyDescent="0.55000000000000004">
      <c r="B968" s="123"/>
      <c r="I968" s="123"/>
      <c r="J968" s="123"/>
      <c r="K968" s="123"/>
    </row>
    <row r="969" spans="2:11" ht="14.25" customHeight="1" x14ac:dyDescent="0.55000000000000004">
      <c r="B969" s="123"/>
      <c r="I969" s="123"/>
      <c r="J969" s="123"/>
      <c r="K969" s="123"/>
    </row>
    <row r="970" spans="2:11" ht="14.25" customHeight="1" x14ac:dyDescent="0.55000000000000004">
      <c r="B970" s="123"/>
      <c r="I970" s="123"/>
      <c r="J970" s="123"/>
      <c r="K970" s="123"/>
    </row>
    <row r="971" spans="2:11" ht="14.25" customHeight="1" x14ac:dyDescent="0.55000000000000004">
      <c r="B971" s="123"/>
      <c r="I971" s="123"/>
      <c r="J971" s="123"/>
      <c r="K971" s="123"/>
    </row>
    <row r="972" spans="2:11" ht="14.25" customHeight="1" x14ac:dyDescent="0.55000000000000004">
      <c r="B972" s="123"/>
      <c r="I972" s="123"/>
      <c r="J972" s="123"/>
      <c r="K972" s="123"/>
    </row>
    <row r="973" spans="2:11" ht="14.25" customHeight="1" x14ac:dyDescent="0.55000000000000004">
      <c r="B973" s="123"/>
      <c r="I973" s="123"/>
      <c r="J973" s="123"/>
      <c r="K973" s="123"/>
    </row>
    <row r="974" spans="2:11" ht="14.25" customHeight="1" x14ac:dyDescent="0.55000000000000004">
      <c r="B974" s="123"/>
      <c r="I974" s="123"/>
      <c r="J974" s="123"/>
      <c r="K974" s="123"/>
    </row>
  </sheetData>
  <sheetProtection sheet="1"/>
  <mergeCells count="12">
    <mergeCell ref="E4:L4"/>
    <mergeCell ref="K20:L20"/>
    <mergeCell ref="A1:AA1"/>
    <mergeCell ref="A21:AA21"/>
    <mergeCell ref="P3:R3"/>
    <mergeCell ref="S3:U3"/>
    <mergeCell ref="V3:X3"/>
    <mergeCell ref="E3:O3"/>
    <mergeCell ref="D3:D4"/>
    <mergeCell ref="Y3:Y4"/>
    <mergeCell ref="Z3:Z4"/>
    <mergeCell ref="AA3:AA4"/>
  </mergeCells>
  <pageMargins left="0.7" right="0.7" top="0.75" bottom="0.75"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M1000"/>
  <sheetViews>
    <sheetView workbookViewId="0"/>
  </sheetViews>
  <sheetFormatPr defaultColWidth="14.41796875" defaultRowHeight="15" customHeight="1" x14ac:dyDescent="0.55000000000000004"/>
  <cols>
    <col min="1" max="1" width="4.15625" customWidth="1"/>
    <col min="2" max="2" width="19.26171875" customWidth="1"/>
    <col min="3" max="3" width="28.15625" customWidth="1"/>
    <col min="4" max="4" width="9.68359375" customWidth="1"/>
    <col min="5" max="5" width="8.578125" customWidth="1"/>
    <col min="6" max="6" width="9.15625" customWidth="1"/>
    <col min="7" max="7" width="13.15625" customWidth="1"/>
    <col min="8" max="8" width="3.26171875" customWidth="1"/>
    <col min="9" max="9" width="10.26171875" customWidth="1"/>
    <col min="10" max="12" width="7.68359375" customWidth="1"/>
    <col min="13" max="13" width="9.15625" customWidth="1"/>
  </cols>
  <sheetData>
    <row r="1" spans="1:13" ht="14.25" customHeight="1" x14ac:dyDescent="0.55000000000000004">
      <c r="A1" s="6"/>
      <c r="C1" s="13" t="s">
        <v>54</v>
      </c>
      <c r="D1" s="14" t="s">
        <v>55</v>
      </c>
      <c r="E1" s="14" t="s">
        <v>55</v>
      </c>
      <c r="F1" s="6"/>
      <c r="G1" s="6"/>
      <c r="L1" s="6"/>
      <c r="M1" s="6"/>
    </row>
    <row r="2" spans="1:13" ht="32.25" customHeight="1" x14ac:dyDescent="0.55000000000000004">
      <c r="A2" s="196" t="s">
        <v>56</v>
      </c>
      <c r="B2" s="197" t="s">
        <v>57</v>
      </c>
      <c r="C2" s="197" t="s">
        <v>11</v>
      </c>
      <c r="D2" s="15" t="s">
        <v>69</v>
      </c>
      <c r="E2" s="15" t="s">
        <v>70</v>
      </c>
      <c r="F2" s="198" t="s">
        <v>58</v>
      </c>
      <c r="G2" s="198" t="s">
        <v>59</v>
      </c>
      <c r="I2" s="16"/>
      <c r="J2" s="195"/>
      <c r="K2" s="126"/>
      <c r="L2" s="127"/>
    </row>
    <row r="3" spans="1:13" ht="14.25" customHeight="1" x14ac:dyDescent="0.55000000000000004">
      <c r="A3" s="168"/>
      <c r="B3" s="168"/>
      <c r="C3" s="168"/>
      <c r="D3" s="17">
        <v>1</v>
      </c>
      <c r="E3" s="17">
        <v>1</v>
      </c>
      <c r="F3" s="168"/>
      <c r="G3" s="168"/>
      <c r="I3" s="16" t="s">
        <v>55</v>
      </c>
      <c r="J3" s="195" t="s">
        <v>60</v>
      </c>
      <c r="K3" s="126"/>
      <c r="L3" s="127"/>
    </row>
    <row r="4" spans="1:13" ht="15.75" customHeight="1" x14ac:dyDescent="0.55000000000000004">
      <c r="A4" s="18">
        <v>1</v>
      </c>
      <c r="B4" s="19" t="e">
        <f>IF(#REF!="","",#REF!)</f>
        <v>#REF!</v>
      </c>
      <c r="C4" s="19" t="e">
        <f>IF(#REF!="","",#REF!)</f>
        <v>#REF!</v>
      </c>
      <c r="D4" s="36" t="e">
        <f t="array" ref="D4">IF(#REF!="","", INDEX('SO4 Rubric'!$H$4:$ZZ$4, 1, (ROW()-4)*2+1))</f>
        <v>#REF!</v>
      </c>
      <c r="E4" s="20" t="e">
        <f t="array" ref="E4">IF(#REF!="","", INDEX('SO4 Rubric'!$H$8:$ZZ$8, 1, (ROW()-4)*2+1))</f>
        <v>#REF!</v>
      </c>
      <c r="F4" s="21" t="e">
        <f t="shared" ref="F4:F23" si="0">IF(SUMPRODUCT(--(D4:E4&lt;&gt;""))=0,"",ROUND(SUMPRODUCT($D$3:$E$3,D4:E4)/COUNTIF($D$3:$E$3,1),0))</f>
        <v>#REF!</v>
      </c>
      <c r="G4" s="20" t="e">
        <f>IF(F4=""," ",VLOOKUP(F4,'Lookup Tables'!$D$9:$E$12,2))</f>
        <v>#REF!</v>
      </c>
    </row>
    <row r="5" spans="1:13" ht="17.25" customHeight="1" x14ac:dyDescent="0.55000000000000004">
      <c r="A5" s="18">
        <v>2</v>
      </c>
      <c r="B5" s="19" t="e">
        <f>IF(#REF!="","",#REF!)</f>
        <v>#REF!</v>
      </c>
      <c r="C5" s="19" t="e">
        <f>IF(#REF!="","",#REF!)</f>
        <v>#REF!</v>
      </c>
      <c r="D5" s="36" t="e">
        <f t="array" ref="D5">IF(#REF!="","", INDEX('SO4 Rubric'!$H$4:$ZZ$4, 1, (ROW()-4)*2+1))</f>
        <v>#REF!</v>
      </c>
      <c r="E5" s="20" t="e">
        <f t="array" ref="E5">IF(#REF!="","", INDEX('SO4 Rubric'!$H$8:$ZZ$8, 1, (ROW()-4)*2+1))</f>
        <v>#REF!</v>
      </c>
      <c r="F5" s="21" t="e">
        <f t="shared" si="0"/>
        <v>#REF!</v>
      </c>
      <c r="G5" s="20" t="e">
        <f>IF(F5=""," ",VLOOKUP(F5,'Lookup Tables'!$D$9:$E$12,2))</f>
        <v>#REF!</v>
      </c>
      <c r="I5" s="22"/>
      <c r="J5" s="22"/>
      <c r="K5" s="22"/>
      <c r="L5" s="22"/>
      <c r="M5" s="22"/>
    </row>
    <row r="6" spans="1:13" ht="17.25" customHeight="1" x14ac:dyDescent="0.55000000000000004">
      <c r="A6" s="18">
        <v>3</v>
      </c>
      <c r="B6" s="19" t="e">
        <f>IF(#REF!="","",#REF!)</f>
        <v>#REF!</v>
      </c>
      <c r="C6" s="19" t="e">
        <f>IF(#REF!="","",#REF!)</f>
        <v>#REF!</v>
      </c>
      <c r="D6" s="36" t="e">
        <f t="array" ref="D6">IF(#REF!="","", INDEX('SO4 Rubric'!$H$4:$ZZ$4, 1, (ROW()-4)*2+1))</f>
        <v>#REF!</v>
      </c>
      <c r="E6" s="20" t="e">
        <f t="array" ref="E6">IF(#REF!="","", INDEX('SO4 Rubric'!$H$8:$ZZ$8, 1, (ROW()-4)*2+1))</f>
        <v>#REF!</v>
      </c>
      <c r="F6" s="21" t="e">
        <f t="shared" si="0"/>
        <v>#REF!</v>
      </c>
      <c r="G6" s="20" t="e">
        <f>IF(F6=""," ",VLOOKUP(F6,'Lookup Tables'!$D$9:$E$12,2))</f>
        <v>#REF!</v>
      </c>
      <c r="I6" s="22"/>
      <c r="J6" s="22"/>
      <c r="K6" s="22"/>
      <c r="L6" s="22"/>
      <c r="M6" s="22"/>
    </row>
    <row r="7" spans="1:13" ht="17.25" customHeight="1" x14ac:dyDescent="0.55000000000000004">
      <c r="A7" s="18">
        <v>4</v>
      </c>
      <c r="B7" s="19" t="e">
        <f>IF(#REF!="","",#REF!)</f>
        <v>#REF!</v>
      </c>
      <c r="C7" s="19" t="e">
        <f>IF(#REF!="","",#REF!)</f>
        <v>#REF!</v>
      </c>
      <c r="D7" s="36" t="e">
        <f t="array" ref="D7">IF(#REF!="","", INDEX('SO4 Rubric'!$H$4:$ZZ$4, 1, (ROW()-4)*2+1))</f>
        <v>#REF!</v>
      </c>
      <c r="E7" s="20" t="e">
        <f t="array" ref="E7">IF(#REF!="","", INDEX('SO4 Rubric'!$H$8:$ZZ$8, 1, (ROW()-4)*2+1))</f>
        <v>#REF!</v>
      </c>
      <c r="F7" s="21" t="e">
        <f t="shared" si="0"/>
        <v>#REF!</v>
      </c>
      <c r="G7" s="20" t="e">
        <f>IF(F7=""," ",VLOOKUP(F7,'Lookup Tables'!$D$9:$E$12,2))</f>
        <v>#REF!</v>
      </c>
      <c r="I7" s="22"/>
      <c r="J7" s="22"/>
      <c r="K7" s="22"/>
      <c r="L7" s="22"/>
      <c r="M7" s="22"/>
    </row>
    <row r="8" spans="1:13" ht="17.25" customHeight="1" x14ac:dyDescent="0.55000000000000004">
      <c r="A8" s="18">
        <v>5</v>
      </c>
      <c r="B8" s="19" t="e">
        <f>IF(#REF!="","",#REF!)</f>
        <v>#REF!</v>
      </c>
      <c r="C8" s="19" t="e">
        <f>IF(#REF!="","",#REF!)</f>
        <v>#REF!</v>
      </c>
      <c r="D8" s="36" t="e">
        <f t="array" ref="D8">IF(#REF!="","", INDEX('SO4 Rubric'!$H$4:$ZZ$4, 1, (ROW()-4)*2+1))</f>
        <v>#REF!</v>
      </c>
      <c r="E8" s="20" t="e">
        <f t="array" ref="E8">IF(#REF!="","", INDEX('SO4 Rubric'!$H$8:$ZZ$8, 1, (ROW()-4)*2+1))</f>
        <v>#REF!</v>
      </c>
      <c r="F8" s="21" t="e">
        <f t="shared" si="0"/>
        <v>#REF!</v>
      </c>
      <c r="G8" s="20" t="e">
        <f>IF(F8=""," ",VLOOKUP(F8,'Lookup Tables'!$D$9:$E$12,2))</f>
        <v>#REF!</v>
      </c>
      <c r="I8" s="22"/>
      <c r="J8" s="22"/>
      <c r="K8" s="22"/>
      <c r="L8" s="22"/>
      <c r="M8" s="22"/>
    </row>
    <row r="9" spans="1:13" ht="17.25" customHeight="1" x14ac:dyDescent="0.55000000000000004">
      <c r="A9" s="18">
        <v>6</v>
      </c>
      <c r="B9" s="19" t="e">
        <f>IF(#REF!="","",#REF!)</f>
        <v>#REF!</v>
      </c>
      <c r="C9" s="19" t="e">
        <f>IF(#REF!="","",#REF!)</f>
        <v>#REF!</v>
      </c>
      <c r="D9" s="36" t="e">
        <f t="array" ref="D9">IF(#REF!="","", INDEX('SO4 Rubric'!$H$4:$ZZ$4, 1, (ROW()-4)*2+1))</f>
        <v>#REF!</v>
      </c>
      <c r="E9" s="20" t="e">
        <f t="array" ref="E9">IF(#REF!="","", INDEX('SO4 Rubric'!$H$8:$ZZ$8, 1, (ROW()-4)*2+1))</f>
        <v>#REF!</v>
      </c>
      <c r="F9" s="21" t="e">
        <f t="shared" si="0"/>
        <v>#REF!</v>
      </c>
      <c r="G9" s="20" t="e">
        <f>IF(F9=""," ",VLOOKUP(F9,'Lookup Tables'!$D$9:$E$12,2))</f>
        <v>#REF!</v>
      </c>
      <c r="I9" s="22"/>
      <c r="J9" s="22"/>
      <c r="K9" s="22"/>
      <c r="L9" s="22"/>
      <c r="M9" s="22"/>
    </row>
    <row r="10" spans="1:13" ht="17.25" customHeight="1" x14ac:dyDescent="0.55000000000000004">
      <c r="A10" s="18">
        <v>7</v>
      </c>
      <c r="B10" s="19" t="e">
        <f>IF(#REF!="","",#REF!)</f>
        <v>#REF!</v>
      </c>
      <c r="C10" s="19" t="e">
        <f>IF(#REF!="","",#REF!)</f>
        <v>#REF!</v>
      </c>
      <c r="D10" s="36" t="e">
        <f t="array" ref="D10">IF(#REF!="","", INDEX('SO4 Rubric'!$H$4:$ZZ$4, 1, (ROW()-4)*2+1))</f>
        <v>#REF!</v>
      </c>
      <c r="E10" s="20" t="e">
        <f t="array" ref="E10">IF(#REF!="","", INDEX('SO4 Rubric'!$H$8:$ZZ$8, 1, (ROW()-4)*2+1))</f>
        <v>#REF!</v>
      </c>
      <c r="F10" s="21" t="e">
        <f t="shared" si="0"/>
        <v>#REF!</v>
      </c>
      <c r="G10" s="20" t="e">
        <f>IF(F10=""," ",VLOOKUP(F10,'Lookup Tables'!$D$9:$E$12,2))</f>
        <v>#REF!</v>
      </c>
    </row>
    <row r="11" spans="1:13" ht="17.25" customHeight="1" x14ac:dyDescent="0.55000000000000004">
      <c r="A11" s="18">
        <v>8</v>
      </c>
      <c r="B11" s="19" t="e">
        <f>IF(#REF!="","",#REF!)</f>
        <v>#REF!</v>
      </c>
      <c r="C11" s="19" t="e">
        <f>IF(#REF!="","",#REF!)</f>
        <v>#REF!</v>
      </c>
      <c r="D11" s="36" t="e">
        <f t="array" ref="D11">IF(#REF!="","", INDEX('SO4 Rubric'!$H$4:$ZZ$4, 1, (ROW()-4)*2+1))</f>
        <v>#REF!</v>
      </c>
      <c r="E11" s="20" t="e">
        <f t="array" ref="E11">IF(#REF!="","", INDEX('SO4 Rubric'!$H$8:$ZZ$8, 1, (ROW()-4)*2+1))</f>
        <v>#REF!</v>
      </c>
      <c r="F11" s="21" t="e">
        <f t="shared" si="0"/>
        <v>#REF!</v>
      </c>
      <c r="G11" s="20" t="e">
        <f>IF(F11=""," ",VLOOKUP(F11,'Lookup Tables'!$D$9:$E$12,2))</f>
        <v>#REF!</v>
      </c>
      <c r="H11" s="23" t="str">
        <f t="shared" ref="H11:K11" si="1">IF(ISBLANK(#REF!),"",IFERROR(ROUND(3*(#REF!/#REF!),0),""))</f>
        <v/>
      </c>
      <c r="I11" s="6" t="str">
        <f t="shared" si="1"/>
        <v/>
      </c>
      <c r="J11" s="6" t="str">
        <f t="shared" si="1"/>
        <v/>
      </c>
      <c r="K11" s="6" t="str">
        <f t="shared" si="1"/>
        <v/>
      </c>
      <c r="L11" s="24" t="str">
        <f t="shared" ref="L11:L23" si="2">IF(SUMPRODUCT(--(H11:K11&lt;&gt;""))=0,"",SUMPRODUCT(#REF!,H11:K11)/COUNTIF(#REF!,1))</f>
        <v/>
      </c>
      <c r="M11" s="25" t="str">
        <f t="shared" ref="M11:M23" si="3">IF(L11="","",L11/3)</f>
        <v/>
      </c>
    </row>
    <row r="12" spans="1:13" ht="17.25" customHeight="1" x14ac:dyDescent="0.55000000000000004">
      <c r="A12" s="18">
        <v>9</v>
      </c>
      <c r="B12" s="19" t="e">
        <f>IF(#REF!="","",#REF!)</f>
        <v>#REF!</v>
      </c>
      <c r="C12" s="19" t="e">
        <f>IF(#REF!="","",#REF!)</f>
        <v>#REF!</v>
      </c>
      <c r="D12" s="36" t="e">
        <f t="array" ref="D12">IF(#REF!="","", INDEX('SO4 Rubric'!$H$4:$ZZ$4, 1, (ROW()-4)*2+1))</f>
        <v>#REF!</v>
      </c>
      <c r="E12" s="20" t="e">
        <f t="array" ref="E12">IF(#REF!="","", INDEX('SO4 Rubric'!$H$8:$ZZ$8, 1, (ROW()-4)*2+1))</f>
        <v>#REF!</v>
      </c>
      <c r="F12" s="21" t="e">
        <f t="shared" si="0"/>
        <v>#REF!</v>
      </c>
      <c r="G12" s="20" t="e">
        <f>IF(F12=""," ",VLOOKUP(F12,'Lookup Tables'!$D$9:$E$12,2))</f>
        <v>#REF!</v>
      </c>
      <c r="H12" s="23" t="str">
        <f t="shared" ref="H12:K12" si="4">IF(ISBLANK(#REF!),"",IFERROR(ROUND(3*(#REF!/#REF!),0),""))</f>
        <v/>
      </c>
      <c r="I12" s="6" t="str">
        <f t="shared" si="4"/>
        <v/>
      </c>
      <c r="J12" s="6" t="str">
        <f t="shared" si="4"/>
        <v/>
      </c>
      <c r="K12" s="6" t="str">
        <f t="shared" si="4"/>
        <v/>
      </c>
      <c r="L12" s="24" t="str">
        <f t="shared" si="2"/>
        <v/>
      </c>
      <c r="M12" s="25" t="str">
        <f t="shared" si="3"/>
        <v/>
      </c>
    </row>
    <row r="13" spans="1:13" ht="17.25" customHeight="1" x14ac:dyDescent="0.55000000000000004">
      <c r="A13" s="18">
        <v>10</v>
      </c>
      <c r="B13" s="19" t="e">
        <f>IF(#REF!="","",#REF!)</f>
        <v>#REF!</v>
      </c>
      <c r="C13" s="19" t="e">
        <f>IF(#REF!="","",#REF!)</f>
        <v>#REF!</v>
      </c>
      <c r="D13" s="36" t="e">
        <f t="array" ref="D13">IF(#REF!="","", INDEX('SO4 Rubric'!$H$4:$ZZ$4, 1, (ROW()-4)*2+1))</f>
        <v>#REF!</v>
      </c>
      <c r="E13" s="20" t="e">
        <f t="array" ref="E13">IF(#REF!="","", INDEX('SO4 Rubric'!$H$8:$ZZ$8, 1, (ROW()-4)*2+1))</f>
        <v>#REF!</v>
      </c>
      <c r="F13" s="21" t="e">
        <f t="shared" si="0"/>
        <v>#REF!</v>
      </c>
      <c r="G13" s="20" t="e">
        <f>IF(F13=""," ",VLOOKUP(F13,'Lookup Tables'!$D$9:$E$12,2))</f>
        <v>#REF!</v>
      </c>
      <c r="H13" s="26" t="str">
        <f t="shared" ref="H13:K13" si="5">IF(ISBLANK(#REF!),"",IFERROR(ROUND(3*(#REF!/#REF!),0),""))</f>
        <v/>
      </c>
      <c r="I13" s="6" t="str">
        <f t="shared" si="5"/>
        <v/>
      </c>
      <c r="J13" s="6" t="str">
        <f t="shared" si="5"/>
        <v/>
      </c>
      <c r="K13" s="6" t="str">
        <f t="shared" si="5"/>
        <v/>
      </c>
      <c r="L13" s="24" t="str">
        <f t="shared" si="2"/>
        <v/>
      </c>
      <c r="M13" s="25" t="str">
        <f t="shared" si="3"/>
        <v/>
      </c>
    </row>
    <row r="14" spans="1:13" ht="17.25" customHeight="1" x14ac:dyDescent="0.55000000000000004">
      <c r="A14" s="18">
        <v>11</v>
      </c>
      <c r="B14" s="19" t="e">
        <f>IF(#REF!="","",#REF!)</f>
        <v>#REF!</v>
      </c>
      <c r="C14" s="19" t="e">
        <f>IF(#REF!="","",#REF!)</f>
        <v>#REF!</v>
      </c>
      <c r="D14" s="36" t="e">
        <f t="array" ref="D14">IF(#REF!="","", INDEX('SO4 Rubric'!$H$4:$ZZ$4, 1, (ROW()-4)*2+1))</f>
        <v>#REF!</v>
      </c>
      <c r="E14" s="20" t="e">
        <f t="array" ref="E14">IF(#REF!="","", INDEX('SO4 Rubric'!$H$8:$ZZ$8, 1, (ROW()-4)*2+1))</f>
        <v>#REF!</v>
      </c>
      <c r="F14" s="21" t="e">
        <f t="shared" si="0"/>
        <v>#REF!</v>
      </c>
      <c r="G14" s="20" t="e">
        <f>IF(F14=""," ",VLOOKUP(F14,'Lookup Tables'!$D$9:$E$12,2))</f>
        <v>#REF!</v>
      </c>
      <c r="H14" s="6" t="str">
        <f t="shared" ref="H14:K14" si="6">IF(ISBLANK(#REF!),"",IFERROR(ROUND(3*(#REF!/#REF!),0),""))</f>
        <v/>
      </c>
      <c r="I14" s="6" t="str">
        <f t="shared" si="6"/>
        <v/>
      </c>
      <c r="J14" s="6" t="str">
        <f t="shared" si="6"/>
        <v/>
      </c>
      <c r="K14" s="6" t="str">
        <f t="shared" si="6"/>
        <v/>
      </c>
      <c r="L14" s="24" t="str">
        <f t="shared" si="2"/>
        <v/>
      </c>
      <c r="M14" s="25" t="str">
        <f t="shared" si="3"/>
        <v/>
      </c>
    </row>
    <row r="15" spans="1:13" ht="17.25" customHeight="1" x14ac:dyDescent="0.55000000000000004">
      <c r="A15" s="18">
        <v>12</v>
      </c>
      <c r="B15" s="19" t="e">
        <f>IF(#REF!="","",#REF!)</f>
        <v>#REF!</v>
      </c>
      <c r="C15" s="19" t="e">
        <f>IF(#REF!="","",#REF!)</f>
        <v>#REF!</v>
      </c>
      <c r="D15" s="36" t="e">
        <f t="array" ref="D15">IF(#REF!="","", INDEX('SO4 Rubric'!$H$4:$ZZ$4, 1, (ROW()-4)*2+1))</f>
        <v>#REF!</v>
      </c>
      <c r="E15" s="20" t="e">
        <f t="array" ref="E15">IF(#REF!="","", INDEX('SO4 Rubric'!$H$8:$ZZ$8, 1, (ROW()-4)*2+1))</f>
        <v>#REF!</v>
      </c>
      <c r="F15" s="21" t="e">
        <f t="shared" si="0"/>
        <v>#REF!</v>
      </c>
      <c r="G15" s="20" t="e">
        <f>IF(F15=""," ",VLOOKUP(F15,'Lookup Tables'!$D$9:$E$12,2))</f>
        <v>#REF!</v>
      </c>
      <c r="H15" s="6" t="str">
        <f t="shared" ref="H15:K15" si="7">IF(ISBLANK(#REF!),"",IFERROR(ROUND(3*(#REF!/#REF!),0),""))</f>
        <v/>
      </c>
      <c r="I15" s="6" t="str">
        <f t="shared" si="7"/>
        <v/>
      </c>
      <c r="J15" s="6" t="str">
        <f t="shared" si="7"/>
        <v/>
      </c>
      <c r="K15" s="6" t="str">
        <f t="shared" si="7"/>
        <v/>
      </c>
      <c r="L15" s="24" t="str">
        <f t="shared" si="2"/>
        <v/>
      </c>
      <c r="M15" s="25" t="str">
        <f t="shared" si="3"/>
        <v/>
      </c>
    </row>
    <row r="16" spans="1:13" ht="14.25" customHeight="1" x14ac:dyDescent="0.55000000000000004">
      <c r="A16" s="18">
        <v>13</v>
      </c>
      <c r="B16" s="19" t="e">
        <f>IF(#REF!="","",#REF!)</f>
        <v>#REF!</v>
      </c>
      <c r="C16" s="19" t="e">
        <f>IF(#REF!="","",#REF!)</f>
        <v>#REF!</v>
      </c>
      <c r="D16" s="36" t="e">
        <f t="array" ref="D16">IF(#REF!="","", INDEX('SO4 Rubric'!$H$4:$ZZ$4, 1, (ROW()-4)*2+1))</f>
        <v>#REF!</v>
      </c>
      <c r="E16" s="20" t="e">
        <f t="array" ref="E16">IF(#REF!="","", INDEX('SO4 Rubric'!$H$8:$ZZ$8, 1, (ROW()-4)*2+1))</f>
        <v>#REF!</v>
      </c>
      <c r="F16" s="21" t="e">
        <f t="shared" si="0"/>
        <v>#REF!</v>
      </c>
      <c r="G16" s="20" t="e">
        <f>IF(F16=""," ",VLOOKUP(F16,'Lookup Tables'!$D$9:$E$12,2))</f>
        <v>#REF!</v>
      </c>
      <c r="H16" s="6" t="str">
        <f t="shared" ref="H16:K16" si="8">IF(ISBLANK(#REF!),"",IFERROR(ROUND(3*(#REF!/#REF!),0),""))</f>
        <v/>
      </c>
      <c r="I16" s="6" t="str">
        <f t="shared" si="8"/>
        <v/>
      </c>
      <c r="J16" s="6" t="str">
        <f t="shared" si="8"/>
        <v/>
      </c>
      <c r="K16" s="6" t="str">
        <f t="shared" si="8"/>
        <v/>
      </c>
      <c r="L16" s="24" t="str">
        <f t="shared" si="2"/>
        <v/>
      </c>
      <c r="M16" s="25" t="str">
        <f t="shared" si="3"/>
        <v/>
      </c>
    </row>
    <row r="17" spans="1:13" ht="14.25" customHeight="1" x14ac:dyDescent="0.55000000000000004">
      <c r="A17" s="18">
        <v>14</v>
      </c>
      <c r="B17" s="19" t="e">
        <f>IF(#REF!="","",#REF!)</f>
        <v>#REF!</v>
      </c>
      <c r="C17" s="19" t="e">
        <f>IF(#REF!="","",#REF!)</f>
        <v>#REF!</v>
      </c>
      <c r="D17" s="36" t="e">
        <f t="array" ref="D17">IF(#REF!="","", INDEX('SO4 Rubric'!$H$4:$ZZ$4, 1, (ROW()-4)*2+1))</f>
        <v>#REF!</v>
      </c>
      <c r="E17" s="20" t="e">
        <f t="array" ref="E17">IF(#REF!="","", INDEX('SO4 Rubric'!$H$8:$ZZ$8, 1, (ROW()-4)*2+1))</f>
        <v>#REF!</v>
      </c>
      <c r="F17" s="21" t="e">
        <f t="shared" si="0"/>
        <v>#REF!</v>
      </c>
      <c r="G17" s="20" t="e">
        <f>IF(F17=""," ",VLOOKUP(F17,'Lookup Tables'!$D$9:$E$12,2))</f>
        <v>#REF!</v>
      </c>
      <c r="H17" s="6" t="str">
        <f t="shared" ref="H17:K17" si="9">IF(ISBLANK(#REF!),"",IFERROR(ROUND(3*(#REF!/#REF!),0),""))</f>
        <v/>
      </c>
      <c r="I17" s="6" t="str">
        <f t="shared" si="9"/>
        <v/>
      </c>
      <c r="J17" s="6" t="str">
        <f t="shared" si="9"/>
        <v/>
      </c>
      <c r="K17" s="6" t="str">
        <f t="shared" si="9"/>
        <v/>
      </c>
      <c r="L17" s="24" t="str">
        <f t="shared" si="2"/>
        <v/>
      </c>
      <c r="M17" s="25" t="str">
        <f t="shared" si="3"/>
        <v/>
      </c>
    </row>
    <row r="18" spans="1:13" ht="14.25" customHeight="1" x14ac:dyDescent="0.55000000000000004">
      <c r="A18" s="18">
        <v>15</v>
      </c>
      <c r="B18" s="19" t="e">
        <f>IF(#REF!="","",#REF!)</f>
        <v>#REF!</v>
      </c>
      <c r="C18" s="19" t="e">
        <f>IF(#REF!="","",#REF!)</f>
        <v>#REF!</v>
      </c>
      <c r="D18" s="36" t="e">
        <f t="array" ref="D18">IF(#REF!="","", INDEX('SO4 Rubric'!$H$4:$ZZ$4, 1, (ROW()-4)*2+1))</f>
        <v>#REF!</v>
      </c>
      <c r="E18" s="20" t="e">
        <f t="array" ref="E18">IF(#REF!="","", INDEX('SO4 Rubric'!$H$8:$ZZ$8, 1, (ROW()-4)*2+1))</f>
        <v>#REF!</v>
      </c>
      <c r="F18" s="21" t="e">
        <f t="shared" si="0"/>
        <v>#REF!</v>
      </c>
      <c r="G18" s="20" t="e">
        <f>IF(F18=""," ",VLOOKUP(F18,'Lookup Tables'!$D$9:$E$12,2))</f>
        <v>#REF!</v>
      </c>
      <c r="H18" s="6" t="str">
        <f t="shared" ref="H18:K18" si="10">IF(ISBLANK(#REF!),"",IFERROR(ROUND(3*(#REF!/#REF!),0),""))</f>
        <v/>
      </c>
      <c r="I18" s="6" t="str">
        <f t="shared" si="10"/>
        <v/>
      </c>
      <c r="J18" s="6" t="str">
        <f t="shared" si="10"/>
        <v/>
      </c>
      <c r="K18" s="6" t="str">
        <f t="shared" si="10"/>
        <v/>
      </c>
      <c r="L18" s="24" t="str">
        <f t="shared" si="2"/>
        <v/>
      </c>
      <c r="M18" s="25" t="str">
        <f t="shared" si="3"/>
        <v/>
      </c>
    </row>
    <row r="19" spans="1:13" ht="14.25" customHeight="1" x14ac:dyDescent="0.55000000000000004">
      <c r="A19" s="18">
        <v>16</v>
      </c>
      <c r="B19" s="19" t="e">
        <f>IF(#REF!="","",#REF!)</f>
        <v>#REF!</v>
      </c>
      <c r="C19" s="19" t="e">
        <f>IF(#REF!="","",#REF!)</f>
        <v>#REF!</v>
      </c>
      <c r="D19" s="36" t="e">
        <f t="array" ref="D19">IF(#REF!="","", INDEX('SO4 Rubric'!$H$4:$ZZ$4, 1, (ROW()-4)*2+1))</f>
        <v>#REF!</v>
      </c>
      <c r="E19" s="20" t="e">
        <f t="array" ref="E19">IF(#REF!="","", INDEX('SO4 Rubric'!$H$8:$ZZ$8, 1, (ROW()-4)*2+1))</f>
        <v>#REF!</v>
      </c>
      <c r="F19" s="21" t="e">
        <f t="shared" si="0"/>
        <v>#REF!</v>
      </c>
      <c r="G19" s="20" t="e">
        <f>IF(F19=""," ",VLOOKUP(F19,'Lookup Tables'!$D$9:$E$12,2))</f>
        <v>#REF!</v>
      </c>
      <c r="H19" s="6" t="str">
        <f t="shared" ref="H19:K19" si="11">IF(ISBLANK(#REF!),"",IFERROR(ROUND(3*(#REF!/#REF!),0),""))</f>
        <v/>
      </c>
      <c r="I19" s="6" t="str">
        <f t="shared" si="11"/>
        <v/>
      </c>
      <c r="J19" s="6" t="str">
        <f t="shared" si="11"/>
        <v/>
      </c>
      <c r="K19" s="6" t="str">
        <f t="shared" si="11"/>
        <v/>
      </c>
      <c r="L19" s="24" t="str">
        <f t="shared" si="2"/>
        <v/>
      </c>
      <c r="M19" s="25" t="str">
        <f t="shared" si="3"/>
        <v/>
      </c>
    </row>
    <row r="20" spans="1:13" ht="14.25" customHeight="1" x14ac:dyDescent="0.55000000000000004">
      <c r="A20" s="18">
        <v>17</v>
      </c>
      <c r="B20" s="19" t="e">
        <f>IF(#REF!="","",#REF!)</f>
        <v>#REF!</v>
      </c>
      <c r="C20" s="19" t="e">
        <f>IF(#REF!="","",#REF!)</f>
        <v>#REF!</v>
      </c>
      <c r="D20" s="36" t="e">
        <f t="array" ref="D20">IF(#REF!="","", INDEX('SO4 Rubric'!$H$4:$ZZ$4, 1, (ROW()-4)*2+1))</f>
        <v>#REF!</v>
      </c>
      <c r="E20" s="20" t="e">
        <f t="array" ref="E20">IF(#REF!="","", INDEX('SO4 Rubric'!$H$8:$ZZ$8, 1, (ROW()-4)*2+1))</f>
        <v>#REF!</v>
      </c>
      <c r="F20" s="21" t="e">
        <f t="shared" si="0"/>
        <v>#REF!</v>
      </c>
      <c r="G20" s="20" t="e">
        <f>IF(F20=""," ",VLOOKUP(F20,'Lookup Tables'!$D$9:$E$12,2))</f>
        <v>#REF!</v>
      </c>
      <c r="H20" s="6" t="str">
        <f t="shared" ref="H20:K20" si="12">IF(ISBLANK(#REF!),"",IFERROR(ROUND(3*(#REF!/#REF!),0),""))</f>
        <v/>
      </c>
      <c r="I20" s="6" t="str">
        <f t="shared" si="12"/>
        <v/>
      </c>
      <c r="J20" s="6" t="str">
        <f t="shared" si="12"/>
        <v/>
      </c>
      <c r="K20" s="6" t="str">
        <f t="shared" si="12"/>
        <v/>
      </c>
      <c r="L20" s="24" t="str">
        <f t="shared" si="2"/>
        <v/>
      </c>
      <c r="M20" s="25" t="str">
        <f t="shared" si="3"/>
        <v/>
      </c>
    </row>
    <row r="21" spans="1:13" ht="14.25" customHeight="1" x14ac:dyDescent="0.55000000000000004">
      <c r="A21" s="18">
        <v>18</v>
      </c>
      <c r="B21" s="19" t="e">
        <f>IF(#REF!="","",#REF!)</f>
        <v>#REF!</v>
      </c>
      <c r="C21" s="19" t="e">
        <f>IF(#REF!="","",#REF!)</f>
        <v>#REF!</v>
      </c>
      <c r="D21" s="36" t="e">
        <f t="array" ref="D21">IF(#REF!="","", INDEX('SO4 Rubric'!$H$4:$ZZ$4, 1, (ROW()-4)*2+1))</f>
        <v>#REF!</v>
      </c>
      <c r="E21" s="20" t="e">
        <f t="array" ref="E21">IF(#REF!="","", INDEX('SO4 Rubric'!$H$8:$ZZ$8, 1, (ROW()-4)*2+1))</f>
        <v>#REF!</v>
      </c>
      <c r="F21" s="21" t="e">
        <f t="shared" si="0"/>
        <v>#REF!</v>
      </c>
      <c r="G21" s="20" t="e">
        <f>IF(F21=""," ",VLOOKUP(F21,'Lookup Tables'!$D$9:$E$12,2))</f>
        <v>#REF!</v>
      </c>
      <c r="H21" s="6" t="str">
        <f t="shared" ref="H21:K21" si="13">IF(ISBLANK(#REF!),"",IFERROR(ROUND(3*(#REF!/#REF!),0),""))</f>
        <v/>
      </c>
      <c r="I21" s="6" t="str">
        <f t="shared" si="13"/>
        <v/>
      </c>
      <c r="J21" s="6" t="str">
        <f t="shared" si="13"/>
        <v/>
      </c>
      <c r="K21" s="6" t="str">
        <f t="shared" si="13"/>
        <v/>
      </c>
      <c r="L21" s="24" t="str">
        <f t="shared" si="2"/>
        <v/>
      </c>
      <c r="M21" s="25" t="str">
        <f t="shared" si="3"/>
        <v/>
      </c>
    </row>
    <row r="22" spans="1:13" ht="14.25" customHeight="1" x14ac:dyDescent="0.55000000000000004">
      <c r="A22" s="18">
        <v>19</v>
      </c>
      <c r="B22" s="19" t="e">
        <f>IF(#REF!="","",#REF!)</f>
        <v>#REF!</v>
      </c>
      <c r="C22" s="19" t="e">
        <f>IF(#REF!="","",#REF!)</f>
        <v>#REF!</v>
      </c>
      <c r="D22" s="36" t="e">
        <f t="array" ref="D22">IF(#REF!="","", INDEX('SO4 Rubric'!$H$4:$ZZ$4, 1, (ROW()-4)*2+1))</f>
        <v>#REF!</v>
      </c>
      <c r="E22" s="20" t="e">
        <f t="array" ref="E22">IF(#REF!="","", INDEX('SO4 Rubric'!$H$8:$ZZ$8, 1, (ROW()-4)*2+1))</f>
        <v>#REF!</v>
      </c>
      <c r="F22" s="21" t="e">
        <f t="shared" si="0"/>
        <v>#REF!</v>
      </c>
      <c r="G22" s="20" t="e">
        <f>IF(F22=""," ",VLOOKUP(F22,'Lookup Tables'!$D$9:$E$12,2))</f>
        <v>#REF!</v>
      </c>
      <c r="H22" s="6" t="str">
        <f t="shared" ref="H22:K22" si="14">IF(ISBLANK(#REF!),"",IFERROR(ROUND(3*(#REF!/#REF!),0),""))</f>
        <v/>
      </c>
      <c r="I22" s="6" t="str">
        <f t="shared" si="14"/>
        <v/>
      </c>
      <c r="J22" s="6" t="str">
        <f t="shared" si="14"/>
        <v/>
      </c>
      <c r="K22" s="6" t="str">
        <f t="shared" si="14"/>
        <v/>
      </c>
      <c r="L22" s="24" t="str">
        <f t="shared" si="2"/>
        <v/>
      </c>
      <c r="M22" s="25" t="str">
        <f t="shared" si="3"/>
        <v/>
      </c>
    </row>
    <row r="23" spans="1:13" ht="14.25" customHeight="1" x14ac:dyDescent="0.55000000000000004">
      <c r="A23" s="18">
        <v>20</v>
      </c>
      <c r="B23" s="19" t="e">
        <f>IF(#REF!="","",#REF!)</f>
        <v>#REF!</v>
      </c>
      <c r="C23" s="19" t="e">
        <f>IF(#REF!="","",#REF!)</f>
        <v>#REF!</v>
      </c>
      <c r="D23" s="36" t="e">
        <f t="array" ref="D23">IF(#REF!="","", INDEX('SO4 Rubric'!$H$4:$ZZ$4, 1, (ROW()-4)*2+1))</f>
        <v>#REF!</v>
      </c>
      <c r="E23" s="20" t="e">
        <f t="array" ref="E23">IF(#REF!="","", INDEX('SO4 Rubric'!$H$8:$ZZ$8, 1, (ROW()-4)*2+1))</f>
        <v>#REF!</v>
      </c>
      <c r="F23" s="21" t="e">
        <f t="shared" si="0"/>
        <v>#REF!</v>
      </c>
      <c r="G23" s="20" t="e">
        <f>IF(F23=""," ",VLOOKUP(F23,'Lookup Tables'!$D$9:$E$12,2))</f>
        <v>#REF!</v>
      </c>
      <c r="H23" s="6" t="str">
        <f t="shared" ref="H23:K23" si="15">IF(ISBLANK(#REF!),"",IFERROR(ROUND(3*(#REF!/#REF!),0),""))</f>
        <v/>
      </c>
      <c r="I23" s="6" t="str">
        <f t="shared" si="15"/>
        <v/>
      </c>
      <c r="J23" s="6" t="str">
        <f t="shared" si="15"/>
        <v/>
      </c>
      <c r="K23" s="6" t="str">
        <f t="shared" si="15"/>
        <v/>
      </c>
      <c r="L23" s="24" t="str">
        <f t="shared" si="2"/>
        <v/>
      </c>
      <c r="M23" s="25" t="str">
        <f t="shared" si="3"/>
        <v/>
      </c>
    </row>
    <row r="24" spans="1:13" ht="14.25" customHeight="1" x14ac:dyDescent="0.6">
      <c r="A24" s="27"/>
      <c r="B24" s="28"/>
      <c r="C24" s="28"/>
      <c r="D24" s="199" t="s">
        <v>61</v>
      </c>
      <c r="E24" s="200"/>
      <c r="F24" s="201" t="s">
        <v>62</v>
      </c>
      <c r="G24" s="29" t="s">
        <v>63</v>
      </c>
      <c r="H24" s="30">
        <f>COUNTIF('SO4 Assessment Results'!$G$4:$G$23,G24)</f>
        <v>0</v>
      </c>
      <c r="I24" s="202" t="str">
        <f>IFERROR(TEXT(((H26+H27)/SUM(H24:H27)),"0%"),"")</f>
        <v/>
      </c>
      <c r="J24" s="203"/>
      <c r="K24" s="6"/>
      <c r="L24" s="24"/>
      <c r="M24" s="25"/>
    </row>
    <row r="25" spans="1:13" ht="14.25" customHeight="1" x14ac:dyDescent="0.6">
      <c r="A25" s="27"/>
      <c r="B25" s="28"/>
      <c r="C25" s="28"/>
      <c r="D25" s="31" t="s">
        <v>69</v>
      </c>
      <c r="E25" s="31" t="s">
        <v>70</v>
      </c>
      <c r="F25" s="167"/>
      <c r="G25" s="29" t="s">
        <v>64</v>
      </c>
      <c r="H25" s="32">
        <f>COUNTIF('SO4 Assessment Results'!$G$4:$G$23,G25)</f>
        <v>0</v>
      </c>
      <c r="I25" s="204"/>
      <c r="J25" s="205"/>
      <c r="K25" s="6"/>
      <c r="L25" s="24"/>
      <c r="M25" s="25"/>
    </row>
    <row r="26" spans="1:13" ht="14.25" customHeight="1" x14ac:dyDescent="0.6">
      <c r="A26" s="6"/>
      <c r="C26" s="33"/>
      <c r="D26" s="34" t="str">
        <f t="shared" ref="D26:E26" si="16">IFERROR(AVERAGE(D4:D20),"")</f>
        <v/>
      </c>
      <c r="E26" s="34" t="str">
        <f t="shared" si="16"/>
        <v/>
      </c>
      <c r="F26" s="167"/>
      <c r="G26" s="29" t="s">
        <v>65</v>
      </c>
      <c r="H26" s="32">
        <f>COUNTIF('SO4 Assessment Results'!$G$4:$G$23,G26)</f>
        <v>0</v>
      </c>
      <c r="I26" s="204"/>
      <c r="J26" s="205"/>
      <c r="K26" s="1" t="str">
        <f>IFERROR(AVERAGE(K11:K23),"")</f>
        <v/>
      </c>
      <c r="L26" s="6"/>
      <c r="M26" s="6"/>
    </row>
    <row r="27" spans="1:13" ht="14.25" customHeight="1" x14ac:dyDescent="0.6">
      <c r="A27" s="6"/>
      <c r="C27" s="35"/>
      <c r="D27" s="20" t="str">
        <f t="shared" ref="D27:E27" si="17">IFERROR(TEXT((COUNTIF(D4:D23,2) + COUNTIF(D4:D23,3)) / COUNT(D4:D23),"0%"),"")</f>
        <v/>
      </c>
      <c r="E27" s="20" t="str">
        <f t="shared" si="17"/>
        <v/>
      </c>
      <c r="F27" s="168"/>
      <c r="G27" s="29" t="s">
        <v>66</v>
      </c>
      <c r="H27" s="32">
        <f>COUNTIF('SO4 Assessment Results'!$G$4:$G$23,G27)</f>
        <v>0</v>
      </c>
      <c r="I27" s="206"/>
      <c r="J27" s="207"/>
      <c r="M27" s="6"/>
    </row>
    <row r="28" spans="1:13" ht="14.25" customHeight="1" x14ac:dyDescent="0.55000000000000004">
      <c r="A28" s="6"/>
      <c r="C28" s="35"/>
      <c r="D28" s="6"/>
      <c r="E28" s="6"/>
      <c r="H28" s="6"/>
    </row>
    <row r="29" spans="1:13" ht="14.25" customHeight="1" x14ac:dyDescent="0.55000000000000004">
      <c r="A29" s="6"/>
      <c r="C29" s="35"/>
      <c r="D29" s="6"/>
      <c r="E29" s="6"/>
      <c r="F29" s="6"/>
      <c r="G29" s="6"/>
      <c r="H29" s="6"/>
      <c r="M29" s="6"/>
    </row>
    <row r="30" spans="1:13" ht="14.25" customHeight="1" x14ac:dyDescent="0.55000000000000004">
      <c r="A30" s="6"/>
      <c r="B30" s="208" t="s">
        <v>67</v>
      </c>
      <c r="C30" s="126"/>
      <c r="D30" s="126"/>
      <c r="E30" s="200"/>
      <c r="F30" s="6"/>
      <c r="G30" s="6"/>
      <c r="H30" s="6"/>
      <c r="M30" s="6"/>
    </row>
    <row r="31" spans="1:13" ht="14.25" customHeight="1" x14ac:dyDescent="0.55000000000000004">
      <c r="A31" s="6"/>
      <c r="B31" s="209" t="s">
        <v>68</v>
      </c>
      <c r="C31" s="210"/>
      <c r="D31" s="210"/>
      <c r="E31" s="211"/>
      <c r="F31" s="6"/>
      <c r="G31" s="6"/>
      <c r="H31" s="6"/>
      <c r="M31" s="6"/>
    </row>
    <row r="32" spans="1:13" ht="14.25" customHeight="1" x14ac:dyDescent="0.55000000000000004">
      <c r="B32" s="204"/>
      <c r="C32" s="146"/>
      <c r="D32" s="146"/>
      <c r="E32" s="205"/>
      <c r="F32" s="6"/>
      <c r="G32" s="6"/>
      <c r="H32" s="6"/>
      <c r="M32" s="6"/>
    </row>
    <row r="33" spans="1:13" ht="14.25" customHeight="1" x14ac:dyDescent="0.55000000000000004">
      <c r="A33" s="6"/>
      <c r="B33" s="204"/>
      <c r="C33" s="146"/>
      <c r="D33" s="146"/>
      <c r="E33" s="205"/>
      <c r="F33" s="6"/>
      <c r="G33" s="6"/>
      <c r="H33" s="6"/>
      <c r="M33" s="6"/>
    </row>
    <row r="34" spans="1:13" ht="14.25" customHeight="1" x14ac:dyDescent="0.55000000000000004">
      <c r="A34" s="6"/>
      <c r="B34" s="212"/>
      <c r="C34" s="213"/>
      <c r="D34" s="213"/>
      <c r="E34" s="214"/>
      <c r="F34" s="6"/>
      <c r="G34" s="6"/>
      <c r="H34" s="6"/>
      <c r="M34" s="6"/>
    </row>
    <row r="35" spans="1:13" ht="14.25" customHeight="1" x14ac:dyDescent="0.55000000000000004">
      <c r="A35" s="6"/>
      <c r="F35" s="6"/>
      <c r="G35" s="6"/>
      <c r="H35" s="6"/>
      <c r="M35" s="6"/>
    </row>
    <row r="36" spans="1:13" ht="14.25" customHeight="1" x14ac:dyDescent="0.55000000000000004">
      <c r="A36" s="6"/>
      <c r="F36" s="6"/>
      <c r="G36" s="6"/>
      <c r="H36" s="6"/>
      <c r="M36" s="6"/>
    </row>
    <row r="37" spans="1:13" ht="14.25" customHeight="1" x14ac:dyDescent="0.55000000000000004">
      <c r="A37" s="6"/>
      <c r="F37" s="6"/>
      <c r="G37" s="6"/>
      <c r="H37" s="6"/>
      <c r="M37" s="6"/>
    </row>
    <row r="38" spans="1:13" ht="14.25" customHeight="1" x14ac:dyDescent="0.55000000000000004">
      <c r="A38" s="6"/>
      <c r="F38" s="6"/>
      <c r="G38" s="6"/>
      <c r="H38" s="6"/>
      <c r="M38" s="6"/>
    </row>
    <row r="39" spans="1:13" ht="14.25" customHeight="1" x14ac:dyDescent="0.55000000000000004">
      <c r="A39" s="6"/>
      <c r="F39" s="6"/>
      <c r="G39" s="6"/>
      <c r="H39" s="6"/>
      <c r="M39" s="6"/>
    </row>
    <row r="40" spans="1:13" ht="14.25" customHeight="1" x14ac:dyDescent="0.55000000000000004">
      <c r="A40" s="6"/>
      <c r="F40" s="6"/>
      <c r="G40" s="6"/>
      <c r="H40" s="6"/>
      <c r="M40" s="6"/>
    </row>
    <row r="41" spans="1:13" ht="14.25" customHeight="1" x14ac:dyDescent="0.55000000000000004">
      <c r="A41" s="6"/>
      <c r="F41" s="6"/>
      <c r="G41" s="6"/>
      <c r="H41" s="6"/>
      <c r="M41" s="6"/>
    </row>
    <row r="42" spans="1:13" ht="14.25" customHeight="1" x14ac:dyDescent="0.55000000000000004">
      <c r="A42" s="6"/>
      <c r="F42" s="6"/>
      <c r="G42" s="6"/>
      <c r="H42" s="6"/>
      <c r="M42" s="6"/>
    </row>
    <row r="43" spans="1:13" ht="14.25" customHeight="1" x14ac:dyDescent="0.55000000000000004">
      <c r="A43" s="6"/>
      <c r="F43" s="6"/>
      <c r="G43" s="6"/>
      <c r="H43" s="6"/>
      <c r="M43" s="6"/>
    </row>
    <row r="44" spans="1:13" ht="14.25" customHeight="1" x14ac:dyDescent="0.55000000000000004">
      <c r="A44" s="6"/>
      <c r="F44" s="6"/>
      <c r="G44" s="6"/>
      <c r="H44" s="6"/>
      <c r="M44" s="6"/>
    </row>
    <row r="45" spans="1:13" ht="14.25" customHeight="1" x14ac:dyDescent="0.55000000000000004">
      <c r="A45" s="6"/>
      <c r="F45" s="6"/>
      <c r="G45" s="6"/>
      <c r="H45" s="6"/>
      <c r="M45" s="6"/>
    </row>
    <row r="46" spans="1:13" ht="14.25" customHeight="1" x14ac:dyDescent="0.55000000000000004">
      <c r="A46" s="6"/>
      <c r="F46" s="6"/>
      <c r="G46" s="6"/>
      <c r="H46" s="6"/>
      <c r="M46" s="6"/>
    </row>
    <row r="47" spans="1:13" ht="14.25" customHeight="1" x14ac:dyDescent="0.55000000000000004">
      <c r="A47" s="6"/>
      <c r="F47" s="6"/>
      <c r="G47" s="6"/>
      <c r="H47" s="6"/>
      <c r="M47" s="6"/>
    </row>
    <row r="48" spans="1:13" ht="14.25" customHeight="1" x14ac:dyDescent="0.55000000000000004">
      <c r="A48" s="6"/>
      <c r="F48" s="6"/>
      <c r="G48" s="6"/>
      <c r="H48" s="6"/>
      <c r="M48" s="6"/>
    </row>
    <row r="49" spans="1:13" ht="14.25" customHeight="1" x14ac:dyDescent="0.55000000000000004">
      <c r="A49" s="6"/>
      <c r="F49" s="6"/>
      <c r="G49" s="6"/>
      <c r="H49" s="6"/>
      <c r="M49" s="6"/>
    </row>
    <row r="50" spans="1:13" ht="14.25" customHeight="1" x14ac:dyDescent="0.55000000000000004">
      <c r="A50" s="6"/>
      <c r="F50" s="6"/>
      <c r="G50" s="6"/>
      <c r="H50" s="6"/>
      <c r="M50" s="6"/>
    </row>
    <row r="51" spans="1:13" ht="14.25" customHeight="1" x14ac:dyDescent="0.55000000000000004">
      <c r="A51" s="6"/>
      <c r="F51" s="6"/>
      <c r="G51" s="6"/>
      <c r="H51" s="6"/>
      <c r="M51" s="6"/>
    </row>
    <row r="52" spans="1:13" ht="14.25" customHeight="1" x14ac:dyDescent="0.55000000000000004">
      <c r="A52" s="6"/>
      <c r="F52" s="6"/>
      <c r="G52" s="6"/>
      <c r="H52" s="6"/>
      <c r="M52" s="6"/>
    </row>
    <row r="53" spans="1:13" ht="14.25" customHeight="1" x14ac:dyDescent="0.55000000000000004">
      <c r="A53" s="6"/>
      <c r="F53" s="6"/>
      <c r="G53" s="6"/>
      <c r="H53" s="6"/>
      <c r="M53" s="6"/>
    </row>
    <row r="54" spans="1:13" ht="14.25" customHeight="1" x14ac:dyDescent="0.55000000000000004">
      <c r="A54" s="6"/>
      <c r="F54" s="6"/>
      <c r="G54" s="6"/>
      <c r="H54" s="6"/>
      <c r="M54" s="6"/>
    </row>
    <row r="55" spans="1:13" ht="14.25" customHeight="1" x14ac:dyDescent="0.55000000000000004">
      <c r="A55" s="6"/>
      <c r="F55" s="6"/>
      <c r="G55" s="6"/>
      <c r="H55" s="6"/>
      <c r="M55" s="6"/>
    </row>
    <row r="56" spans="1:13" ht="14.25" customHeight="1" x14ac:dyDescent="0.55000000000000004">
      <c r="A56" s="6"/>
      <c r="F56" s="6"/>
      <c r="G56" s="6"/>
      <c r="H56" s="6"/>
      <c r="M56" s="6"/>
    </row>
    <row r="57" spans="1:13" ht="14.25" customHeight="1" x14ac:dyDescent="0.55000000000000004">
      <c r="A57" s="6"/>
      <c r="F57" s="6"/>
      <c r="G57" s="6"/>
      <c r="H57" s="6"/>
      <c r="M57" s="6"/>
    </row>
    <row r="58" spans="1:13" ht="14.25" customHeight="1" x14ac:dyDescent="0.55000000000000004">
      <c r="A58" s="6"/>
      <c r="F58" s="6"/>
      <c r="G58" s="6"/>
      <c r="H58" s="6"/>
      <c r="M58" s="6"/>
    </row>
    <row r="59" spans="1:13" ht="14.25" customHeight="1" x14ac:dyDescent="0.55000000000000004">
      <c r="A59" s="6"/>
      <c r="F59" s="6"/>
      <c r="G59" s="6"/>
      <c r="H59" s="6"/>
      <c r="M59" s="6"/>
    </row>
    <row r="60" spans="1:13" ht="14.25" customHeight="1" x14ac:dyDescent="0.55000000000000004">
      <c r="A60" s="6"/>
      <c r="F60" s="6"/>
      <c r="G60" s="6"/>
      <c r="H60" s="6"/>
      <c r="M60" s="6"/>
    </row>
    <row r="61" spans="1:13" ht="14.25" customHeight="1" x14ac:dyDescent="0.55000000000000004">
      <c r="A61" s="6"/>
      <c r="F61" s="6"/>
      <c r="G61" s="6"/>
      <c r="H61" s="6"/>
      <c r="M61" s="6"/>
    </row>
    <row r="62" spans="1:13" ht="14.25" customHeight="1" x14ac:dyDescent="0.55000000000000004">
      <c r="A62" s="6"/>
      <c r="F62" s="6"/>
      <c r="G62" s="6"/>
      <c r="H62" s="6"/>
      <c r="M62" s="6"/>
    </row>
    <row r="63" spans="1:13" ht="14.25" customHeight="1" x14ac:dyDescent="0.55000000000000004">
      <c r="A63" s="6"/>
      <c r="F63" s="6"/>
      <c r="G63" s="6"/>
      <c r="H63" s="6"/>
      <c r="M63" s="6"/>
    </row>
    <row r="64" spans="1:13" ht="14.25" customHeight="1" x14ac:dyDescent="0.55000000000000004">
      <c r="A64" s="6"/>
      <c r="F64" s="6"/>
      <c r="G64" s="6"/>
      <c r="H64" s="6"/>
      <c r="M64" s="6"/>
    </row>
    <row r="65" spans="1:13" ht="14.25" customHeight="1" x14ac:dyDescent="0.55000000000000004">
      <c r="A65" s="6"/>
      <c r="F65" s="6"/>
      <c r="G65" s="6"/>
      <c r="H65" s="6"/>
      <c r="M65" s="6"/>
    </row>
    <row r="66" spans="1:13" ht="14.25" customHeight="1" x14ac:dyDescent="0.55000000000000004">
      <c r="A66" s="6"/>
      <c r="F66" s="6"/>
      <c r="G66" s="6"/>
      <c r="H66" s="6"/>
      <c r="M66" s="6"/>
    </row>
    <row r="67" spans="1:13" ht="14.25" customHeight="1" x14ac:dyDescent="0.55000000000000004">
      <c r="A67" s="6"/>
      <c r="F67" s="6"/>
      <c r="G67" s="6"/>
      <c r="H67" s="6"/>
      <c r="M67" s="6"/>
    </row>
    <row r="68" spans="1:13" ht="14.25" customHeight="1" x14ac:dyDescent="0.55000000000000004">
      <c r="A68" s="6"/>
      <c r="F68" s="6"/>
      <c r="G68" s="6"/>
      <c r="H68" s="6"/>
      <c r="M68" s="6"/>
    </row>
    <row r="69" spans="1:13" ht="14.25" customHeight="1" x14ac:dyDescent="0.55000000000000004">
      <c r="A69" s="6"/>
      <c r="F69" s="6"/>
      <c r="G69" s="6"/>
      <c r="H69" s="6"/>
      <c r="M69" s="6"/>
    </row>
    <row r="70" spans="1:13" ht="14.25" customHeight="1" x14ac:dyDescent="0.55000000000000004">
      <c r="A70" s="6"/>
      <c r="F70" s="6"/>
      <c r="G70" s="6"/>
      <c r="H70" s="6"/>
      <c r="M70" s="6"/>
    </row>
    <row r="71" spans="1:13" ht="14.25" customHeight="1" x14ac:dyDescent="0.55000000000000004">
      <c r="A71" s="6"/>
      <c r="F71" s="6"/>
      <c r="G71" s="6"/>
      <c r="H71" s="6"/>
      <c r="M71" s="6"/>
    </row>
    <row r="72" spans="1:13" ht="14.25" customHeight="1" x14ac:dyDescent="0.55000000000000004">
      <c r="A72" s="6"/>
      <c r="F72" s="6"/>
      <c r="G72" s="6"/>
      <c r="H72" s="6"/>
      <c r="M72" s="6"/>
    </row>
    <row r="73" spans="1:13" ht="14.25" customHeight="1" x14ac:dyDescent="0.55000000000000004">
      <c r="A73" s="6"/>
      <c r="F73" s="6"/>
      <c r="G73" s="6"/>
      <c r="H73" s="6"/>
      <c r="M73" s="6"/>
    </row>
    <row r="74" spans="1:13" ht="14.25" customHeight="1" x14ac:dyDescent="0.55000000000000004">
      <c r="A74" s="6"/>
      <c r="F74" s="6"/>
      <c r="G74" s="6"/>
      <c r="H74" s="6"/>
      <c r="M74" s="6"/>
    </row>
    <row r="75" spans="1:13" ht="14.25" customHeight="1" x14ac:dyDescent="0.55000000000000004">
      <c r="A75" s="6"/>
      <c r="F75" s="6"/>
      <c r="G75" s="6"/>
      <c r="H75" s="6"/>
      <c r="M75" s="6"/>
    </row>
    <row r="76" spans="1:13" ht="14.25" customHeight="1" x14ac:dyDescent="0.55000000000000004">
      <c r="A76" s="6"/>
      <c r="F76" s="6"/>
      <c r="G76" s="6"/>
      <c r="H76" s="6"/>
      <c r="M76" s="6"/>
    </row>
    <row r="77" spans="1:13" ht="14.25" customHeight="1" x14ac:dyDescent="0.55000000000000004">
      <c r="A77" s="6"/>
      <c r="F77" s="6"/>
      <c r="G77" s="6"/>
      <c r="H77" s="6"/>
      <c r="M77" s="6"/>
    </row>
    <row r="78" spans="1:13" ht="14.25" customHeight="1" x14ac:dyDescent="0.55000000000000004">
      <c r="A78" s="6"/>
      <c r="F78" s="6"/>
      <c r="G78" s="6"/>
      <c r="H78" s="6"/>
      <c r="M78" s="6"/>
    </row>
    <row r="79" spans="1:13" ht="14.25" customHeight="1" x14ac:dyDescent="0.55000000000000004">
      <c r="A79" s="6"/>
      <c r="F79" s="6"/>
      <c r="G79" s="6"/>
      <c r="H79" s="6"/>
      <c r="M79" s="6"/>
    </row>
    <row r="80" spans="1:13" ht="14.25" customHeight="1" x14ac:dyDescent="0.55000000000000004">
      <c r="A80" s="6"/>
      <c r="F80" s="6"/>
      <c r="G80" s="6"/>
      <c r="H80" s="6"/>
      <c r="M80" s="6"/>
    </row>
    <row r="81" spans="1:13" ht="14.25" customHeight="1" x14ac:dyDescent="0.55000000000000004">
      <c r="A81" s="6"/>
      <c r="F81" s="6"/>
      <c r="G81" s="6"/>
      <c r="H81" s="6"/>
      <c r="M81" s="6"/>
    </row>
    <row r="82" spans="1:13" ht="14.25" customHeight="1" x14ac:dyDescent="0.55000000000000004">
      <c r="A82" s="6"/>
      <c r="F82" s="6"/>
      <c r="G82" s="6"/>
      <c r="H82" s="6"/>
      <c r="M82" s="6"/>
    </row>
    <row r="83" spans="1:13" ht="14.25" customHeight="1" x14ac:dyDescent="0.55000000000000004">
      <c r="A83" s="6"/>
      <c r="F83" s="6"/>
      <c r="G83" s="6"/>
      <c r="H83" s="6"/>
      <c r="M83" s="6"/>
    </row>
    <row r="84" spans="1:13" ht="14.25" customHeight="1" x14ac:dyDescent="0.55000000000000004">
      <c r="A84" s="6"/>
      <c r="F84" s="6"/>
      <c r="G84" s="6"/>
      <c r="H84" s="6"/>
      <c r="M84" s="6"/>
    </row>
    <row r="85" spans="1:13" ht="14.25" customHeight="1" x14ac:dyDescent="0.55000000000000004">
      <c r="A85" s="6"/>
      <c r="F85" s="6"/>
      <c r="G85" s="6"/>
      <c r="H85" s="6"/>
      <c r="M85" s="6"/>
    </row>
    <row r="86" spans="1:13" ht="14.25" customHeight="1" x14ac:dyDescent="0.55000000000000004">
      <c r="A86" s="6"/>
      <c r="F86" s="6"/>
      <c r="G86" s="6"/>
      <c r="H86" s="6"/>
      <c r="M86" s="6"/>
    </row>
    <row r="87" spans="1:13" ht="14.25" customHeight="1" x14ac:dyDescent="0.55000000000000004">
      <c r="A87" s="6"/>
      <c r="F87" s="6"/>
      <c r="G87" s="6"/>
      <c r="H87" s="6"/>
      <c r="M87" s="6"/>
    </row>
    <row r="88" spans="1:13" ht="14.25" customHeight="1" x14ac:dyDescent="0.55000000000000004">
      <c r="A88" s="6"/>
      <c r="F88" s="6"/>
      <c r="G88" s="6"/>
      <c r="H88" s="6"/>
      <c r="M88" s="6"/>
    </row>
    <row r="89" spans="1:13" ht="14.25" customHeight="1" x14ac:dyDescent="0.55000000000000004">
      <c r="A89" s="6"/>
      <c r="F89" s="6"/>
      <c r="G89" s="6"/>
      <c r="H89" s="6"/>
      <c r="M89" s="6"/>
    </row>
    <row r="90" spans="1:13" ht="14.25" customHeight="1" x14ac:dyDescent="0.55000000000000004">
      <c r="A90" s="6"/>
      <c r="F90" s="6"/>
      <c r="G90" s="6"/>
      <c r="H90" s="6"/>
      <c r="M90" s="6"/>
    </row>
    <row r="91" spans="1:13" ht="14.25" customHeight="1" x14ac:dyDescent="0.55000000000000004">
      <c r="A91" s="6"/>
      <c r="F91" s="6"/>
      <c r="G91" s="6"/>
      <c r="H91" s="6"/>
      <c r="M91" s="6"/>
    </row>
    <row r="92" spans="1:13" ht="14.25" customHeight="1" x14ac:dyDescent="0.55000000000000004">
      <c r="A92" s="6"/>
      <c r="F92" s="6"/>
      <c r="G92" s="6"/>
      <c r="H92" s="6"/>
      <c r="M92" s="6"/>
    </row>
    <row r="93" spans="1:13" ht="14.25" customHeight="1" x14ac:dyDescent="0.55000000000000004">
      <c r="A93" s="6"/>
      <c r="F93" s="6"/>
      <c r="G93" s="6"/>
      <c r="H93" s="6"/>
      <c r="M93" s="6"/>
    </row>
    <row r="94" spans="1:13" ht="14.25" customHeight="1" x14ac:dyDescent="0.55000000000000004">
      <c r="A94" s="6"/>
      <c r="F94" s="6"/>
      <c r="G94" s="6"/>
      <c r="H94" s="6"/>
      <c r="M94" s="6"/>
    </row>
    <row r="95" spans="1:13" ht="14.25" customHeight="1" x14ac:dyDescent="0.55000000000000004">
      <c r="A95" s="6"/>
      <c r="F95" s="6"/>
      <c r="G95" s="6"/>
      <c r="H95" s="6"/>
      <c r="M95" s="6"/>
    </row>
    <row r="96" spans="1:13" ht="14.25" customHeight="1" x14ac:dyDescent="0.55000000000000004">
      <c r="A96" s="6"/>
      <c r="F96" s="6"/>
      <c r="G96" s="6"/>
      <c r="H96" s="6"/>
      <c r="M96" s="6"/>
    </row>
    <row r="97" spans="1:13" ht="14.25" customHeight="1" x14ac:dyDescent="0.55000000000000004">
      <c r="A97" s="6"/>
      <c r="F97" s="6"/>
      <c r="G97" s="6"/>
      <c r="H97" s="6"/>
      <c r="M97" s="6"/>
    </row>
    <row r="98" spans="1:13" ht="14.25" customHeight="1" x14ac:dyDescent="0.55000000000000004">
      <c r="A98" s="6"/>
      <c r="F98" s="6"/>
      <c r="G98" s="6"/>
      <c r="H98" s="6"/>
      <c r="M98" s="6"/>
    </row>
    <row r="99" spans="1:13" ht="14.25" customHeight="1" x14ac:dyDescent="0.55000000000000004">
      <c r="A99" s="6"/>
      <c r="F99" s="6"/>
      <c r="G99" s="6"/>
      <c r="H99" s="6"/>
      <c r="M99" s="6"/>
    </row>
    <row r="100" spans="1:13" ht="14.25" customHeight="1" x14ac:dyDescent="0.55000000000000004">
      <c r="A100" s="6"/>
      <c r="F100" s="6"/>
      <c r="G100" s="6"/>
      <c r="H100" s="6"/>
      <c r="M100" s="6"/>
    </row>
    <row r="101" spans="1:13" ht="14.25" customHeight="1" x14ac:dyDescent="0.55000000000000004">
      <c r="A101" s="6"/>
      <c r="F101" s="6"/>
      <c r="G101" s="6"/>
      <c r="H101" s="6"/>
      <c r="M101" s="6"/>
    </row>
    <row r="102" spans="1:13" ht="14.25" customHeight="1" x14ac:dyDescent="0.55000000000000004">
      <c r="A102" s="6"/>
      <c r="F102" s="6"/>
      <c r="G102" s="6"/>
      <c r="H102" s="6"/>
      <c r="M102" s="6"/>
    </row>
    <row r="103" spans="1:13" ht="14.25" customHeight="1" x14ac:dyDescent="0.55000000000000004">
      <c r="A103" s="6"/>
      <c r="F103" s="6"/>
      <c r="G103" s="6"/>
      <c r="H103" s="6"/>
      <c r="M103" s="6"/>
    </row>
    <row r="104" spans="1:13" ht="14.25" customHeight="1" x14ac:dyDescent="0.55000000000000004">
      <c r="A104" s="6"/>
      <c r="F104" s="6"/>
      <c r="G104" s="6"/>
      <c r="H104" s="6"/>
      <c r="M104" s="6"/>
    </row>
    <row r="105" spans="1:13" ht="14.25" customHeight="1" x14ac:dyDescent="0.55000000000000004">
      <c r="A105" s="6"/>
      <c r="F105" s="6"/>
      <c r="G105" s="6"/>
      <c r="H105" s="6"/>
      <c r="M105" s="6"/>
    </row>
    <row r="106" spans="1:13" ht="14.25" customHeight="1" x14ac:dyDescent="0.55000000000000004">
      <c r="A106" s="6"/>
      <c r="F106" s="6"/>
      <c r="G106" s="6"/>
      <c r="H106" s="6"/>
      <c r="M106" s="6"/>
    </row>
    <row r="107" spans="1:13" ht="14.25" customHeight="1" x14ac:dyDescent="0.55000000000000004">
      <c r="A107" s="6"/>
      <c r="F107" s="6"/>
      <c r="G107" s="6"/>
      <c r="H107" s="6"/>
      <c r="M107" s="6"/>
    </row>
    <row r="108" spans="1:13" ht="14.25" customHeight="1" x14ac:dyDescent="0.55000000000000004">
      <c r="A108" s="6"/>
      <c r="F108" s="6"/>
      <c r="G108" s="6"/>
      <c r="H108" s="6"/>
      <c r="M108" s="6"/>
    </row>
    <row r="109" spans="1:13" ht="14.25" customHeight="1" x14ac:dyDescent="0.55000000000000004">
      <c r="A109" s="6"/>
      <c r="F109" s="6"/>
      <c r="G109" s="6"/>
      <c r="H109" s="6"/>
      <c r="M109" s="6"/>
    </row>
    <row r="110" spans="1:13" ht="14.25" customHeight="1" x14ac:dyDescent="0.55000000000000004">
      <c r="A110" s="6"/>
      <c r="F110" s="6"/>
      <c r="G110" s="6"/>
      <c r="H110" s="6"/>
      <c r="M110" s="6"/>
    </row>
    <row r="111" spans="1:13" ht="14.25" customHeight="1" x14ac:dyDescent="0.55000000000000004">
      <c r="A111" s="6"/>
      <c r="F111" s="6"/>
      <c r="G111" s="6"/>
      <c r="H111" s="6"/>
      <c r="M111" s="6"/>
    </row>
    <row r="112" spans="1:13" ht="14.25" customHeight="1" x14ac:dyDescent="0.55000000000000004">
      <c r="A112" s="6"/>
      <c r="F112" s="6"/>
      <c r="G112" s="6"/>
      <c r="H112" s="6"/>
      <c r="M112" s="6"/>
    </row>
    <row r="113" spans="1:13" ht="14.25" customHeight="1" x14ac:dyDescent="0.55000000000000004">
      <c r="A113" s="6"/>
      <c r="F113" s="6"/>
      <c r="G113" s="6"/>
      <c r="H113" s="6"/>
      <c r="M113" s="6"/>
    </row>
    <row r="114" spans="1:13" ht="14.25" customHeight="1" x14ac:dyDescent="0.55000000000000004">
      <c r="A114" s="6"/>
      <c r="F114" s="6"/>
      <c r="G114" s="6"/>
      <c r="H114" s="6"/>
      <c r="M114" s="6"/>
    </row>
    <row r="115" spans="1:13" ht="14.25" customHeight="1" x14ac:dyDescent="0.55000000000000004">
      <c r="A115" s="6"/>
      <c r="F115" s="6"/>
      <c r="G115" s="6"/>
      <c r="H115" s="6"/>
      <c r="M115" s="6"/>
    </row>
    <row r="116" spans="1:13" ht="14.25" customHeight="1" x14ac:dyDescent="0.55000000000000004">
      <c r="A116" s="6"/>
      <c r="F116" s="6"/>
      <c r="G116" s="6"/>
      <c r="H116" s="6"/>
      <c r="M116" s="6"/>
    </row>
    <row r="117" spans="1:13" ht="14.25" customHeight="1" x14ac:dyDescent="0.55000000000000004">
      <c r="A117" s="6"/>
      <c r="F117" s="6"/>
      <c r="G117" s="6"/>
      <c r="H117" s="6"/>
      <c r="M117" s="6"/>
    </row>
    <row r="118" spans="1:13" ht="14.25" customHeight="1" x14ac:dyDescent="0.55000000000000004">
      <c r="A118" s="6"/>
      <c r="F118" s="6"/>
      <c r="G118" s="6"/>
      <c r="H118" s="6"/>
      <c r="M118" s="6"/>
    </row>
    <row r="119" spans="1:13" ht="14.25" customHeight="1" x14ac:dyDescent="0.55000000000000004">
      <c r="A119" s="6"/>
      <c r="F119" s="6"/>
      <c r="G119" s="6"/>
      <c r="H119" s="6"/>
      <c r="M119" s="6"/>
    </row>
    <row r="120" spans="1:13" ht="14.25" customHeight="1" x14ac:dyDescent="0.55000000000000004">
      <c r="A120" s="6"/>
      <c r="F120" s="6"/>
      <c r="G120" s="6"/>
      <c r="H120" s="6"/>
      <c r="M120" s="6"/>
    </row>
    <row r="121" spans="1:13" ht="14.25" customHeight="1" x14ac:dyDescent="0.55000000000000004">
      <c r="A121" s="6"/>
      <c r="F121" s="6"/>
      <c r="G121" s="6"/>
      <c r="H121" s="6"/>
      <c r="M121" s="6"/>
    </row>
    <row r="122" spans="1:13" ht="14.25" customHeight="1" x14ac:dyDescent="0.55000000000000004">
      <c r="A122" s="6"/>
      <c r="F122" s="6"/>
      <c r="G122" s="6"/>
      <c r="H122" s="6"/>
      <c r="M122" s="6"/>
    </row>
    <row r="123" spans="1:13" ht="14.25" customHeight="1" x14ac:dyDescent="0.55000000000000004">
      <c r="A123" s="6"/>
      <c r="F123" s="6"/>
      <c r="G123" s="6"/>
      <c r="H123" s="6"/>
      <c r="M123" s="6"/>
    </row>
    <row r="124" spans="1:13" ht="14.25" customHeight="1" x14ac:dyDescent="0.55000000000000004">
      <c r="A124" s="6"/>
      <c r="F124" s="6"/>
      <c r="G124" s="6"/>
      <c r="H124" s="6"/>
      <c r="M124" s="6"/>
    </row>
    <row r="125" spans="1:13" ht="14.25" customHeight="1" x14ac:dyDescent="0.55000000000000004">
      <c r="A125" s="6"/>
      <c r="F125" s="6"/>
      <c r="G125" s="6"/>
      <c r="H125" s="6"/>
      <c r="M125" s="6"/>
    </row>
    <row r="126" spans="1:13" ht="14.25" customHeight="1" x14ac:dyDescent="0.55000000000000004">
      <c r="A126" s="6"/>
      <c r="F126" s="6"/>
      <c r="G126" s="6"/>
      <c r="H126" s="6"/>
      <c r="M126" s="6"/>
    </row>
    <row r="127" spans="1:13" ht="14.25" customHeight="1" x14ac:dyDescent="0.55000000000000004">
      <c r="A127" s="6"/>
      <c r="F127" s="6"/>
      <c r="G127" s="6"/>
      <c r="H127" s="6"/>
      <c r="M127" s="6"/>
    </row>
    <row r="128" spans="1:13" ht="14.25" customHeight="1" x14ac:dyDescent="0.55000000000000004">
      <c r="A128" s="6"/>
      <c r="F128" s="6"/>
      <c r="G128" s="6"/>
      <c r="H128" s="6"/>
      <c r="M128" s="6"/>
    </row>
    <row r="129" spans="1:13" ht="14.25" customHeight="1" x14ac:dyDescent="0.55000000000000004">
      <c r="A129" s="6"/>
      <c r="F129" s="6"/>
      <c r="G129" s="6"/>
      <c r="H129" s="6"/>
      <c r="M129" s="6"/>
    </row>
    <row r="130" spans="1:13" ht="14.25" customHeight="1" x14ac:dyDescent="0.55000000000000004">
      <c r="A130" s="6"/>
      <c r="F130" s="6"/>
      <c r="G130" s="6"/>
      <c r="H130" s="6"/>
      <c r="M130" s="6"/>
    </row>
    <row r="131" spans="1:13" ht="14.25" customHeight="1" x14ac:dyDescent="0.55000000000000004">
      <c r="A131" s="6"/>
      <c r="F131" s="6"/>
      <c r="G131" s="6"/>
      <c r="H131" s="6"/>
      <c r="M131" s="6"/>
    </row>
    <row r="132" spans="1:13" ht="14.25" customHeight="1" x14ac:dyDescent="0.55000000000000004">
      <c r="A132" s="6"/>
      <c r="F132" s="6"/>
      <c r="G132" s="6"/>
      <c r="H132" s="6"/>
      <c r="M132" s="6"/>
    </row>
    <row r="133" spans="1:13" ht="14.25" customHeight="1" x14ac:dyDescent="0.55000000000000004">
      <c r="A133" s="6"/>
      <c r="F133" s="6"/>
      <c r="G133" s="6"/>
      <c r="H133" s="6"/>
      <c r="M133" s="6"/>
    </row>
    <row r="134" spans="1:13" ht="14.25" customHeight="1" x14ac:dyDescent="0.55000000000000004">
      <c r="A134" s="6"/>
      <c r="F134" s="6"/>
      <c r="G134" s="6"/>
      <c r="H134" s="6"/>
      <c r="M134" s="6"/>
    </row>
    <row r="135" spans="1:13" ht="14.25" customHeight="1" x14ac:dyDescent="0.55000000000000004">
      <c r="A135" s="6"/>
      <c r="F135" s="6"/>
      <c r="G135" s="6"/>
      <c r="H135" s="6"/>
      <c r="M135" s="6"/>
    </row>
    <row r="136" spans="1:13" ht="14.25" customHeight="1" x14ac:dyDescent="0.55000000000000004">
      <c r="A136" s="6"/>
      <c r="F136" s="6"/>
      <c r="G136" s="6"/>
      <c r="H136" s="6"/>
      <c r="M136" s="6"/>
    </row>
    <row r="137" spans="1:13" ht="14.25" customHeight="1" x14ac:dyDescent="0.55000000000000004">
      <c r="A137" s="6"/>
      <c r="F137" s="6"/>
      <c r="G137" s="6"/>
      <c r="H137" s="6"/>
      <c r="M137" s="6"/>
    </row>
    <row r="138" spans="1:13" ht="14.25" customHeight="1" x14ac:dyDescent="0.55000000000000004">
      <c r="A138" s="6"/>
      <c r="F138" s="6"/>
      <c r="G138" s="6"/>
      <c r="H138" s="6"/>
      <c r="M138" s="6"/>
    </row>
    <row r="139" spans="1:13" ht="14.25" customHeight="1" x14ac:dyDescent="0.55000000000000004">
      <c r="A139" s="6"/>
      <c r="F139" s="6"/>
      <c r="G139" s="6"/>
      <c r="H139" s="6"/>
      <c r="M139" s="6"/>
    </row>
    <row r="140" spans="1:13" ht="14.25" customHeight="1" x14ac:dyDescent="0.55000000000000004">
      <c r="A140" s="6"/>
      <c r="F140" s="6"/>
      <c r="G140" s="6"/>
      <c r="H140" s="6"/>
      <c r="M140" s="6"/>
    </row>
    <row r="141" spans="1:13" ht="14.25" customHeight="1" x14ac:dyDescent="0.55000000000000004">
      <c r="A141" s="6"/>
      <c r="F141" s="6"/>
      <c r="G141" s="6"/>
      <c r="H141" s="6"/>
      <c r="M141" s="6"/>
    </row>
    <row r="142" spans="1:13" ht="14.25" customHeight="1" x14ac:dyDescent="0.55000000000000004">
      <c r="A142" s="6"/>
      <c r="F142" s="6"/>
      <c r="G142" s="6"/>
      <c r="H142" s="6"/>
      <c r="M142" s="6"/>
    </row>
    <row r="143" spans="1:13" ht="14.25" customHeight="1" x14ac:dyDescent="0.55000000000000004">
      <c r="A143" s="6"/>
      <c r="F143" s="6"/>
      <c r="G143" s="6"/>
      <c r="H143" s="6"/>
      <c r="M143" s="6"/>
    </row>
    <row r="144" spans="1:13" ht="14.25" customHeight="1" x14ac:dyDescent="0.55000000000000004">
      <c r="A144" s="6"/>
      <c r="F144" s="6"/>
      <c r="G144" s="6"/>
      <c r="H144" s="6"/>
      <c r="M144" s="6"/>
    </row>
    <row r="145" spans="1:13" ht="14.25" customHeight="1" x14ac:dyDescent="0.55000000000000004">
      <c r="A145" s="6"/>
      <c r="F145" s="6"/>
      <c r="G145" s="6"/>
      <c r="H145" s="6"/>
      <c r="M145" s="6"/>
    </row>
    <row r="146" spans="1:13" ht="14.25" customHeight="1" x14ac:dyDescent="0.55000000000000004">
      <c r="A146" s="6"/>
      <c r="F146" s="6"/>
      <c r="G146" s="6"/>
      <c r="H146" s="6"/>
      <c r="M146" s="6"/>
    </row>
    <row r="147" spans="1:13" ht="14.25" customHeight="1" x14ac:dyDescent="0.55000000000000004">
      <c r="A147" s="6"/>
      <c r="F147" s="6"/>
      <c r="G147" s="6"/>
      <c r="H147" s="6"/>
      <c r="M147" s="6"/>
    </row>
    <row r="148" spans="1:13" ht="14.25" customHeight="1" x14ac:dyDescent="0.55000000000000004">
      <c r="A148" s="6"/>
      <c r="F148" s="6"/>
      <c r="G148" s="6"/>
      <c r="H148" s="6"/>
      <c r="M148" s="6"/>
    </row>
    <row r="149" spans="1:13" ht="14.25" customHeight="1" x14ac:dyDescent="0.55000000000000004">
      <c r="A149" s="6"/>
      <c r="F149" s="6"/>
      <c r="G149" s="6"/>
      <c r="H149" s="6"/>
      <c r="M149" s="6"/>
    </row>
    <row r="150" spans="1:13" ht="14.25" customHeight="1" x14ac:dyDescent="0.55000000000000004">
      <c r="A150" s="6"/>
      <c r="F150" s="6"/>
      <c r="G150" s="6"/>
      <c r="H150" s="6"/>
      <c r="M150" s="6"/>
    </row>
    <row r="151" spans="1:13" ht="14.25" customHeight="1" x14ac:dyDescent="0.55000000000000004">
      <c r="A151" s="6"/>
      <c r="F151" s="6"/>
      <c r="G151" s="6"/>
      <c r="H151" s="6"/>
      <c r="M151" s="6"/>
    </row>
    <row r="152" spans="1:13" ht="14.25" customHeight="1" x14ac:dyDescent="0.55000000000000004">
      <c r="A152" s="6"/>
      <c r="F152" s="6"/>
      <c r="G152" s="6"/>
      <c r="H152" s="6"/>
      <c r="M152" s="6"/>
    </row>
    <row r="153" spans="1:13" ht="14.25" customHeight="1" x14ac:dyDescent="0.55000000000000004">
      <c r="A153" s="6"/>
      <c r="F153" s="6"/>
      <c r="G153" s="6"/>
      <c r="H153" s="6"/>
      <c r="M153" s="6"/>
    </row>
    <row r="154" spans="1:13" ht="14.25" customHeight="1" x14ac:dyDescent="0.55000000000000004">
      <c r="A154" s="6"/>
      <c r="F154" s="6"/>
      <c r="G154" s="6"/>
      <c r="H154" s="6"/>
      <c r="M154" s="6"/>
    </row>
    <row r="155" spans="1:13" ht="14.25" customHeight="1" x14ac:dyDescent="0.55000000000000004">
      <c r="A155" s="6"/>
      <c r="F155" s="6"/>
      <c r="G155" s="6"/>
      <c r="H155" s="6"/>
      <c r="M155" s="6"/>
    </row>
    <row r="156" spans="1:13" ht="14.25" customHeight="1" x14ac:dyDescent="0.55000000000000004">
      <c r="A156" s="6"/>
      <c r="F156" s="6"/>
      <c r="G156" s="6"/>
      <c r="H156" s="6"/>
      <c r="M156" s="6"/>
    </row>
    <row r="157" spans="1:13" ht="14.25" customHeight="1" x14ac:dyDescent="0.55000000000000004">
      <c r="A157" s="6"/>
      <c r="F157" s="6"/>
      <c r="G157" s="6"/>
      <c r="H157" s="6"/>
      <c r="M157" s="6"/>
    </row>
    <row r="158" spans="1:13" ht="14.25" customHeight="1" x14ac:dyDescent="0.55000000000000004">
      <c r="A158" s="6"/>
      <c r="F158" s="6"/>
      <c r="G158" s="6"/>
      <c r="H158" s="6"/>
      <c r="M158" s="6"/>
    </row>
    <row r="159" spans="1:13" ht="14.25" customHeight="1" x14ac:dyDescent="0.55000000000000004">
      <c r="A159" s="6"/>
      <c r="F159" s="6"/>
      <c r="G159" s="6"/>
      <c r="H159" s="6"/>
      <c r="M159" s="6"/>
    </row>
    <row r="160" spans="1:13" ht="14.25" customHeight="1" x14ac:dyDescent="0.55000000000000004">
      <c r="A160" s="6"/>
      <c r="F160" s="6"/>
      <c r="G160" s="6"/>
      <c r="H160" s="6"/>
      <c r="M160" s="6"/>
    </row>
    <row r="161" spans="1:13" ht="14.25" customHeight="1" x14ac:dyDescent="0.55000000000000004">
      <c r="A161" s="6"/>
      <c r="F161" s="6"/>
      <c r="G161" s="6"/>
      <c r="H161" s="6"/>
      <c r="M161" s="6"/>
    </row>
    <row r="162" spans="1:13" ht="14.25" customHeight="1" x14ac:dyDescent="0.55000000000000004">
      <c r="A162" s="6"/>
      <c r="F162" s="6"/>
      <c r="G162" s="6"/>
      <c r="H162" s="6"/>
      <c r="M162" s="6"/>
    </row>
    <row r="163" spans="1:13" ht="14.25" customHeight="1" x14ac:dyDescent="0.55000000000000004">
      <c r="A163" s="6"/>
      <c r="F163" s="6"/>
      <c r="G163" s="6"/>
      <c r="H163" s="6"/>
      <c r="M163" s="6"/>
    </row>
    <row r="164" spans="1:13" ht="14.25" customHeight="1" x14ac:dyDescent="0.55000000000000004">
      <c r="A164" s="6"/>
      <c r="F164" s="6"/>
      <c r="G164" s="6"/>
      <c r="H164" s="6"/>
      <c r="M164" s="6"/>
    </row>
    <row r="165" spans="1:13" ht="14.25" customHeight="1" x14ac:dyDescent="0.55000000000000004">
      <c r="A165" s="6"/>
      <c r="F165" s="6"/>
      <c r="G165" s="6"/>
      <c r="H165" s="6"/>
      <c r="M165" s="6"/>
    </row>
    <row r="166" spans="1:13" ht="14.25" customHeight="1" x14ac:dyDescent="0.55000000000000004">
      <c r="A166" s="6"/>
      <c r="F166" s="6"/>
      <c r="G166" s="6"/>
      <c r="H166" s="6"/>
      <c r="M166" s="6"/>
    </row>
    <row r="167" spans="1:13" ht="14.25" customHeight="1" x14ac:dyDescent="0.55000000000000004">
      <c r="A167" s="6"/>
      <c r="F167" s="6"/>
      <c r="G167" s="6"/>
      <c r="H167" s="6"/>
      <c r="M167" s="6"/>
    </row>
    <row r="168" spans="1:13" ht="14.25" customHeight="1" x14ac:dyDescent="0.55000000000000004">
      <c r="A168" s="6"/>
      <c r="F168" s="6"/>
      <c r="G168" s="6"/>
      <c r="H168" s="6"/>
      <c r="M168" s="6"/>
    </row>
    <row r="169" spans="1:13" ht="14.25" customHeight="1" x14ac:dyDescent="0.55000000000000004">
      <c r="A169" s="6"/>
      <c r="F169" s="6"/>
      <c r="G169" s="6"/>
      <c r="H169" s="6"/>
      <c r="M169" s="6"/>
    </row>
    <row r="170" spans="1:13" ht="14.25" customHeight="1" x14ac:dyDescent="0.55000000000000004">
      <c r="A170" s="6"/>
      <c r="F170" s="6"/>
      <c r="G170" s="6"/>
      <c r="H170" s="6"/>
      <c r="M170" s="6"/>
    </row>
    <row r="171" spans="1:13" ht="14.25" customHeight="1" x14ac:dyDescent="0.55000000000000004">
      <c r="A171" s="6"/>
      <c r="F171" s="6"/>
      <c r="G171" s="6"/>
      <c r="H171" s="6"/>
      <c r="M171" s="6"/>
    </row>
    <row r="172" spans="1:13" ht="14.25" customHeight="1" x14ac:dyDescent="0.55000000000000004">
      <c r="A172" s="6"/>
      <c r="F172" s="6"/>
      <c r="G172" s="6"/>
      <c r="H172" s="6"/>
      <c r="M172" s="6"/>
    </row>
    <row r="173" spans="1:13" ht="14.25" customHeight="1" x14ac:dyDescent="0.55000000000000004">
      <c r="A173" s="6"/>
      <c r="F173" s="6"/>
      <c r="G173" s="6"/>
      <c r="H173" s="6"/>
      <c r="M173" s="6"/>
    </row>
    <row r="174" spans="1:13" ht="14.25" customHeight="1" x14ac:dyDescent="0.55000000000000004">
      <c r="A174" s="6"/>
      <c r="F174" s="6"/>
      <c r="G174" s="6"/>
      <c r="H174" s="6"/>
      <c r="M174" s="6"/>
    </row>
    <row r="175" spans="1:13" ht="14.25" customHeight="1" x14ac:dyDescent="0.55000000000000004">
      <c r="A175" s="6"/>
      <c r="F175" s="6"/>
      <c r="G175" s="6"/>
      <c r="H175" s="6"/>
      <c r="M175" s="6"/>
    </row>
    <row r="176" spans="1:13" ht="14.25" customHeight="1" x14ac:dyDescent="0.55000000000000004">
      <c r="A176" s="6"/>
      <c r="F176" s="6"/>
      <c r="G176" s="6"/>
      <c r="H176" s="6"/>
      <c r="M176" s="6"/>
    </row>
    <row r="177" spans="1:13" ht="14.25" customHeight="1" x14ac:dyDescent="0.55000000000000004">
      <c r="A177" s="6"/>
      <c r="F177" s="6"/>
      <c r="G177" s="6"/>
      <c r="H177" s="6"/>
      <c r="M177" s="6"/>
    </row>
    <row r="178" spans="1:13" ht="14.25" customHeight="1" x14ac:dyDescent="0.55000000000000004">
      <c r="A178" s="6"/>
      <c r="F178" s="6"/>
      <c r="G178" s="6"/>
      <c r="H178" s="6"/>
      <c r="M178" s="6"/>
    </row>
    <row r="179" spans="1:13" ht="14.25" customHeight="1" x14ac:dyDescent="0.55000000000000004">
      <c r="A179" s="6"/>
      <c r="F179" s="6"/>
      <c r="G179" s="6"/>
      <c r="H179" s="6"/>
      <c r="M179" s="6"/>
    </row>
    <row r="180" spans="1:13" ht="14.25" customHeight="1" x14ac:dyDescent="0.55000000000000004">
      <c r="A180" s="6"/>
      <c r="F180" s="6"/>
      <c r="G180" s="6"/>
      <c r="H180" s="6"/>
      <c r="M180" s="6"/>
    </row>
    <row r="181" spans="1:13" ht="14.25" customHeight="1" x14ac:dyDescent="0.55000000000000004">
      <c r="A181" s="6"/>
      <c r="F181" s="6"/>
      <c r="G181" s="6"/>
      <c r="H181" s="6"/>
      <c r="M181" s="6"/>
    </row>
    <row r="182" spans="1:13" ht="14.25" customHeight="1" x14ac:dyDescent="0.55000000000000004">
      <c r="A182" s="6"/>
      <c r="F182" s="6"/>
      <c r="G182" s="6"/>
      <c r="H182" s="6"/>
      <c r="M182" s="6"/>
    </row>
    <row r="183" spans="1:13" ht="14.25" customHeight="1" x14ac:dyDescent="0.55000000000000004">
      <c r="A183" s="6"/>
      <c r="F183" s="6"/>
      <c r="G183" s="6"/>
      <c r="H183" s="6"/>
      <c r="M183" s="6"/>
    </row>
    <row r="184" spans="1:13" ht="14.25" customHeight="1" x14ac:dyDescent="0.55000000000000004">
      <c r="A184" s="6"/>
      <c r="F184" s="6"/>
      <c r="G184" s="6"/>
      <c r="H184" s="6"/>
      <c r="M184" s="6"/>
    </row>
    <row r="185" spans="1:13" ht="14.25" customHeight="1" x14ac:dyDescent="0.55000000000000004">
      <c r="A185" s="6"/>
      <c r="F185" s="6"/>
      <c r="G185" s="6"/>
      <c r="H185" s="6"/>
      <c r="M185" s="6"/>
    </row>
    <row r="186" spans="1:13" ht="14.25" customHeight="1" x14ac:dyDescent="0.55000000000000004">
      <c r="A186" s="6"/>
      <c r="F186" s="6"/>
      <c r="G186" s="6"/>
      <c r="H186" s="6"/>
      <c r="M186" s="6"/>
    </row>
    <row r="187" spans="1:13" ht="14.25" customHeight="1" x14ac:dyDescent="0.55000000000000004">
      <c r="A187" s="6"/>
      <c r="F187" s="6"/>
      <c r="G187" s="6"/>
      <c r="H187" s="6"/>
      <c r="M187" s="6"/>
    </row>
    <row r="188" spans="1:13" ht="14.25" customHeight="1" x14ac:dyDescent="0.55000000000000004">
      <c r="A188" s="6"/>
      <c r="F188" s="6"/>
      <c r="G188" s="6"/>
      <c r="H188" s="6"/>
      <c r="M188" s="6"/>
    </row>
    <row r="189" spans="1:13" ht="14.25" customHeight="1" x14ac:dyDescent="0.55000000000000004">
      <c r="A189" s="6"/>
      <c r="F189" s="6"/>
      <c r="G189" s="6"/>
      <c r="H189" s="6"/>
      <c r="M189" s="6"/>
    </row>
    <row r="190" spans="1:13" ht="14.25" customHeight="1" x14ac:dyDescent="0.55000000000000004">
      <c r="A190" s="6"/>
      <c r="F190" s="6"/>
      <c r="G190" s="6"/>
      <c r="H190" s="6"/>
      <c r="M190" s="6"/>
    </row>
    <row r="191" spans="1:13" ht="14.25" customHeight="1" x14ac:dyDescent="0.55000000000000004">
      <c r="A191" s="6"/>
      <c r="F191" s="6"/>
      <c r="G191" s="6"/>
      <c r="H191" s="6"/>
      <c r="M191" s="6"/>
    </row>
    <row r="192" spans="1:13" ht="14.25" customHeight="1" x14ac:dyDescent="0.55000000000000004">
      <c r="A192" s="6"/>
      <c r="F192" s="6"/>
      <c r="G192" s="6"/>
      <c r="H192" s="6"/>
      <c r="M192" s="6"/>
    </row>
    <row r="193" spans="1:13" ht="14.25" customHeight="1" x14ac:dyDescent="0.55000000000000004">
      <c r="A193" s="6"/>
      <c r="F193" s="6"/>
      <c r="G193" s="6"/>
      <c r="H193" s="6"/>
      <c r="M193" s="6"/>
    </row>
    <row r="194" spans="1:13" ht="14.25" customHeight="1" x14ac:dyDescent="0.55000000000000004">
      <c r="A194" s="6"/>
      <c r="F194" s="6"/>
      <c r="G194" s="6"/>
      <c r="H194" s="6"/>
      <c r="M194" s="6"/>
    </row>
    <row r="195" spans="1:13" ht="14.25" customHeight="1" x14ac:dyDescent="0.55000000000000004">
      <c r="A195" s="6"/>
      <c r="F195" s="6"/>
      <c r="G195" s="6"/>
      <c r="H195" s="6"/>
      <c r="M195" s="6"/>
    </row>
    <row r="196" spans="1:13" ht="14.25" customHeight="1" x14ac:dyDescent="0.55000000000000004">
      <c r="A196" s="6"/>
      <c r="F196" s="6"/>
      <c r="G196" s="6"/>
      <c r="H196" s="6"/>
      <c r="M196" s="6"/>
    </row>
    <row r="197" spans="1:13" ht="14.25" customHeight="1" x14ac:dyDescent="0.55000000000000004">
      <c r="A197" s="6"/>
      <c r="F197" s="6"/>
      <c r="G197" s="6"/>
      <c r="H197" s="6"/>
      <c r="M197" s="6"/>
    </row>
    <row r="198" spans="1:13" ht="14.25" customHeight="1" x14ac:dyDescent="0.55000000000000004">
      <c r="A198" s="6"/>
      <c r="F198" s="6"/>
      <c r="G198" s="6"/>
      <c r="H198" s="6"/>
      <c r="M198" s="6"/>
    </row>
    <row r="199" spans="1:13" ht="14.25" customHeight="1" x14ac:dyDescent="0.55000000000000004">
      <c r="A199" s="6"/>
      <c r="F199" s="6"/>
      <c r="G199" s="6"/>
      <c r="H199" s="6"/>
      <c r="M199" s="6"/>
    </row>
    <row r="200" spans="1:13" ht="14.25" customHeight="1" x14ac:dyDescent="0.55000000000000004">
      <c r="A200" s="6"/>
      <c r="F200" s="6"/>
      <c r="G200" s="6"/>
      <c r="H200" s="6"/>
      <c r="M200" s="6"/>
    </row>
    <row r="201" spans="1:13" ht="14.25" customHeight="1" x14ac:dyDescent="0.55000000000000004">
      <c r="A201" s="6"/>
      <c r="F201" s="6"/>
      <c r="G201" s="6"/>
      <c r="H201" s="6"/>
      <c r="M201" s="6"/>
    </row>
    <row r="202" spans="1:13" ht="14.25" customHeight="1" x14ac:dyDescent="0.55000000000000004">
      <c r="A202" s="6"/>
      <c r="F202" s="6"/>
      <c r="G202" s="6"/>
      <c r="H202" s="6"/>
      <c r="M202" s="6"/>
    </row>
    <row r="203" spans="1:13" ht="14.25" customHeight="1" x14ac:dyDescent="0.55000000000000004">
      <c r="A203" s="6"/>
      <c r="F203" s="6"/>
      <c r="G203" s="6"/>
      <c r="H203" s="6"/>
      <c r="M203" s="6"/>
    </row>
    <row r="204" spans="1:13" ht="14.25" customHeight="1" x14ac:dyDescent="0.55000000000000004">
      <c r="A204" s="6"/>
      <c r="F204" s="6"/>
      <c r="G204" s="6"/>
      <c r="H204" s="6"/>
      <c r="M204" s="6"/>
    </row>
    <row r="205" spans="1:13" ht="14.25" customHeight="1" x14ac:dyDescent="0.55000000000000004">
      <c r="A205" s="6"/>
      <c r="F205" s="6"/>
      <c r="G205" s="6"/>
      <c r="H205" s="6"/>
      <c r="M205" s="6"/>
    </row>
    <row r="206" spans="1:13" ht="14.25" customHeight="1" x14ac:dyDescent="0.55000000000000004">
      <c r="A206" s="6"/>
      <c r="F206" s="6"/>
      <c r="G206" s="6"/>
      <c r="H206" s="6"/>
      <c r="M206" s="6"/>
    </row>
    <row r="207" spans="1:13" ht="14.25" customHeight="1" x14ac:dyDescent="0.55000000000000004">
      <c r="A207" s="6"/>
      <c r="F207" s="6"/>
      <c r="G207" s="6"/>
      <c r="H207" s="6"/>
      <c r="M207" s="6"/>
    </row>
    <row r="208" spans="1:13" ht="14.25" customHeight="1" x14ac:dyDescent="0.55000000000000004">
      <c r="A208" s="6"/>
      <c r="F208" s="6"/>
      <c r="G208" s="6"/>
      <c r="H208" s="6"/>
      <c r="M208" s="6"/>
    </row>
    <row r="209" spans="1:13" ht="14.25" customHeight="1" x14ac:dyDescent="0.55000000000000004">
      <c r="A209" s="6"/>
      <c r="F209" s="6"/>
      <c r="G209" s="6"/>
      <c r="H209" s="6"/>
      <c r="M209" s="6"/>
    </row>
    <row r="210" spans="1:13" ht="14.25" customHeight="1" x14ac:dyDescent="0.55000000000000004">
      <c r="A210" s="6"/>
      <c r="F210" s="6"/>
      <c r="G210" s="6"/>
      <c r="H210" s="6"/>
      <c r="M210" s="6"/>
    </row>
    <row r="211" spans="1:13" ht="14.25" customHeight="1" x14ac:dyDescent="0.55000000000000004">
      <c r="A211" s="6"/>
      <c r="F211" s="6"/>
      <c r="G211" s="6"/>
      <c r="H211" s="6"/>
      <c r="M211" s="6"/>
    </row>
    <row r="212" spans="1:13" ht="14.25" customHeight="1" x14ac:dyDescent="0.55000000000000004">
      <c r="A212" s="6"/>
      <c r="F212" s="6"/>
      <c r="G212" s="6"/>
      <c r="H212" s="6"/>
      <c r="M212" s="6"/>
    </row>
    <row r="213" spans="1:13" ht="14.25" customHeight="1" x14ac:dyDescent="0.55000000000000004">
      <c r="A213" s="6"/>
      <c r="F213" s="6"/>
      <c r="G213" s="6"/>
      <c r="H213" s="6"/>
      <c r="M213" s="6"/>
    </row>
    <row r="214" spans="1:13" ht="14.25" customHeight="1" x14ac:dyDescent="0.55000000000000004">
      <c r="A214" s="6"/>
      <c r="F214" s="6"/>
      <c r="G214" s="6"/>
      <c r="H214" s="6"/>
      <c r="M214" s="6"/>
    </row>
    <row r="215" spans="1:13" ht="14.25" customHeight="1" x14ac:dyDescent="0.55000000000000004">
      <c r="A215" s="6"/>
      <c r="F215" s="6"/>
      <c r="G215" s="6"/>
      <c r="H215" s="6"/>
      <c r="M215" s="6"/>
    </row>
    <row r="216" spans="1:13" ht="14.25" customHeight="1" x14ac:dyDescent="0.55000000000000004">
      <c r="A216" s="6"/>
      <c r="F216" s="6"/>
      <c r="G216" s="6"/>
      <c r="H216" s="6"/>
      <c r="M216" s="6"/>
    </row>
    <row r="217" spans="1:13" ht="14.25" customHeight="1" x14ac:dyDescent="0.55000000000000004">
      <c r="A217" s="6"/>
      <c r="F217" s="6"/>
      <c r="G217" s="6"/>
      <c r="H217" s="6"/>
      <c r="M217" s="6"/>
    </row>
    <row r="218" spans="1:13" ht="14.25" customHeight="1" x14ac:dyDescent="0.55000000000000004">
      <c r="A218" s="6"/>
      <c r="F218" s="6"/>
      <c r="G218" s="6"/>
      <c r="H218" s="6"/>
      <c r="M218" s="6"/>
    </row>
    <row r="219" spans="1:13" ht="14.25" customHeight="1" x14ac:dyDescent="0.55000000000000004">
      <c r="A219" s="6"/>
      <c r="F219" s="6"/>
      <c r="G219" s="6"/>
      <c r="H219" s="6"/>
      <c r="M219" s="6"/>
    </row>
    <row r="220" spans="1:13" ht="14.25" customHeight="1" x14ac:dyDescent="0.55000000000000004">
      <c r="A220" s="6"/>
      <c r="F220" s="6"/>
      <c r="G220" s="6"/>
      <c r="H220" s="6"/>
      <c r="M220" s="6"/>
    </row>
    <row r="221" spans="1:13" ht="14.25" customHeight="1" x14ac:dyDescent="0.55000000000000004">
      <c r="A221" s="6"/>
      <c r="F221" s="6"/>
      <c r="G221" s="6"/>
      <c r="H221" s="6"/>
      <c r="M221" s="6"/>
    </row>
    <row r="222" spans="1:13" ht="14.25" customHeight="1" x14ac:dyDescent="0.55000000000000004">
      <c r="A222" s="6"/>
      <c r="F222" s="6"/>
      <c r="G222" s="6"/>
      <c r="H222" s="6"/>
      <c r="M222" s="6"/>
    </row>
    <row r="223" spans="1:13" ht="14.25" customHeight="1" x14ac:dyDescent="0.55000000000000004">
      <c r="A223" s="6"/>
      <c r="F223" s="6"/>
      <c r="G223" s="6"/>
      <c r="H223" s="6"/>
      <c r="M223" s="6"/>
    </row>
    <row r="224" spans="1:13" ht="14.25" customHeight="1" x14ac:dyDescent="0.55000000000000004">
      <c r="A224" s="6"/>
      <c r="F224" s="6"/>
      <c r="G224" s="6"/>
      <c r="H224" s="6"/>
      <c r="M224" s="6"/>
    </row>
    <row r="225" spans="1:13" ht="14.25" customHeight="1" x14ac:dyDescent="0.55000000000000004">
      <c r="A225" s="6"/>
      <c r="F225" s="6"/>
      <c r="G225" s="6"/>
      <c r="H225" s="6"/>
      <c r="M225" s="6"/>
    </row>
    <row r="226" spans="1:13" ht="14.25" customHeight="1" x14ac:dyDescent="0.55000000000000004">
      <c r="A226" s="6"/>
      <c r="F226" s="6"/>
      <c r="G226" s="6"/>
      <c r="H226" s="6"/>
      <c r="M226" s="6"/>
    </row>
    <row r="227" spans="1:13" ht="14.25" customHeight="1" x14ac:dyDescent="0.55000000000000004">
      <c r="A227" s="6"/>
      <c r="F227" s="6"/>
      <c r="G227" s="6"/>
      <c r="H227" s="6"/>
      <c r="M227" s="6"/>
    </row>
    <row r="228" spans="1:13" ht="14.25" customHeight="1" x14ac:dyDescent="0.55000000000000004">
      <c r="A228" s="6"/>
      <c r="F228" s="6"/>
      <c r="G228" s="6"/>
      <c r="H228" s="6"/>
      <c r="M228" s="6"/>
    </row>
    <row r="229" spans="1:13" ht="14.25" customHeight="1" x14ac:dyDescent="0.55000000000000004">
      <c r="A229" s="6"/>
      <c r="F229" s="6"/>
      <c r="G229" s="6"/>
      <c r="H229" s="6"/>
      <c r="M229" s="6"/>
    </row>
    <row r="230" spans="1:13" ht="14.25" customHeight="1" x14ac:dyDescent="0.55000000000000004">
      <c r="A230" s="6"/>
      <c r="F230" s="6"/>
      <c r="G230" s="6"/>
      <c r="H230" s="6"/>
      <c r="M230" s="6"/>
    </row>
    <row r="231" spans="1:13" ht="14.25" customHeight="1" x14ac:dyDescent="0.55000000000000004">
      <c r="A231" s="6"/>
      <c r="F231" s="6"/>
      <c r="G231" s="6"/>
      <c r="H231" s="6"/>
      <c r="M231" s="6"/>
    </row>
    <row r="232" spans="1:13" ht="15.75" customHeight="1" x14ac:dyDescent="0.55000000000000004"/>
    <row r="233" spans="1:13" ht="15.75" customHeight="1" x14ac:dyDescent="0.55000000000000004"/>
    <row r="234" spans="1:13" ht="15.75" customHeight="1" x14ac:dyDescent="0.55000000000000004"/>
    <row r="235" spans="1:13" ht="15.75" customHeight="1" x14ac:dyDescent="0.55000000000000004"/>
    <row r="236" spans="1:13" ht="15.75" customHeight="1" x14ac:dyDescent="0.55000000000000004"/>
    <row r="237" spans="1:13" ht="15.75" customHeight="1" x14ac:dyDescent="0.55000000000000004"/>
    <row r="238" spans="1:13" ht="15.75" customHeight="1" x14ac:dyDescent="0.55000000000000004"/>
    <row r="239" spans="1:13" ht="15.75" customHeight="1" x14ac:dyDescent="0.55000000000000004"/>
    <row r="240" spans="1:13" ht="15.75" customHeight="1" x14ac:dyDescent="0.55000000000000004"/>
    <row r="241" ht="15.75" customHeight="1" x14ac:dyDescent="0.55000000000000004"/>
    <row r="242" ht="15.75" customHeight="1" x14ac:dyDescent="0.55000000000000004"/>
    <row r="243" ht="15.75" customHeight="1" x14ac:dyDescent="0.55000000000000004"/>
    <row r="244" ht="15.75" customHeight="1" x14ac:dyDescent="0.55000000000000004"/>
    <row r="245" ht="15.75" customHeight="1" x14ac:dyDescent="0.55000000000000004"/>
    <row r="246" ht="15.75" customHeight="1" x14ac:dyDescent="0.55000000000000004"/>
    <row r="247" ht="15.75" customHeight="1" x14ac:dyDescent="0.55000000000000004"/>
    <row r="248" ht="15.75" customHeight="1" x14ac:dyDescent="0.55000000000000004"/>
    <row r="249" ht="15.75" customHeight="1" x14ac:dyDescent="0.55000000000000004"/>
    <row r="250" ht="15.75" customHeight="1" x14ac:dyDescent="0.55000000000000004"/>
    <row r="251" ht="15.75" customHeight="1" x14ac:dyDescent="0.55000000000000004"/>
    <row r="252" ht="15.75" customHeight="1" x14ac:dyDescent="0.55000000000000004"/>
    <row r="253" ht="15.75" customHeight="1" x14ac:dyDescent="0.55000000000000004"/>
    <row r="254" ht="15.75" customHeight="1" x14ac:dyDescent="0.55000000000000004"/>
    <row r="255" ht="15.75" customHeight="1" x14ac:dyDescent="0.55000000000000004"/>
    <row r="256" ht="15.75" customHeight="1" x14ac:dyDescent="0.55000000000000004"/>
    <row r="257" ht="15.75" customHeight="1" x14ac:dyDescent="0.55000000000000004"/>
    <row r="258" ht="15.75" customHeight="1" x14ac:dyDescent="0.55000000000000004"/>
    <row r="259" ht="15.75" customHeight="1" x14ac:dyDescent="0.55000000000000004"/>
    <row r="260" ht="15.75" customHeight="1" x14ac:dyDescent="0.55000000000000004"/>
    <row r="261" ht="15.75" customHeight="1" x14ac:dyDescent="0.55000000000000004"/>
    <row r="262" ht="15.75" customHeight="1" x14ac:dyDescent="0.55000000000000004"/>
    <row r="263" ht="15.75" customHeight="1" x14ac:dyDescent="0.55000000000000004"/>
    <row r="264" ht="15.75" customHeight="1" x14ac:dyDescent="0.55000000000000004"/>
    <row r="265" ht="15.75" customHeight="1" x14ac:dyDescent="0.55000000000000004"/>
    <row r="266" ht="15.75" customHeight="1" x14ac:dyDescent="0.55000000000000004"/>
    <row r="267" ht="15.75" customHeight="1" x14ac:dyDescent="0.55000000000000004"/>
    <row r="268" ht="15.75" customHeight="1" x14ac:dyDescent="0.55000000000000004"/>
    <row r="269" ht="15.75" customHeight="1" x14ac:dyDescent="0.55000000000000004"/>
    <row r="270" ht="15.75" customHeight="1" x14ac:dyDescent="0.55000000000000004"/>
    <row r="271" ht="15.75" customHeight="1" x14ac:dyDescent="0.55000000000000004"/>
    <row r="272" ht="15.75" customHeight="1" x14ac:dyDescent="0.55000000000000004"/>
    <row r="273" ht="15.75" customHeight="1" x14ac:dyDescent="0.55000000000000004"/>
    <row r="274" ht="15.75" customHeight="1" x14ac:dyDescent="0.55000000000000004"/>
    <row r="275" ht="15.75" customHeight="1" x14ac:dyDescent="0.55000000000000004"/>
    <row r="276" ht="15.75" customHeight="1" x14ac:dyDescent="0.55000000000000004"/>
    <row r="277" ht="15.75" customHeight="1" x14ac:dyDescent="0.55000000000000004"/>
    <row r="278" ht="15.75" customHeight="1" x14ac:dyDescent="0.55000000000000004"/>
    <row r="279" ht="15.75" customHeight="1" x14ac:dyDescent="0.55000000000000004"/>
    <row r="280" ht="15.75" customHeight="1" x14ac:dyDescent="0.55000000000000004"/>
    <row r="281" ht="15.75" customHeight="1" x14ac:dyDescent="0.55000000000000004"/>
    <row r="282" ht="15.75" customHeight="1" x14ac:dyDescent="0.55000000000000004"/>
    <row r="283" ht="15.75" customHeight="1" x14ac:dyDescent="0.55000000000000004"/>
    <row r="284" ht="15.75" customHeight="1" x14ac:dyDescent="0.55000000000000004"/>
    <row r="285" ht="15.75" customHeight="1" x14ac:dyDescent="0.55000000000000004"/>
    <row r="286" ht="15.75" customHeight="1" x14ac:dyDescent="0.55000000000000004"/>
    <row r="287" ht="15.75" customHeight="1" x14ac:dyDescent="0.55000000000000004"/>
    <row r="288" ht="15.75" customHeight="1" x14ac:dyDescent="0.55000000000000004"/>
    <row r="289" ht="15.75" customHeight="1" x14ac:dyDescent="0.55000000000000004"/>
    <row r="290" ht="15.75" customHeight="1" x14ac:dyDescent="0.55000000000000004"/>
    <row r="291" ht="15.75" customHeight="1" x14ac:dyDescent="0.55000000000000004"/>
    <row r="292" ht="15.75" customHeight="1" x14ac:dyDescent="0.55000000000000004"/>
    <row r="293" ht="15.75" customHeight="1" x14ac:dyDescent="0.55000000000000004"/>
    <row r="294" ht="15.75" customHeight="1" x14ac:dyDescent="0.55000000000000004"/>
    <row r="295" ht="15.75" customHeight="1" x14ac:dyDescent="0.55000000000000004"/>
    <row r="296" ht="15.75" customHeight="1" x14ac:dyDescent="0.55000000000000004"/>
    <row r="297" ht="15.75" customHeight="1" x14ac:dyDescent="0.55000000000000004"/>
    <row r="298" ht="15.75" customHeight="1" x14ac:dyDescent="0.55000000000000004"/>
    <row r="299" ht="15.75" customHeight="1" x14ac:dyDescent="0.55000000000000004"/>
    <row r="300" ht="15.75" customHeight="1" x14ac:dyDescent="0.55000000000000004"/>
    <row r="301" ht="15.75" customHeight="1" x14ac:dyDescent="0.55000000000000004"/>
    <row r="302" ht="15.75" customHeight="1" x14ac:dyDescent="0.55000000000000004"/>
    <row r="303" ht="15.75" customHeight="1" x14ac:dyDescent="0.55000000000000004"/>
    <row r="304" ht="15.75" customHeight="1" x14ac:dyDescent="0.55000000000000004"/>
    <row r="305" ht="15.75" customHeight="1" x14ac:dyDescent="0.55000000000000004"/>
    <row r="306" ht="15.75" customHeight="1" x14ac:dyDescent="0.55000000000000004"/>
    <row r="307" ht="15.75" customHeight="1" x14ac:dyDescent="0.55000000000000004"/>
    <row r="308" ht="15.75" customHeight="1" x14ac:dyDescent="0.55000000000000004"/>
    <row r="309" ht="15.75" customHeight="1" x14ac:dyDescent="0.55000000000000004"/>
    <row r="310" ht="15.75" customHeight="1" x14ac:dyDescent="0.55000000000000004"/>
    <row r="311" ht="15.75" customHeight="1" x14ac:dyDescent="0.55000000000000004"/>
    <row r="312" ht="15.75" customHeight="1" x14ac:dyDescent="0.55000000000000004"/>
    <row r="313" ht="15.75" customHeight="1" x14ac:dyDescent="0.55000000000000004"/>
    <row r="314" ht="15.75" customHeight="1" x14ac:dyDescent="0.55000000000000004"/>
    <row r="315" ht="15.75" customHeight="1" x14ac:dyDescent="0.55000000000000004"/>
    <row r="316" ht="15.75" customHeight="1" x14ac:dyDescent="0.55000000000000004"/>
    <row r="317" ht="15.75" customHeight="1" x14ac:dyDescent="0.55000000000000004"/>
    <row r="318" ht="15.75" customHeight="1" x14ac:dyDescent="0.55000000000000004"/>
    <row r="319" ht="15.75" customHeight="1" x14ac:dyDescent="0.55000000000000004"/>
    <row r="320" ht="15.75" customHeight="1" x14ac:dyDescent="0.55000000000000004"/>
    <row r="321" ht="15.75" customHeight="1" x14ac:dyDescent="0.55000000000000004"/>
    <row r="322" ht="15.75" customHeight="1" x14ac:dyDescent="0.55000000000000004"/>
    <row r="323" ht="15.75" customHeight="1" x14ac:dyDescent="0.55000000000000004"/>
    <row r="324" ht="15.75" customHeight="1" x14ac:dyDescent="0.55000000000000004"/>
    <row r="325" ht="15.75" customHeight="1" x14ac:dyDescent="0.55000000000000004"/>
    <row r="326" ht="15.75" customHeight="1" x14ac:dyDescent="0.55000000000000004"/>
    <row r="327" ht="15.75" customHeight="1" x14ac:dyDescent="0.55000000000000004"/>
    <row r="328" ht="15.75" customHeight="1" x14ac:dyDescent="0.55000000000000004"/>
    <row r="329" ht="15.75" customHeight="1" x14ac:dyDescent="0.55000000000000004"/>
    <row r="330" ht="15.75" customHeight="1" x14ac:dyDescent="0.55000000000000004"/>
    <row r="331" ht="15.75" customHeight="1" x14ac:dyDescent="0.55000000000000004"/>
    <row r="332" ht="15.75" customHeight="1" x14ac:dyDescent="0.55000000000000004"/>
    <row r="333" ht="15.75" customHeight="1" x14ac:dyDescent="0.55000000000000004"/>
    <row r="334" ht="15.75" customHeight="1" x14ac:dyDescent="0.55000000000000004"/>
    <row r="335" ht="15.75" customHeight="1" x14ac:dyDescent="0.55000000000000004"/>
    <row r="336" ht="15.75" customHeight="1" x14ac:dyDescent="0.55000000000000004"/>
    <row r="337" ht="15.75" customHeight="1" x14ac:dyDescent="0.55000000000000004"/>
    <row r="338" ht="15.75" customHeight="1" x14ac:dyDescent="0.55000000000000004"/>
    <row r="339" ht="15.75" customHeight="1" x14ac:dyDescent="0.55000000000000004"/>
    <row r="340" ht="15.75" customHeight="1" x14ac:dyDescent="0.55000000000000004"/>
    <row r="341" ht="15.75" customHeight="1" x14ac:dyDescent="0.55000000000000004"/>
    <row r="342" ht="15.75" customHeight="1" x14ac:dyDescent="0.55000000000000004"/>
    <row r="343" ht="15.75" customHeight="1" x14ac:dyDescent="0.55000000000000004"/>
    <row r="344" ht="15.75" customHeight="1" x14ac:dyDescent="0.55000000000000004"/>
    <row r="345" ht="15.75" customHeight="1" x14ac:dyDescent="0.55000000000000004"/>
    <row r="346" ht="15.75" customHeight="1" x14ac:dyDescent="0.55000000000000004"/>
    <row r="347" ht="15.75" customHeight="1" x14ac:dyDescent="0.55000000000000004"/>
    <row r="348" ht="15.75" customHeight="1" x14ac:dyDescent="0.55000000000000004"/>
    <row r="349" ht="15.75" customHeight="1" x14ac:dyDescent="0.55000000000000004"/>
    <row r="350" ht="15.75" customHeight="1" x14ac:dyDescent="0.55000000000000004"/>
    <row r="351" ht="15.75" customHeight="1" x14ac:dyDescent="0.55000000000000004"/>
    <row r="352" ht="15.75" customHeight="1" x14ac:dyDescent="0.55000000000000004"/>
    <row r="353" ht="15.75" customHeight="1" x14ac:dyDescent="0.55000000000000004"/>
    <row r="354" ht="15.75" customHeight="1" x14ac:dyDescent="0.55000000000000004"/>
    <row r="355" ht="15.75" customHeight="1" x14ac:dyDescent="0.55000000000000004"/>
    <row r="356" ht="15.75" customHeight="1" x14ac:dyDescent="0.55000000000000004"/>
    <row r="357" ht="15.75" customHeight="1" x14ac:dyDescent="0.55000000000000004"/>
    <row r="358" ht="15.75" customHeight="1" x14ac:dyDescent="0.55000000000000004"/>
    <row r="359" ht="15.75" customHeight="1" x14ac:dyDescent="0.55000000000000004"/>
    <row r="360" ht="15.75" customHeight="1" x14ac:dyDescent="0.55000000000000004"/>
    <row r="361" ht="15.75" customHeight="1" x14ac:dyDescent="0.55000000000000004"/>
    <row r="362" ht="15.75" customHeight="1" x14ac:dyDescent="0.55000000000000004"/>
    <row r="363" ht="15.75" customHeight="1" x14ac:dyDescent="0.55000000000000004"/>
    <row r="364" ht="15.75" customHeight="1" x14ac:dyDescent="0.55000000000000004"/>
    <row r="365" ht="15.75" customHeight="1" x14ac:dyDescent="0.55000000000000004"/>
    <row r="366" ht="15.75" customHeight="1" x14ac:dyDescent="0.55000000000000004"/>
    <row r="367" ht="15.75" customHeight="1" x14ac:dyDescent="0.55000000000000004"/>
    <row r="368" ht="15.75" customHeight="1" x14ac:dyDescent="0.55000000000000004"/>
    <row r="369" ht="15.75" customHeight="1" x14ac:dyDescent="0.55000000000000004"/>
    <row r="370" ht="15.75" customHeight="1" x14ac:dyDescent="0.55000000000000004"/>
    <row r="371" ht="15.75" customHeight="1" x14ac:dyDescent="0.55000000000000004"/>
    <row r="372" ht="15.75" customHeight="1" x14ac:dyDescent="0.55000000000000004"/>
    <row r="373" ht="15.75" customHeight="1" x14ac:dyDescent="0.55000000000000004"/>
    <row r="374" ht="15.75" customHeight="1" x14ac:dyDescent="0.55000000000000004"/>
    <row r="375" ht="15.75" customHeight="1" x14ac:dyDescent="0.55000000000000004"/>
    <row r="376" ht="15.75" customHeight="1" x14ac:dyDescent="0.55000000000000004"/>
    <row r="377" ht="15.75" customHeight="1" x14ac:dyDescent="0.55000000000000004"/>
    <row r="378" ht="15.75" customHeight="1" x14ac:dyDescent="0.55000000000000004"/>
    <row r="379" ht="15.75" customHeight="1" x14ac:dyDescent="0.55000000000000004"/>
    <row r="380" ht="15.75" customHeight="1" x14ac:dyDescent="0.55000000000000004"/>
    <row r="381" ht="15.75" customHeight="1" x14ac:dyDescent="0.55000000000000004"/>
    <row r="382" ht="15.75" customHeight="1" x14ac:dyDescent="0.55000000000000004"/>
    <row r="383" ht="15.75" customHeight="1" x14ac:dyDescent="0.55000000000000004"/>
    <row r="384" ht="15.75" customHeight="1" x14ac:dyDescent="0.55000000000000004"/>
    <row r="385" ht="15.75" customHeight="1" x14ac:dyDescent="0.55000000000000004"/>
    <row r="386" ht="15.75" customHeight="1" x14ac:dyDescent="0.55000000000000004"/>
    <row r="387" ht="15.75" customHeight="1" x14ac:dyDescent="0.55000000000000004"/>
    <row r="388" ht="15.75" customHeight="1" x14ac:dyDescent="0.55000000000000004"/>
    <row r="389" ht="15.75" customHeight="1" x14ac:dyDescent="0.55000000000000004"/>
    <row r="390" ht="15.75" customHeight="1" x14ac:dyDescent="0.55000000000000004"/>
    <row r="391" ht="15.75" customHeight="1" x14ac:dyDescent="0.55000000000000004"/>
    <row r="392" ht="15.75" customHeight="1" x14ac:dyDescent="0.55000000000000004"/>
    <row r="393" ht="15.75" customHeight="1" x14ac:dyDescent="0.55000000000000004"/>
    <row r="394" ht="15.75" customHeight="1" x14ac:dyDescent="0.55000000000000004"/>
    <row r="395" ht="15.75" customHeight="1" x14ac:dyDescent="0.55000000000000004"/>
    <row r="396" ht="15.75" customHeight="1" x14ac:dyDescent="0.55000000000000004"/>
    <row r="397" ht="15.75" customHeight="1" x14ac:dyDescent="0.55000000000000004"/>
    <row r="398" ht="15.75" customHeight="1" x14ac:dyDescent="0.55000000000000004"/>
    <row r="399" ht="15.75" customHeight="1" x14ac:dyDescent="0.55000000000000004"/>
    <row r="400" ht="15.75" customHeight="1" x14ac:dyDescent="0.55000000000000004"/>
    <row r="401" ht="15.75" customHeight="1" x14ac:dyDescent="0.55000000000000004"/>
    <row r="402" ht="15.75" customHeight="1" x14ac:dyDescent="0.55000000000000004"/>
    <row r="403" ht="15.75" customHeight="1" x14ac:dyDescent="0.55000000000000004"/>
    <row r="404" ht="15.75" customHeight="1" x14ac:dyDescent="0.55000000000000004"/>
    <row r="405" ht="15.75" customHeight="1" x14ac:dyDescent="0.55000000000000004"/>
    <row r="406" ht="15.75" customHeight="1" x14ac:dyDescent="0.55000000000000004"/>
    <row r="407" ht="15.75" customHeight="1" x14ac:dyDescent="0.55000000000000004"/>
    <row r="408" ht="15.75" customHeight="1" x14ac:dyDescent="0.55000000000000004"/>
    <row r="409" ht="15.75" customHeight="1" x14ac:dyDescent="0.55000000000000004"/>
    <row r="410" ht="15.75" customHeight="1" x14ac:dyDescent="0.55000000000000004"/>
    <row r="411" ht="15.75" customHeight="1" x14ac:dyDescent="0.55000000000000004"/>
    <row r="412" ht="15.75" customHeight="1" x14ac:dyDescent="0.55000000000000004"/>
    <row r="413" ht="15.75" customHeight="1" x14ac:dyDescent="0.55000000000000004"/>
    <row r="414" ht="15.75" customHeight="1" x14ac:dyDescent="0.55000000000000004"/>
    <row r="415" ht="15.75" customHeight="1" x14ac:dyDescent="0.55000000000000004"/>
    <row r="416" ht="15.75" customHeight="1" x14ac:dyDescent="0.55000000000000004"/>
    <row r="417" ht="15.75" customHeight="1" x14ac:dyDescent="0.55000000000000004"/>
    <row r="418" ht="15.75" customHeight="1" x14ac:dyDescent="0.55000000000000004"/>
    <row r="419" ht="15.75" customHeight="1" x14ac:dyDescent="0.55000000000000004"/>
    <row r="420" ht="15.75" customHeight="1" x14ac:dyDescent="0.55000000000000004"/>
    <row r="421" ht="15.75" customHeight="1" x14ac:dyDescent="0.55000000000000004"/>
    <row r="422" ht="15.75" customHeight="1" x14ac:dyDescent="0.55000000000000004"/>
    <row r="423" ht="15.75" customHeight="1" x14ac:dyDescent="0.55000000000000004"/>
    <row r="424" ht="15.75" customHeight="1" x14ac:dyDescent="0.55000000000000004"/>
    <row r="425" ht="15.75" customHeight="1" x14ac:dyDescent="0.55000000000000004"/>
    <row r="426" ht="15.75" customHeight="1" x14ac:dyDescent="0.55000000000000004"/>
    <row r="427" ht="15.75" customHeight="1" x14ac:dyDescent="0.55000000000000004"/>
    <row r="428" ht="15.75" customHeight="1" x14ac:dyDescent="0.55000000000000004"/>
    <row r="429" ht="15.75" customHeight="1" x14ac:dyDescent="0.55000000000000004"/>
    <row r="430" ht="15.75" customHeight="1" x14ac:dyDescent="0.55000000000000004"/>
    <row r="431" ht="15.75" customHeight="1" x14ac:dyDescent="0.55000000000000004"/>
    <row r="432" ht="15.75" customHeight="1" x14ac:dyDescent="0.55000000000000004"/>
    <row r="433" ht="15.75" customHeight="1" x14ac:dyDescent="0.55000000000000004"/>
    <row r="434" ht="15.75" customHeight="1" x14ac:dyDescent="0.55000000000000004"/>
    <row r="435" ht="15.75" customHeight="1" x14ac:dyDescent="0.55000000000000004"/>
    <row r="436" ht="15.75" customHeight="1" x14ac:dyDescent="0.55000000000000004"/>
    <row r="437" ht="15.75" customHeight="1" x14ac:dyDescent="0.55000000000000004"/>
    <row r="438" ht="15.75" customHeight="1" x14ac:dyDescent="0.55000000000000004"/>
    <row r="439" ht="15.75" customHeight="1" x14ac:dyDescent="0.55000000000000004"/>
    <row r="440" ht="15.75" customHeight="1" x14ac:dyDescent="0.55000000000000004"/>
    <row r="441" ht="15.75" customHeight="1" x14ac:dyDescent="0.55000000000000004"/>
    <row r="442" ht="15.75" customHeight="1" x14ac:dyDescent="0.55000000000000004"/>
    <row r="443" ht="15.75" customHeight="1" x14ac:dyDescent="0.55000000000000004"/>
    <row r="444" ht="15.75" customHeight="1" x14ac:dyDescent="0.55000000000000004"/>
    <row r="445" ht="15.75" customHeight="1" x14ac:dyDescent="0.55000000000000004"/>
    <row r="446" ht="15.75" customHeight="1" x14ac:dyDescent="0.55000000000000004"/>
    <row r="447" ht="15.75" customHeight="1" x14ac:dyDescent="0.55000000000000004"/>
    <row r="448" ht="15.75" customHeight="1" x14ac:dyDescent="0.55000000000000004"/>
    <row r="449" ht="15.75" customHeight="1" x14ac:dyDescent="0.55000000000000004"/>
    <row r="450" ht="15.75" customHeight="1" x14ac:dyDescent="0.55000000000000004"/>
    <row r="451" ht="15.75" customHeight="1" x14ac:dyDescent="0.55000000000000004"/>
    <row r="452" ht="15.75" customHeight="1" x14ac:dyDescent="0.55000000000000004"/>
    <row r="453" ht="15.75" customHeight="1" x14ac:dyDescent="0.55000000000000004"/>
    <row r="454" ht="15.75" customHeight="1" x14ac:dyDescent="0.55000000000000004"/>
    <row r="455" ht="15.75" customHeight="1" x14ac:dyDescent="0.55000000000000004"/>
    <row r="456" ht="15.75" customHeight="1" x14ac:dyDescent="0.55000000000000004"/>
    <row r="457" ht="15.75" customHeight="1" x14ac:dyDescent="0.55000000000000004"/>
    <row r="458" ht="15.75" customHeight="1" x14ac:dyDescent="0.55000000000000004"/>
    <row r="459" ht="15.75" customHeight="1" x14ac:dyDescent="0.55000000000000004"/>
    <row r="460" ht="15.75" customHeight="1" x14ac:dyDescent="0.55000000000000004"/>
    <row r="461" ht="15.75" customHeight="1" x14ac:dyDescent="0.55000000000000004"/>
    <row r="462" ht="15.75" customHeight="1" x14ac:dyDescent="0.55000000000000004"/>
    <row r="463" ht="15.75" customHeight="1" x14ac:dyDescent="0.55000000000000004"/>
    <row r="464" ht="15.75" customHeight="1" x14ac:dyDescent="0.55000000000000004"/>
    <row r="465" ht="15.75" customHeight="1" x14ac:dyDescent="0.55000000000000004"/>
    <row r="466" ht="15.75" customHeight="1" x14ac:dyDescent="0.55000000000000004"/>
    <row r="467" ht="15.75" customHeight="1" x14ac:dyDescent="0.55000000000000004"/>
    <row r="468" ht="15.75" customHeight="1" x14ac:dyDescent="0.55000000000000004"/>
    <row r="469" ht="15.75" customHeight="1" x14ac:dyDescent="0.55000000000000004"/>
    <row r="470" ht="15.75" customHeight="1" x14ac:dyDescent="0.55000000000000004"/>
    <row r="471" ht="15.75" customHeight="1" x14ac:dyDescent="0.55000000000000004"/>
    <row r="472" ht="15.75" customHeight="1" x14ac:dyDescent="0.55000000000000004"/>
    <row r="473" ht="15.75" customHeight="1" x14ac:dyDescent="0.55000000000000004"/>
    <row r="474" ht="15.75" customHeight="1" x14ac:dyDescent="0.55000000000000004"/>
    <row r="475" ht="15.75" customHeight="1" x14ac:dyDescent="0.55000000000000004"/>
    <row r="476" ht="15.75" customHeight="1" x14ac:dyDescent="0.55000000000000004"/>
    <row r="477" ht="15.75" customHeight="1" x14ac:dyDescent="0.55000000000000004"/>
    <row r="478" ht="15.75" customHeight="1" x14ac:dyDescent="0.55000000000000004"/>
    <row r="479" ht="15.75" customHeight="1" x14ac:dyDescent="0.55000000000000004"/>
    <row r="480" ht="15.75" customHeight="1" x14ac:dyDescent="0.55000000000000004"/>
    <row r="481" ht="15.75" customHeight="1" x14ac:dyDescent="0.55000000000000004"/>
    <row r="482" ht="15.75" customHeight="1" x14ac:dyDescent="0.55000000000000004"/>
    <row r="483" ht="15.75" customHeight="1" x14ac:dyDescent="0.55000000000000004"/>
    <row r="484" ht="15.75" customHeight="1" x14ac:dyDescent="0.55000000000000004"/>
    <row r="485" ht="15.75" customHeight="1" x14ac:dyDescent="0.55000000000000004"/>
    <row r="486" ht="15.75" customHeight="1" x14ac:dyDescent="0.55000000000000004"/>
    <row r="487" ht="15.75" customHeight="1" x14ac:dyDescent="0.55000000000000004"/>
    <row r="488" ht="15.75" customHeight="1" x14ac:dyDescent="0.55000000000000004"/>
    <row r="489" ht="15.75" customHeight="1" x14ac:dyDescent="0.55000000000000004"/>
    <row r="490" ht="15.75" customHeight="1" x14ac:dyDescent="0.55000000000000004"/>
    <row r="491" ht="15.75" customHeight="1" x14ac:dyDescent="0.55000000000000004"/>
    <row r="492" ht="15.75" customHeight="1" x14ac:dyDescent="0.55000000000000004"/>
    <row r="493" ht="15.75" customHeight="1" x14ac:dyDescent="0.55000000000000004"/>
    <row r="494" ht="15.75" customHeight="1" x14ac:dyDescent="0.55000000000000004"/>
    <row r="495" ht="15.75" customHeight="1" x14ac:dyDescent="0.55000000000000004"/>
    <row r="496" ht="15.75" customHeight="1" x14ac:dyDescent="0.55000000000000004"/>
    <row r="497" ht="15.75" customHeight="1" x14ac:dyDescent="0.55000000000000004"/>
    <row r="498" ht="15.75" customHeight="1" x14ac:dyDescent="0.55000000000000004"/>
    <row r="499" ht="15.75" customHeight="1" x14ac:dyDescent="0.55000000000000004"/>
    <row r="500" ht="15.75" customHeight="1" x14ac:dyDescent="0.55000000000000004"/>
    <row r="501" ht="15.75" customHeight="1" x14ac:dyDescent="0.55000000000000004"/>
    <row r="502" ht="15.75" customHeight="1" x14ac:dyDescent="0.55000000000000004"/>
    <row r="503" ht="15.75" customHeight="1" x14ac:dyDescent="0.55000000000000004"/>
    <row r="504" ht="15.75" customHeight="1" x14ac:dyDescent="0.55000000000000004"/>
    <row r="505" ht="15.75" customHeight="1" x14ac:dyDescent="0.55000000000000004"/>
    <row r="506" ht="15.75" customHeight="1" x14ac:dyDescent="0.55000000000000004"/>
    <row r="507" ht="15.75" customHeight="1" x14ac:dyDescent="0.55000000000000004"/>
    <row r="508" ht="15.75" customHeight="1" x14ac:dyDescent="0.55000000000000004"/>
    <row r="509" ht="15.75" customHeight="1" x14ac:dyDescent="0.55000000000000004"/>
    <row r="510" ht="15.75" customHeight="1" x14ac:dyDescent="0.55000000000000004"/>
    <row r="511" ht="15.75" customHeight="1" x14ac:dyDescent="0.55000000000000004"/>
    <row r="512" ht="15.75" customHeight="1" x14ac:dyDescent="0.55000000000000004"/>
    <row r="513" ht="15.75" customHeight="1" x14ac:dyDescent="0.55000000000000004"/>
    <row r="514" ht="15.75" customHeight="1" x14ac:dyDescent="0.55000000000000004"/>
    <row r="515" ht="15.75" customHeight="1" x14ac:dyDescent="0.55000000000000004"/>
    <row r="516" ht="15.75" customHeight="1" x14ac:dyDescent="0.55000000000000004"/>
    <row r="517" ht="15.75" customHeight="1" x14ac:dyDescent="0.55000000000000004"/>
    <row r="518" ht="15.75" customHeight="1" x14ac:dyDescent="0.55000000000000004"/>
    <row r="519" ht="15.75" customHeight="1" x14ac:dyDescent="0.55000000000000004"/>
    <row r="520" ht="15.75" customHeight="1" x14ac:dyDescent="0.55000000000000004"/>
    <row r="521" ht="15.75" customHeight="1" x14ac:dyDescent="0.55000000000000004"/>
    <row r="522" ht="15.75" customHeight="1" x14ac:dyDescent="0.55000000000000004"/>
    <row r="523" ht="15.75" customHeight="1" x14ac:dyDescent="0.55000000000000004"/>
    <row r="524" ht="15.75" customHeight="1" x14ac:dyDescent="0.55000000000000004"/>
    <row r="525" ht="15.75" customHeight="1" x14ac:dyDescent="0.55000000000000004"/>
    <row r="526" ht="15.75" customHeight="1" x14ac:dyDescent="0.55000000000000004"/>
    <row r="527" ht="15.75" customHeight="1" x14ac:dyDescent="0.55000000000000004"/>
    <row r="528" ht="15.75" customHeight="1" x14ac:dyDescent="0.55000000000000004"/>
    <row r="529" ht="15.75" customHeight="1" x14ac:dyDescent="0.55000000000000004"/>
    <row r="530" ht="15.75" customHeight="1" x14ac:dyDescent="0.55000000000000004"/>
    <row r="531" ht="15.75" customHeight="1" x14ac:dyDescent="0.55000000000000004"/>
    <row r="532" ht="15.75" customHeight="1" x14ac:dyDescent="0.55000000000000004"/>
    <row r="533" ht="15.75" customHeight="1" x14ac:dyDescent="0.55000000000000004"/>
    <row r="534" ht="15.75" customHeight="1" x14ac:dyDescent="0.55000000000000004"/>
    <row r="535" ht="15.75" customHeight="1" x14ac:dyDescent="0.55000000000000004"/>
    <row r="536" ht="15.75" customHeight="1" x14ac:dyDescent="0.55000000000000004"/>
    <row r="537" ht="15.75" customHeight="1" x14ac:dyDescent="0.55000000000000004"/>
    <row r="538" ht="15.75" customHeight="1" x14ac:dyDescent="0.55000000000000004"/>
    <row r="539" ht="15.75" customHeight="1" x14ac:dyDescent="0.55000000000000004"/>
    <row r="540" ht="15.75" customHeight="1" x14ac:dyDescent="0.55000000000000004"/>
    <row r="541" ht="15.75" customHeight="1" x14ac:dyDescent="0.55000000000000004"/>
    <row r="542" ht="15.75" customHeight="1" x14ac:dyDescent="0.55000000000000004"/>
    <row r="543" ht="15.75" customHeight="1" x14ac:dyDescent="0.55000000000000004"/>
    <row r="544" ht="15.75" customHeight="1" x14ac:dyDescent="0.55000000000000004"/>
    <row r="545" ht="15.75" customHeight="1" x14ac:dyDescent="0.55000000000000004"/>
    <row r="546" ht="15.75" customHeight="1" x14ac:dyDescent="0.55000000000000004"/>
    <row r="547" ht="15.75" customHeight="1" x14ac:dyDescent="0.55000000000000004"/>
    <row r="548" ht="15.75" customHeight="1" x14ac:dyDescent="0.55000000000000004"/>
    <row r="549" ht="15.75" customHeight="1" x14ac:dyDescent="0.55000000000000004"/>
    <row r="550" ht="15.75" customHeight="1" x14ac:dyDescent="0.55000000000000004"/>
    <row r="551" ht="15.75" customHeight="1" x14ac:dyDescent="0.55000000000000004"/>
    <row r="552" ht="15.75" customHeight="1" x14ac:dyDescent="0.55000000000000004"/>
    <row r="553" ht="15.75" customHeight="1" x14ac:dyDescent="0.55000000000000004"/>
    <row r="554" ht="15.75" customHeight="1" x14ac:dyDescent="0.55000000000000004"/>
    <row r="555" ht="15.75" customHeight="1" x14ac:dyDescent="0.55000000000000004"/>
    <row r="556" ht="15.75" customHeight="1" x14ac:dyDescent="0.55000000000000004"/>
    <row r="557" ht="15.75" customHeight="1" x14ac:dyDescent="0.55000000000000004"/>
    <row r="558" ht="15.75" customHeight="1" x14ac:dyDescent="0.55000000000000004"/>
    <row r="559" ht="15.75" customHeight="1" x14ac:dyDescent="0.55000000000000004"/>
    <row r="560" ht="15.75" customHeight="1" x14ac:dyDescent="0.55000000000000004"/>
    <row r="561" ht="15.75" customHeight="1" x14ac:dyDescent="0.55000000000000004"/>
    <row r="562" ht="15.75" customHeight="1" x14ac:dyDescent="0.55000000000000004"/>
    <row r="563" ht="15.75" customHeight="1" x14ac:dyDescent="0.55000000000000004"/>
    <row r="564" ht="15.75" customHeight="1" x14ac:dyDescent="0.55000000000000004"/>
    <row r="565" ht="15.75" customHeight="1" x14ac:dyDescent="0.55000000000000004"/>
    <row r="566" ht="15.75" customHeight="1" x14ac:dyDescent="0.55000000000000004"/>
    <row r="567" ht="15.75" customHeight="1" x14ac:dyDescent="0.55000000000000004"/>
    <row r="568" ht="15.75" customHeight="1" x14ac:dyDescent="0.55000000000000004"/>
    <row r="569" ht="15.75" customHeight="1" x14ac:dyDescent="0.55000000000000004"/>
    <row r="570" ht="15.75" customHeight="1" x14ac:dyDescent="0.55000000000000004"/>
    <row r="571" ht="15.75" customHeight="1" x14ac:dyDescent="0.55000000000000004"/>
    <row r="572" ht="15.75" customHeight="1" x14ac:dyDescent="0.55000000000000004"/>
    <row r="573" ht="15.75" customHeight="1" x14ac:dyDescent="0.55000000000000004"/>
    <row r="574" ht="15.75" customHeight="1" x14ac:dyDescent="0.55000000000000004"/>
    <row r="575" ht="15.75" customHeight="1" x14ac:dyDescent="0.55000000000000004"/>
    <row r="576" ht="15.75" customHeight="1" x14ac:dyDescent="0.55000000000000004"/>
    <row r="577" ht="15.75" customHeight="1" x14ac:dyDescent="0.55000000000000004"/>
    <row r="578" ht="15.75" customHeight="1" x14ac:dyDescent="0.55000000000000004"/>
    <row r="579" ht="15.75" customHeight="1" x14ac:dyDescent="0.55000000000000004"/>
    <row r="580" ht="15.75" customHeight="1" x14ac:dyDescent="0.55000000000000004"/>
    <row r="581" ht="15.75" customHeight="1" x14ac:dyDescent="0.55000000000000004"/>
    <row r="582" ht="15.75" customHeight="1" x14ac:dyDescent="0.55000000000000004"/>
    <row r="583" ht="15.75" customHeight="1" x14ac:dyDescent="0.55000000000000004"/>
    <row r="584" ht="15.75" customHeight="1" x14ac:dyDescent="0.55000000000000004"/>
    <row r="585" ht="15.75" customHeight="1" x14ac:dyDescent="0.55000000000000004"/>
    <row r="586" ht="15.75" customHeight="1" x14ac:dyDescent="0.55000000000000004"/>
    <row r="587" ht="15.75" customHeight="1" x14ac:dyDescent="0.55000000000000004"/>
    <row r="588" ht="15.75" customHeight="1" x14ac:dyDescent="0.55000000000000004"/>
    <row r="589" ht="15.75" customHeight="1" x14ac:dyDescent="0.55000000000000004"/>
    <row r="590" ht="15.75" customHeight="1" x14ac:dyDescent="0.55000000000000004"/>
    <row r="591" ht="15.75" customHeight="1" x14ac:dyDescent="0.55000000000000004"/>
    <row r="592" ht="15.75" customHeight="1" x14ac:dyDescent="0.55000000000000004"/>
    <row r="593" ht="15.75" customHeight="1" x14ac:dyDescent="0.55000000000000004"/>
    <row r="594" ht="15.75" customHeight="1" x14ac:dyDescent="0.55000000000000004"/>
    <row r="595" ht="15.75" customHeight="1" x14ac:dyDescent="0.55000000000000004"/>
    <row r="596" ht="15.75" customHeight="1" x14ac:dyDescent="0.55000000000000004"/>
    <row r="597" ht="15.75" customHeight="1" x14ac:dyDescent="0.55000000000000004"/>
    <row r="598" ht="15.75" customHeight="1" x14ac:dyDescent="0.55000000000000004"/>
    <row r="599" ht="15.75" customHeight="1" x14ac:dyDescent="0.55000000000000004"/>
    <row r="600" ht="15.75" customHeight="1" x14ac:dyDescent="0.55000000000000004"/>
    <row r="601" ht="15.75" customHeight="1" x14ac:dyDescent="0.55000000000000004"/>
    <row r="602" ht="15.75" customHeight="1" x14ac:dyDescent="0.55000000000000004"/>
    <row r="603" ht="15.75" customHeight="1" x14ac:dyDescent="0.55000000000000004"/>
    <row r="604" ht="15.75" customHeight="1" x14ac:dyDescent="0.55000000000000004"/>
    <row r="605" ht="15.75" customHeight="1" x14ac:dyDescent="0.55000000000000004"/>
    <row r="606" ht="15.75" customHeight="1" x14ac:dyDescent="0.55000000000000004"/>
    <row r="607" ht="15.75" customHeight="1" x14ac:dyDescent="0.55000000000000004"/>
    <row r="608" ht="15.75" customHeight="1" x14ac:dyDescent="0.55000000000000004"/>
    <row r="609" ht="15.75" customHeight="1" x14ac:dyDescent="0.55000000000000004"/>
    <row r="610" ht="15.75" customHeight="1" x14ac:dyDescent="0.55000000000000004"/>
    <row r="611" ht="15.75" customHeight="1" x14ac:dyDescent="0.55000000000000004"/>
    <row r="612" ht="15.75" customHeight="1" x14ac:dyDescent="0.55000000000000004"/>
    <row r="613" ht="15.75" customHeight="1" x14ac:dyDescent="0.55000000000000004"/>
    <row r="614" ht="15.75" customHeight="1" x14ac:dyDescent="0.55000000000000004"/>
    <row r="615" ht="15.75" customHeight="1" x14ac:dyDescent="0.55000000000000004"/>
    <row r="616" ht="15.75" customHeight="1" x14ac:dyDescent="0.55000000000000004"/>
    <row r="617" ht="15.75" customHeight="1" x14ac:dyDescent="0.55000000000000004"/>
    <row r="618" ht="15.75" customHeight="1" x14ac:dyDescent="0.55000000000000004"/>
    <row r="619" ht="15.75" customHeight="1" x14ac:dyDescent="0.55000000000000004"/>
    <row r="620" ht="15.75" customHeight="1" x14ac:dyDescent="0.55000000000000004"/>
    <row r="621" ht="15.75" customHeight="1" x14ac:dyDescent="0.55000000000000004"/>
    <row r="622" ht="15.75" customHeight="1" x14ac:dyDescent="0.55000000000000004"/>
    <row r="623" ht="15.75" customHeight="1" x14ac:dyDescent="0.55000000000000004"/>
    <row r="624" ht="15.75" customHeight="1" x14ac:dyDescent="0.55000000000000004"/>
    <row r="625" ht="15.75" customHeight="1" x14ac:dyDescent="0.55000000000000004"/>
    <row r="626" ht="15.75" customHeight="1" x14ac:dyDescent="0.55000000000000004"/>
    <row r="627" ht="15.75" customHeight="1" x14ac:dyDescent="0.55000000000000004"/>
    <row r="628" ht="15.75" customHeight="1" x14ac:dyDescent="0.55000000000000004"/>
    <row r="629" ht="15.75" customHeight="1" x14ac:dyDescent="0.55000000000000004"/>
    <row r="630" ht="15.75" customHeight="1" x14ac:dyDescent="0.55000000000000004"/>
    <row r="631" ht="15.75" customHeight="1" x14ac:dyDescent="0.55000000000000004"/>
    <row r="632" ht="15.75" customHeight="1" x14ac:dyDescent="0.55000000000000004"/>
    <row r="633" ht="15.75" customHeight="1" x14ac:dyDescent="0.55000000000000004"/>
    <row r="634" ht="15.75" customHeight="1" x14ac:dyDescent="0.55000000000000004"/>
    <row r="635" ht="15.75" customHeight="1" x14ac:dyDescent="0.55000000000000004"/>
    <row r="636" ht="15.75" customHeight="1" x14ac:dyDescent="0.55000000000000004"/>
    <row r="637" ht="15.75" customHeight="1" x14ac:dyDescent="0.55000000000000004"/>
    <row r="638" ht="15.75" customHeight="1" x14ac:dyDescent="0.55000000000000004"/>
    <row r="639" ht="15.75" customHeight="1" x14ac:dyDescent="0.55000000000000004"/>
    <row r="640" ht="15.75" customHeight="1" x14ac:dyDescent="0.55000000000000004"/>
    <row r="641" ht="15.75" customHeight="1" x14ac:dyDescent="0.55000000000000004"/>
    <row r="642" ht="15.75" customHeight="1" x14ac:dyDescent="0.55000000000000004"/>
    <row r="643" ht="15.75" customHeight="1" x14ac:dyDescent="0.55000000000000004"/>
    <row r="644" ht="15.75" customHeight="1" x14ac:dyDescent="0.55000000000000004"/>
    <row r="645" ht="15.75" customHeight="1" x14ac:dyDescent="0.55000000000000004"/>
    <row r="646" ht="15.75" customHeight="1" x14ac:dyDescent="0.55000000000000004"/>
    <row r="647" ht="15.75" customHeight="1" x14ac:dyDescent="0.55000000000000004"/>
    <row r="648" ht="15.75" customHeight="1" x14ac:dyDescent="0.55000000000000004"/>
    <row r="649" ht="15.75" customHeight="1" x14ac:dyDescent="0.55000000000000004"/>
    <row r="650" ht="15.75" customHeight="1" x14ac:dyDescent="0.55000000000000004"/>
    <row r="651" ht="15.75" customHeight="1" x14ac:dyDescent="0.55000000000000004"/>
    <row r="652" ht="15.75" customHeight="1" x14ac:dyDescent="0.55000000000000004"/>
    <row r="653" ht="15.75" customHeight="1" x14ac:dyDescent="0.55000000000000004"/>
    <row r="654" ht="15.75" customHeight="1" x14ac:dyDescent="0.55000000000000004"/>
    <row r="655" ht="15.75" customHeight="1" x14ac:dyDescent="0.55000000000000004"/>
    <row r="656" ht="15.75" customHeight="1" x14ac:dyDescent="0.55000000000000004"/>
    <row r="657" ht="15.75" customHeight="1" x14ac:dyDescent="0.55000000000000004"/>
    <row r="658" ht="15.75" customHeight="1" x14ac:dyDescent="0.55000000000000004"/>
    <row r="659" ht="15.75" customHeight="1" x14ac:dyDescent="0.55000000000000004"/>
    <row r="660" ht="15.75" customHeight="1" x14ac:dyDescent="0.55000000000000004"/>
    <row r="661" ht="15.75" customHeight="1" x14ac:dyDescent="0.55000000000000004"/>
    <row r="662" ht="15.75" customHeight="1" x14ac:dyDescent="0.55000000000000004"/>
    <row r="663" ht="15.75" customHeight="1" x14ac:dyDescent="0.55000000000000004"/>
    <row r="664" ht="15.75" customHeight="1" x14ac:dyDescent="0.55000000000000004"/>
    <row r="665" ht="15.75" customHeight="1" x14ac:dyDescent="0.55000000000000004"/>
    <row r="666" ht="15.75" customHeight="1" x14ac:dyDescent="0.55000000000000004"/>
    <row r="667" ht="15.75" customHeight="1" x14ac:dyDescent="0.55000000000000004"/>
    <row r="668" ht="15.75" customHeight="1" x14ac:dyDescent="0.55000000000000004"/>
    <row r="669" ht="15.75" customHeight="1" x14ac:dyDescent="0.55000000000000004"/>
    <row r="670" ht="15.75" customHeight="1" x14ac:dyDescent="0.55000000000000004"/>
    <row r="671" ht="15.75" customHeight="1" x14ac:dyDescent="0.55000000000000004"/>
    <row r="672" ht="15.75" customHeight="1" x14ac:dyDescent="0.55000000000000004"/>
    <row r="673" ht="15.75" customHeight="1" x14ac:dyDescent="0.55000000000000004"/>
    <row r="674" ht="15.75" customHeight="1" x14ac:dyDescent="0.55000000000000004"/>
    <row r="675" ht="15.75" customHeight="1" x14ac:dyDescent="0.55000000000000004"/>
    <row r="676" ht="15.75" customHeight="1" x14ac:dyDescent="0.55000000000000004"/>
    <row r="677" ht="15.75" customHeight="1" x14ac:dyDescent="0.55000000000000004"/>
    <row r="678" ht="15.75" customHeight="1" x14ac:dyDescent="0.55000000000000004"/>
    <row r="679" ht="15.75" customHeight="1" x14ac:dyDescent="0.55000000000000004"/>
    <row r="680" ht="15.75" customHeight="1" x14ac:dyDescent="0.55000000000000004"/>
    <row r="681" ht="15.75" customHeight="1" x14ac:dyDescent="0.55000000000000004"/>
    <row r="682" ht="15.75" customHeight="1" x14ac:dyDescent="0.55000000000000004"/>
    <row r="683" ht="15.75" customHeight="1" x14ac:dyDescent="0.55000000000000004"/>
    <row r="684" ht="15.75" customHeight="1" x14ac:dyDescent="0.55000000000000004"/>
    <row r="685" ht="15.75" customHeight="1" x14ac:dyDescent="0.55000000000000004"/>
    <row r="686" ht="15.75" customHeight="1" x14ac:dyDescent="0.55000000000000004"/>
    <row r="687" ht="15.75" customHeight="1" x14ac:dyDescent="0.55000000000000004"/>
    <row r="688" ht="15.75" customHeight="1" x14ac:dyDescent="0.55000000000000004"/>
    <row r="689" ht="15.75" customHeight="1" x14ac:dyDescent="0.55000000000000004"/>
    <row r="690" ht="15.75" customHeight="1" x14ac:dyDescent="0.55000000000000004"/>
    <row r="691" ht="15.75" customHeight="1" x14ac:dyDescent="0.55000000000000004"/>
    <row r="692" ht="15.75" customHeight="1" x14ac:dyDescent="0.55000000000000004"/>
    <row r="693" ht="15.75" customHeight="1" x14ac:dyDescent="0.55000000000000004"/>
    <row r="694" ht="15.75" customHeight="1" x14ac:dyDescent="0.55000000000000004"/>
    <row r="695" ht="15.75" customHeight="1" x14ac:dyDescent="0.55000000000000004"/>
    <row r="696" ht="15.75" customHeight="1" x14ac:dyDescent="0.55000000000000004"/>
    <row r="697" ht="15.75" customHeight="1" x14ac:dyDescent="0.55000000000000004"/>
    <row r="698" ht="15.75" customHeight="1" x14ac:dyDescent="0.55000000000000004"/>
    <row r="699" ht="15.75" customHeight="1" x14ac:dyDescent="0.55000000000000004"/>
    <row r="700" ht="15.75" customHeight="1" x14ac:dyDescent="0.55000000000000004"/>
    <row r="701" ht="15.75" customHeight="1" x14ac:dyDescent="0.55000000000000004"/>
    <row r="702" ht="15.75" customHeight="1" x14ac:dyDescent="0.55000000000000004"/>
    <row r="703" ht="15.75" customHeight="1" x14ac:dyDescent="0.55000000000000004"/>
    <row r="704" ht="15.75" customHeight="1" x14ac:dyDescent="0.55000000000000004"/>
    <row r="705" ht="15.75" customHeight="1" x14ac:dyDescent="0.55000000000000004"/>
    <row r="706" ht="15.75" customHeight="1" x14ac:dyDescent="0.55000000000000004"/>
    <row r="707" ht="15.75" customHeight="1" x14ac:dyDescent="0.55000000000000004"/>
    <row r="708" ht="15.75" customHeight="1" x14ac:dyDescent="0.55000000000000004"/>
    <row r="709" ht="15.75" customHeight="1" x14ac:dyDescent="0.55000000000000004"/>
    <row r="710" ht="15.75" customHeight="1" x14ac:dyDescent="0.55000000000000004"/>
    <row r="711" ht="15.75" customHeight="1" x14ac:dyDescent="0.55000000000000004"/>
    <row r="712" ht="15.75" customHeight="1" x14ac:dyDescent="0.55000000000000004"/>
    <row r="713" ht="15.75" customHeight="1" x14ac:dyDescent="0.55000000000000004"/>
    <row r="714" ht="15.75" customHeight="1" x14ac:dyDescent="0.55000000000000004"/>
    <row r="715" ht="15.75" customHeight="1" x14ac:dyDescent="0.55000000000000004"/>
    <row r="716" ht="15.75" customHeight="1" x14ac:dyDescent="0.55000000000000004"/>
    <row r="717" ht="15.75" customHeight="1" x14ac:dyDescent="0.55000000000000004"/>
    <row r="718" ht="15.75" customHeight="1" x14ac:dyDescent="0.55000000000000004"/>
    <row r="719" ht="15.75" customHeight="1" x14ac:dyDescent="0.55000000000000004"/>
    <row r="720" ht="15.75" customHeight="1" x14ac:dyDescent="0.55000000000000004"/>
    <row r="721" ht="15.75" customHeight="1" x14ac:dyDescent="0.55000000000000004"/>
    <row r="722" ht="15.75" customHeight="1" x14ac:dyDescent="0.55000000000000004"/>
    <row r="723" ht="15.75" customHeight="1" x14ac:dyDescent="0.55000000000000004"/>
    <row r="724" ht="15.75" customHeight="1" x14ac:dyDescent="0.55000000000000004"/>
    <row r="725" ht="15.75" customHeight="1" x14ac:dyDescent="0.55000000000000004"/>
    <row r="726" ht="15.75" customHeight="1" x14ac:dyDescent="0.55000000000000004"/>
    <row r="727" ht="15.75" customHeight="1" x14ac:dyDescent="0.55000000000000004"/>
    <row r="728" ht="15.75" customHeight="1" x14ac:dyDescent="0.55000000000000004"/>
    <row r="729" ht="15.75" customHeight="1" x14ac:dyDescent="0.55000000000000004"/>
    <row r="730" ht="15.75" customHeight="1" x14ac:dyDescent="0.55000000000000004"/>
    <row r="731" ht="15.75" customHeight="1" x14ac:dyDescent="0.55000000000000004"/>
    <row r="732" ht="15.75" customHeight="1" x14ac:dyDescent="0.55000000000000004"/>
    <row r="733" ht="15.75" customHeight="1" x14ac:dyDescent="0.55000000000000004"/>
    <row r="734" ht="15.75" customHeight="1" x14ac:dyDescent="0.55000000000000004"/>
    <row r="735" ht="15.75" customHeight="1" x14ac:dyDescent="0.55000000000000004"/>
    <row r="736" ht="15.75" customHeight="1" x14ac:dyDescent="0.55000000000000004"/>
    <row r="737" ht="15.75" customHeight="1" x14ac:dyDescent="0.55000000000000004"/>
    <row r="738" ht="15.75" customHeight="1" x14ac:dyDescent="0.55000000000000004"/>
    <row r="739" ht="15.75" customHeight="1" x14ac:dyDescent="0.55000000000000004"/>
    <row r="740" ht="15.75" customHeight="1" x14ac:dyDescent="0.55000000000000004"/>
    <row r="741" ht="15.75" customHeight="1" x14ac:dyDescent="0.55000000000000004"/>
    <row r="742" ht="15.75" customHeight="1" x14ac:dyDescent="0.55000000000000004"/>
    <row r="743" ht="15.75" customHeight="1" x14ac:dyDescent="0.55000000000000004"/>
    <row r="744" ht="15.75" customHeight="1" x14ac:dyDescent="0.55000000000000004"/>
    <row r="745" ht="15.75" customHeight="1" x14ac:dyDescent="0.55000000000000004"/>
    <row r="746" ht="15.75" customHeight="1" x14ac:dyDescent="0.55000000000000004"/>
    <row r="747" ht="15.75" customHeight="1" x14ac:dyDescent="0.55000000000000004"/>
    <row r="748" ht="15.75" customHeight="1" x14ac:dyDescent="0.55000000000000004"/>
    <row r="749" ht="15.75" customHeight="1" x14ac:dyDescent="0.55000000000000004"/>
    <row r="750" ht="15.75" customHeight="1" x14ac:dyDescent="0.55000000000000004"/>
    <row r="751" ht="15.75" customHeight="1" x14ac:dyDescent="0.55000000000000004"/>
    <row r="752" ht="15.75" customHeight="1" x14ac:dyDescent="0.55000000000000004"/>
    <row r="753" ht="15.75" customHeight="1" x14ac:dyDescent="0.55000000000000004"/>
    <row r="754" ht="15.75" customHeight="1" x14ac:dyDescent="0.55000000000000004"/>
    <row r="755" ht="15.75" customHeight="1" x14ac:dyDescent="0.55000000000000004"/>
    <row r="756" ht="15.75" customHeight="1" x14ac:dyDescent="0.55000000000000004"/>
    <row r="757" ht="15.75" customHeight="1" x14ac:dyDescent="0.55000000000000004"/>
    <row r="758" ht="15.75" customHeight="1" x14ac:dyDescent="0.55000000000000004"/>
    <row r="759" ht="15.75" customHeight="1" x14ac:dyDescent="0.55000000000000004"/>
    <row r="760" ht="15.75" customHeight="1" x14ac:dyDescent="0.55000000000000004"/>
    <row r="761" ht="15.75" customHeight="1" x14ac:dyDescent="0.55000000000000004"/>
    <row r="762" ht="15.75" customHeight="1" x14ac:dyDescent="0.55000000000000004"/>
    <row r="763" ht="15.75" customHeight="1" x14ac:dyDescent="0.55000000000000004"/>
    <row r="764" ht="15.75" customHeight="1" x14ac:dyDescent="0.55000000000000004"/>
    <row r="765" ht="15.75" customHeight="1" x14ac:dyDescent="0.55000000000000004"/>
    <row r="766" ht="15.75" customHeight="1" x14ac:dyDescent="0.55000000000000004"/>
    <row r="767" ht="15.75" customHeight="1" x14ac:dyDescent="0.55000000000000004"/>
    <row r="768" ht="15.75" customHeight="1" x14ac:dyDescent="0.55000000000000004"/>
    <row r="769" ht="15.75" customHeight="1" x14ac:dyDescent="0.55000000000000004"/>
    <row r="770" ht="15.75" customHeight="1" x14ac:dyDescent="0.55000000000000004"/>
    <row r="771" ht="15.75" customHeight="1" x14ac:dyDescent="0.55000000000000004"/>
    <row r="772" ht="15.75" customHeight="1" x14ac:dyDescent="0.55000000000000004"/>
    <row r="773" ht="15.75" customHeight="1" x14ac:dyDescent="0.55000000000000004"/>
    <row r="774" ht="15.75" customHeight="1" x14ac:dyDescent="0.55000000000000004"/>
    <row r="775" ht="15.75" customHeight="1" x14ac:dyDescent="0.55000000000000004"/>
    <row r="776" ht="15.75" customHeight="1" x14ac:dyDescent="0.55000000000000004"/>
    <row r="777" ht="15.75" customHeight="1" x14ac:dyDescent="0.55000000000000004"/>
    <row r="778" ht="15.75" customHeight="1" x14ac:dyDescent="0.55000000000000004"/>
    <row r="779" ht="15.75" customHeight="1" x14ac:dyDescent="0.55000000000000004"/>
    <row r="780" ht="15.75" customHeight="1" x14ac:dyDescent="0.55000000000000004"/>
    <row r="781" ht="15.75" customHeight="1" x14ac:dyDescent="0.55000000000000004"/>
    <row r="782" ht="15.75" customHeight="1" x14ac:dyDescent="0.55000000000000004"/>
    <row r="783" ht="15.75" customHeight="1" x14ac:dyDescent="0.55000000000000004"/>
    <row r="784" ht="15.75" customHeight="1" x14ac:dyDescent="0.55000000000000004"/>
    <row r="785" ht="15.75" customHeight="1" x14ac:dyDescent="0.55000000000000004"/>
    <row r="786" ht="15.75" customHeight="1" x14ac:dyDescent="0.55000000000000004"/>
    <row r="787" ht="15.75" customHeight="1" x14ac:dyDescent="0.55000000000000004"/>
    <row r="788" ht="15.75" customHeight="1" x14ac:dyDescent="0.55000000000000004"/>
    <row r="789" ht="15.75" customHeight="1" x14ac:dyDescent="0.55000000000000004"/>
    <row r="790" ht="15.75" customHeight="1" x14ac:dyDescent="0.55000000000000004"/>
    <row r="791" ht="15.75" customHeight="1" x14ac:dyDescent="0.55000000000000004"/>
    <row r="792" ht="15.75" customHeight="1" x14ac:dyDescent="0.55000000000000004"/>
    <row r="793" ht="15.75" customHeight="1" x14ac:dyDescent="0.55000000000000004"/>
    <row r="794" ht="15.75" customHeight="1" x14ac:dyDescent="0.55000000000000004"/>
    <row r="795" ht="15.75" customHeight="1" x14ac:dyDescent="0.55000000000000004"/>
    <row r="796" ht="15.75" customHeight="1" x14ac:dyDescent="0.55000000000000004"/>
    <row r="797" ht="15.75" customHeight="1" x14ac:dyDescent="0.55000000000000004"/>
    <row r="798" ht="15.75" customHeight="1" x14ac:dyDescent="0.55000000000000004"/>
    <row r="799" ht="15.75" customHeight="1" x14ac:dyDescent="0.55000000000000004"/>
    <row r="800" ht="15.75" customHeight="1" x14ac:dyDescent="0.55000000000000004"/>
    <row r="801" ht="15.75" customHeight="1" x14ac:dyDescent="0.55000000000000004"/>
    <row r="802" ht="15.75" customHeight="1" x14ac:dyDescent="0.55000000000000004"/>
    <row r="803" ht="15.75" customHeight="1" x14ac:dyDescent="0.55000000000000004"/>
    <row r="804" ht="15.75" customHeight="1" x14ac:dyDescent="0.55000000000000004"/>
    <row r="805" ht="15.75" customHeight="1" x14ac:dyDescent="0.55000000000000004"/>
    <row r="806" ht="15.75" customHeight="1" x14ac:dyDescent="0.55000000000000004"/>
    <row r="807" ht="15.75" customHeight="1" x14ac:dyDescent="0.55000000000000004"/>
    <row r="808" ht="15.75" customHeight="1" x14ac:dyDescent="0.55000000000000004"/>
    <row r="809" ht="15.75" customHeight="1" x14ac:dyDescent="0.55000000000000004"/>
    <row r="810" ht="15.75" customHeight="1" x14ac:dyDescent="0.55000000000000004"/>
    <row r="811" ht="15.75" customHeight="1" x14ac:dyDescent="0.55000000000000004"/>
    <row r="812" ht="15.75" customHeight="1" x14ac:dyDescent="0.55000000000000004"/>
    <row r="813" ht="15.75" customHeight="1" x14ac:dyDescent="0.55000000000000004"/>
    <row r="814" ht="15.75" customHeight="1" x14ac:dyDescent="0.55000000000000004"/>
    <row r="815" ht="15.75" customHeight="1" x14ac:dyDescent="0.55000000000000004"/>
    <row r="816" ht="15.75" customHeight="1" x14ac:dyDescent="0.55000000000000004"/>
    <row r="817" ht="15.75" customHeight="1" x14ac:dyDescent="0.55000000000000004"/>
    <row r="818" ht="15.75" customHeight="1" x14ac:dyDescent="0.55000000000000004"/>
    <row r="819" ht="15.75" customHeight="1" x14ac:dyDescent="0.55000000000000004"/>
    <row r="820" ht="15.75" customHeight="1" x14ac:dyDescent="0.55000000000000004"/>
    <row r="821" ht="15.75" customHeight="1" x14ac:dyDescent="0.55000000000000004"/>
    <row r="822" ht="15.75" customHeight="1" x14ac:dyDescent="0.55000000000000004"/>
    <row r="823" ht="15.75" customHeight="1" x14ac:dyDescent="0.55000000000000004"/>
    <row r="824" ht="15.75" customHeight="1" x14ac:dyDescent="0.55000000000000004"/>
    <row r="825" ht="15.75" customHeight="1" x14ac:dyDescent="0.55000000000000004"/>
    <row r="826" ht="15.75" customHeight="1" x14ac:dyDescent="0.55000000000000004"/>
    <row r="827" ht="15.75" customHeight="1" x14ac:dyDescent="0.55000000000000004"/>
    <row r="828" ht="15.75" customHeight="1" x14ac:dyDescent="0.55000000000000004"/>
    <row r="829" ht="15.75" customHeight="1" x14ac:dyDescent="0.55000000000000004"/>
    <row r="830" ht="15.75" customHeight="1" x14ac:dyDescent="0.55000000000000004"/>
    <row r="831" ht="15.75" customHeight="1" x14ac:dyDescent="0.55000000000000004"/>
    <row r="832" ht="15.75" customHeight="1" x14ac:dyDescent="0.55000000000000004"/>
    <row r="833" ht="15.75" customHeight="1" x14ac:dyDescent="0.55000000000000004"/>
    <row r="834" ht="15.75" customHeight="1" x14ac:dyDescent="0.55000000000000004"/>
    <row r="835" ht="15.75" customHeight="1" x14ac:dyDescent="0.55000000000000004"/>
    <row r="836" ht="15.75" customHeight="1" x14ac:dyDescent="0.55000000000000004"/>
    <row r="837" ht="15.75" customHeight="1" x14ac:dyDescent="0.55000000000000004"/>
    <row r="838" ht="15.75" customHeight="1" x14ac:dyDescent="0.55000000000000004"/>
    <row r="839" ht="15.75" customHeight="1" x14ac:dyDescent="0.55000000000000004"/>
    <row r="840" ht="15.75" customHeight="1" x14ac:dyDescent="0.55000000000000004"/>
    <row r="841" ht="15.75" customHeight="1" x14ac:dyDescent="0.55000000000000004"/>
    <row r="842" ht="15.75" customHeight="1" x14ac:dyDescent="0.55000000000000004"/>
    <row r="843" ht="15.75" customHeight="1" x14ac:dyDescent="0.55000000000000004"/>
    <row r="844" ht="15.75" customHeight="1" x14ac:dyDescent="0.55000000000000004"/>
    <row r="845" ht="15.75" customHeight="1" x14ac:dyDescent="0.55000000000000004"/>
    <row r="846" ht="15.75" customHeight="1" x14ac:dyDescent="0.55000000000000004"/>
    <row r="847" ht="15.75" customHeight="1" x14ac:dyDescent="0.55000000000000004"/>
    <row r="848" ht="15.75" customHeight="1" x14ac:dyDescent="0.55000000000000004"/>
    <row r="849" ht="15.75" customHeight="1" x14ac:dyDescent="0.55000000000000004"/>
    <row r="850" ht="15.75" customHeight="1" x14ac:dyDescent="0.55000000000000004"/>
    <row r="851" ht="15.75" customHeight="1" x14ac:dyDescent="0.55000000000000004"/>
    <row r="852" ht="15.75" customHeight="1" x14ac:dyDescent="0.55000000000000004"/>
    <row r="853" ht="15.75" customHeight="1" x14ac:dyDescent="0.55000000000000004"/>
    <row r="854" ht="15.75" customHeight="1" x14ac:dyDescent="0.55000000000000004"/>
    <row r="855" ht="15.75" customHeight="1" x14ac:dyDescent="0.55000000000000004"/>
    <row r="856" ht="15.75" customHeight="1" x14ac:dyDescent="0.55000000000000004"/>
    <row r="857" ht="15.75" customHeight="1" x14ac:dyDescent="0.55000000000000004"/>
    <row r="858" ht="15.75" customHeight="1" x14ac:dyDescent="0.55000000000000004"/>
    <row r="859" ht="15.75" customHeight="1" x14ac:dyDescent="0.55000000000000004"/>
    <row r="860" ht="15.75" customHeight="1" x14ac:dyDescent="0.55000000000000004"/>
    <row r="861" ht="15.75" customHeight="1" x14ac:dyDescent="0.55000000000000004"/>
    <row r="862" ht="15.75" customHeight="1" x14ac:dyDescent="0.55000000000000004"/>
    <row r="863" ht="15.75" customHeight="1" x14ac:dyDescent="0.55000000000000004"/>
    <row r="864" ht="15.75" customHeight="1" x14ac:dyDescent="0.55000000000000004"/>
    <row r="865" ht="15.75" customHeight="1" x14ac:dyDescent="0.55000000000000004"/>
    <row r="866" ht="15.75" customHeight="1" x14ac:dyDescent="0.55000000000000004"/>
    <row r="867" ht="15.75" customHeight="1" x14ac:dyDescent="0.55000000000000004"/>
    <row r="868" ht="15.75" customHeight="1" x14ac:dyDescent="0.55000000000000004"/>
    <row r="869" ht="15.75" customHeight="1" x14ac:dyDescent="0.55000000000000004"/>
    <row r="870" ht="15.75" customHeight="1" x14ac:dyDescent="0.55000000000000004"/>
    <row r="871" ht="15.75" customHeight="1" x14ac:dyDescent="0.55000000000000004"/>
    <row r="872" ht="15.75" customHeight="1" x14ac:dyDescent="0.55000000000000004"/>
    <row r="873" ht="15.75" customHeight="1" x14ac:dyDescent="0.55000000000000004"/>
    <row r="874" ht="15.75" customHeight="1" x14ac:dyDescent="0.55000000000000004"/>
    <row r="875" ht="15.75" customHeight="1" x14ac:dyDescent="0.55000000000000004"/>
    <row r="876" ht="15.75" customHeight="1" x14ac:dyDescent="0.55000000000000004"/>
    <row r="877" ht="15.75" customHeight="1" x14ac:dyDescent="0.55000000000000004"/>
    <row r="878" ht="15.75" customHeight="1" x14ac:dyDescent="0.55000000000000004"/>
    <row r="879" ht="15.75" customHeight="1" x14ac:dyDescent="0.55000000000000004"/>
    <row r="880" ht="15.75" customHeight="1" x14ac:dyDescent="0.55000000000000004"/>
    <row r="881" ht="15.75" customHeight="1" x14ac:dyDescent="0.55000000000000004"/>
    <row r="882" ht="15.75" customHeight="1" x14ac:dyDescent="0.55000000000000004"/>
    <row r="883" ht="15.75" customHeight="1" x14ac:dyDescent="0.55000000000000004"/>
    <row r="884" ht="15.75" customHeight="1" x14ac:dyDescent="0.55000000000000004"/>
    <row r="885" ht="15.75" customHeight="1" x14ac:dyDescent="0.55000000000000004"/>
    <row r="886" ht="15.75" customHeight="1" x14ac:dyDescent="0.55000000000000004"/>
    <row r="887" ht="15.75" customHeight="1" x14ac:dyDescent="0.55000000000000004"/>
    <row r="888" ht="15.75" customHeight="1" x14ac:dyDescent="0.55000000000000004"/>
    <row r="889" ht="15.75" customHeight="1" x14ac:dyDescent="0.55000000000000004"/>
    <row r="890" ht="15.75" customHeight="1" x14ac:dyDescent="0.55000000000000004"/>
    <row r="891" ht="15.75" customHeight="1" x14ac:dyDescent="0.55000000000000004"/>
    <row r="892" ht="15.75" customHeight="1" x14ac:dyDescent="0.55000000000000004"/>
    <row r="893" ht="15.75" customHeight="1" x14ac:dyDescent="0.55000000000000004"/>
    <row r="894" ht="15.75" customHeight="1" x14ac:dyDescent="0.55000000000000004"/>
    <row r="895" ht="15.75" customHeight="1" x14ac:dyDescent="0.55000000000000004"/>
    <row r="896" ht="15.75" customHeight="1" x14ac:dyDescent="0.55000000000000004"/>
    <row r="897" ht="15.75" customHeight="1" x14ac:dyDescent="0.55000000000000004"/>
    <row r="898" ht="15.75" customHeight="1" x14ac:dyDescent="0.55000000000000004"/>
    <row r="899" ht="15.75" customHeight="1" x14ac:dyDescent="0.55000000000000004"/>
    <row r="900" ht="15.75" customHeight="1" x14ac:dyDescent="0.55000000000000004"/>
    <row r="901" ht="15.75" customHeight="1" x14ac:dyDescent="0.55000000000000004"/>
    <row r="902" ht="15.75" customHeight="1" x14ac:dyDescent="0.55000000000000004"/>
    <row r="903" ht="15.75" customHeight="1" x14ac:dyDescent="0.55000000000000004"/>
    <row r="904" ht="15.75" customHeight="1" x14ac:dyDescent="0.55000000000000004"/>
    <row r="905" ht="15.75" customHeight="1" x14ac:dyDescent="0.55000000000000004"/>
    <row r="906" ht="15.75" customHeight="1" x14ac:dyDescent="0.55000000000000004"/>
    <row r="907" ht="15.75" customHeight="1" x14ac:dyDescent="0.55000000000000004"/>
    <row r="908" ht="15.75" customHeight="1" x14ac:dyDescent="0.55000000000000004"/>
    <row r="909" ht="15.75" customHeight="1" x14ac:dyDescent="0.55000000000000004"/>
    <row r="910" ht="15.75" customHeight="1" x14ac:dyDescent="0.55000000000000004"/>
    <row r="911" ht="15.75" customHeight="1" x14ac:dyDescent="0.55000000000000004"/>
    <row r="912" ht="15.75" customHeight="1" x14ac:dyDescent="0.55000000000000004"/>
    <row r="913" ht="15.75" customHeight="1" x14ac:dyDescent="0.55000000000000004"/>
    <row r="914" ht="15.75" customHeight="1" x14ac:dyDescent="0.55000000000000004"/>
    <row r="915" ht="15.75" customHeight="1" x14ac:dyDescent="0.55000000000000004"/>
    <row r="916" ht="15.75" customHeight="1" x14ac:dyDescent="0.55000000000000004"/>
    <row r="917" ht="15.75" customHeight="1" x14ac:dyDescent="0.55000000000000004"/>
    <row r="918" ht="15.75" customHeight="1" x14ac:dyDescent="0.55000000000000004"/>
    <row r="919" ht="15.75" customHeight="1" x14ac:dyDescent="0.55000000000000004"/>
    <row r="920" ht="15.75" customHeight="1" x14ac:dyDescent="0.55000000000000004"/>
    <row r="921" ht="15.75" customHeight="1" x14ac:dyDescent="0.55000000000000004"/>
    <row r="922" ht="15.75" customHeight="1" x14ac:dyDescent="0.55000000000000004"/>
    <row r="923" ht="15.75" customHeight="1" x14ac:dyDescent="0.55000000000000004"/>
    <row r="924" ht="15.75" customHeight="1" x14ac:dyDescent="0.55000000000000004"/>
    <row r="925" ht="15.75" customHeight="1" x14ac:dyDescent="0.55000000000000004"/>
    <row r="926" ht="15.75" customHeight="1" x14ac:dyDescent="0.55000000000000004"/>
    <row r="927" ht="15.75" customHeight="1" x14ac:dyDescent="0.55000000000000004"/>
    <row r="928" ht="15.75" customHeight="1" x14ac:dyDescent="0.55000000000000004"/>
    <row r="929" ht="15.75" customHeight="1" x14ac:dyDescent="0.55000000000000004"/>
    <row r="930" ht="15.75" customHeight="1" x14ac:dyDescent="0.55000000000000004"/>
    <row r="931" ht="15.75" customHeight="1" x14ac:dyDescent="0.55000000000000004"/>
    <row r="932" ht="15.75" customHeight="1" x14ac:dyDescent="0.55000000000000004"/>
    <row r="933" ht="15.75" customHeight="1" x14ac:dyDescent="0.55000000000000004"/>
    <row r="934" ht="15.75" customHeight="1" x14ac:dyDescent="0.55000000000000004"/>
    <row r="935" ht="15.75" customHeight="1" x14ac:dyDescent="0.55000000000000004"/>
    <row r="936" ht="15.75" customHeight="1" x14ac:dyDescent="0.55000000000000004"/>
    <row r="937" ht="15.75" customHeight="1" x14ac:dyDescent="0.55000000000000004"/>
    <row r="938" ht="15.75" customHeight="1" x14ac:dyDescent="0.55000000000000004"/>
    <row r="939" ht="15.75" customHeight="1" x14ac:dyDescent="0.55000000000000004"/>
    <row r="940" ht="15.75" customHeight="1" x14ac:dyDescent="0.55000000000000004"/>
    <row r="941" ht="15.75" customHeight="1" x14ac:dyDescent="0.55000000000000004"/>
    <row r="942" ht="15.75" customHeight="1" x14ac:dyDescent="0.55000000000000004"/>
    <row r="943" ht="15.75" customHeight="1" x14ac:dyDescent="0.55000000000000004"/>
    <row r="944" ht="15.75" customHeight="1" x14ac:dyDescent="0.55000000000000004"/>
    <row r="945" ht="15.75" customHeight="1" x14ac:dyDescent="0.55000000000000004"/>
    <row r="946" ht="15.75" customHeight="1" x14ac:dyDescent="0.55000000000000004"/>
    <row r="947" ht="15.75" customHeight="1" x14ac:dyDescent="0.55000000000000004"/>
    <row r="948" ht="15.75" customHeight="1" x14ac:dyDescent="0.55000000000000004"/>
    <row r="949" ht="15.75" customHeight="1" x14ac:dyDescent="0.55000000000000004"/>
    <row r="950" ht="15.75" customHeight="1" x14ac:dyDescent="0.55000000000000004"/>
    <row r="951" ht="15.75" customHeight="1" x14ac:dyDescent="0.55000000000000004"/>
    <row r="952" ht="15.75" customHeight="1" x14ac:dyDescent="0.55000000000000004"/>
    <row r="953" ht="15.75" customHeight="1" x14ac:dyDescent="0.55000000000000004"/>
    <row r="954" ht="15.75" customHeight="1" x14ac:dyDescent="0.55000000000000004"/>
    <row r="955" ht="15.75" customHeight="1" x14ac:dyDescent="0.55000000000000004"/>
    <row r="956" ht="15.75" customHeight="1" x14ac:dyDescent="0.55000000000000004"/>
    <row r="957" ht="15.75" customHeight="1" x14ac:dyDescent="0.55000000000000004"/>
    <row r="958" ht="15.75" customHeight="1" x14ac:dyDescent="0.55000000000000004"/>
    <row r="959" ht="15.75" customHeight="1" x14ac:dyDescent="0.55000000000000004"/>
    <row r="960" ht="15.75" customHeight="1" x14ac:dyDescent="0.55000000000000004"/>
    <row r="961" ht="15.75" customHeight="1" x14ac:dyDescent="0.55000000000000004"/>
    <row r="962" ht="15.75" customHeight="1" x14ac:dyDescent="0.55000000000000004"/>
    <row r="963" ht="15.75" customHeight="1" x14ac:dyDescent="0.55000000000000004"/>
    <row r="964" ht="15.75" customHeight="1" x14ac:dyDescent="0.55000000000000004"/>
    <row r="965" ht="15.75" customHeight="1" x14ac:dyDescent="0.55000000000000004"/>
    <row r="966" ht="15.75" customHeight="1" x14ac:dyDescent="0.55000000000000004"/>
    <row r="967" ht="15.75" customHeight="1" x14ac:dyDescent="0.55000000000000004"/>
    <row r="968" ht="15.75" customHeight="1" x14ac:dyDescent="0.55000000000000004"/>
    <row r="969" ht="15.75" customHeight="1" x14ac:dyDescent="0.55000000000000004"/>
    <row r="970" ht="15.75" customHeight="1" x14ac:dyDescent="0.55000000000000004"/>
    <row r="971" ht="15.75" customHeight="1" x14ac:dyDescent="0.55000000000000004"/>
    <row r="972" ht="15.75" customHeight="1" x14ac:dyDescent="0.55000000000000004"/>
    <row r="973" ht="15.75" customHeight="1" x14ac:dyDescent="0.55000000000000004"/>
    <row r="974" ht="15.75" customHeight="1" x14ac:dyDescent="0.55000000000000004"/>
    <row r="975" ht="15.75" customHeight="1" x14ac:dyDescent="0.55000000000000004"/>
    <row r="976" ht="15.75" customHeight="1" x14ac:dyDescent="0.55000000000000004"/>
    <row r="977" ht="15.75" customHeight="1" x14ac:dyDescent="0.55000000000000004"/>
    <row r="978" ht="15.75" customHeight="1" x14ac:dyDescent="0.55000000000000004"/>
    <row r="979" ht="15.75" customHeight="1" x14ac:dyDescent="0.55000000000000004"/>
    <row r="980" ht="15.75" customHeight="1" x14ac:dyDescent="0.55000000000000004"/>
    <row r="981" ht="15.75" customHeight="1" x14ac:dyDescent="0.55000000000000004"/>
    <row r="982" ht="15.75" customHeight="1" x14ac:dyDescent="0.55000000000000004"/>
    <row r="983" ht="15.75" customHeight="1" x14ac:dyDescent="0.55000000000000004"/>
    <row r="984" ht="15.75" customHeight="1" x14ac:dyDescent="0.55000000000000004"/>
    <row r="985" ht="15.75" customHeight="1" x14ac:dyDescent="0.55000000000000004"/>
    <row r="986" ht="15.75" customHeight="1" x14ac:dyDescent="0.55000000000000004"/>
    <row r="987" ht="15.75" customHeight="1" x14ac:dyDescent="0.55000000000000004"/>
    <row r="988" ht="15.75" customHeight="1" x14ac:dyDescent="0.55000000000000004"/>
    <row r="989" ht="15.75" customHeight="1" x14ac:dyDescent="0.55000000000000004"/>
    <row r="990" ht="15.75" customHeight="1" x14ac:dyDescent="0.55000000000000004"/>
    <row r="991" ht="15.75" customHeight="1" x14ac:dyDescent="0.55000000000000004"/>
    <row r="992" ht="15.75" customHeight="1" x14ac:dyDescent="0.55000000000000004"/>
    <row r="993" ht="15.75" customHeight="1" x14ac:dyDescent="0.55000000000000004"/>
    <row r="994" ht="15.75" customHeight="1" x14ac:dyDescent="0.55000000000000004"/>
    <row r="995" ht="15.75" customHeight="1" x14ac:dyDescent="0.55000000000000004"/>
    <row r="996" ht="15.75" customHeight="1" x14ac:dyDescent="0.55000000000000004"/>
    <row r="997" ht="15.75" customHeight="1" x14ac:dyDescent="0.55000000000000004"/>
    <row r="998" ht="15.75" customHeight="1" x14ac:dyDescent="0.55000000000000004"/>
    <row r="999" ht="15.75" customHeight="1" x14ac:dyDescent="0.55000000000000004"/>
    <row r="1000" ht="15.75" customHeight="1" x14ac:dyDescent="0.55000000000000004"/>
  </sheetData>
  <mergeCells count="12">
    <mergeCell ref="D24:E24"/>
    <mergeCell ref="F24:F27"/>
    <mergeCell ref="I24:J27"/>
    <mergeCell ref="B30:E30"/>
    <mergeCell ref="B31:E34"/>
    <mergeCell ref="J2:L2"/>
    <mergeCell ref="J3:L3"/>
    <mergeCell ref="A2:A3"/>
    <mergeCell ref="B2:B3"/>
    <mergeCell ref="C2:C3"/>
    <mergeCell ref="F2:F3"/>
    <mergeCell ref="G2:G3"/>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InputMessage="1" showErrorMessage="1" prompt="Invalid - Invalid" xr:uid="{00000000-0002-0000-0700-000000000000}">
          <x14:formula1>
            <xm:f>'Lookup Tables'!$C$9:$C$10</xm:f>
          </x14:formula1>
          <xm:sqref>D3:E3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1000"/>
  <sheetViews>
    <sheetView workbookViewId="0"/>
  </sheetViews>
  <sheetFormatPr defaultColWidth="14.41796875" defaultRowHeight="15" customHeight="1" x14ac:dyDescent="0.55000000000000004"/>
  <cols>
    <col min="1" max="1" width="9.15625" customWidth="1"/>
    <col min="2" max="2" width="8.68359375" customWidth="1"/>
    <col min="3" max="3" width="14.68359375" customWidth="1"/>
    <col min="4" max="26" width="8.68359375" customWidth="1"/>
  </cols>
  <sheetData>
    <row r="1" spans="1:23" ht="14.25" customHeight="1" x14ac:dyDescent="0.55000000000000004">
      <c r="A1" s="229" t="s">
        <v>71</v>
      </c>
      <c r="B1" s="230"/>
      <c r="C1" s="230"/>
      <c r="D1" s="230"/>
      <c r="E1" s="230"/>
      <c r="F1" s="230"/>
      <c r="G1" s="230"/>
      <c r="H1" s="230"/>
      <c r="I1" s="230"/>
      <c r="J1" s="230"/>
      <c r="K1" s="230"/>
      <c r="L1" s="230"/>
      <c r="M1" s="230"/>
      <c r="N1" s="230"/>
      <c r="O1" s="230"/>
      <c r="P1" s="230"/>
      <c r="Q1" s="230"/>
      <c r="R1" s="230"/>
      <c r="S1" s="230"/>
      <c r="T1" s="230"/>
      <c r="U1" s="230"/>
      <c r="V1" s="230"/>
      <c r="W1" s="203"/>
    </row>
    <row r="2" spans="1:23" ht="14.25" customHeight="1" x14ac:dyDescent="0.55000000000000004">
      <c r="A2" s="231"/>
      <c r="B2" s="213"/>
      <c r="C2" s="213"/>
      <c r="D2" s="213"/>
      <c r="E2" s="213"/>
      <c r="F2" s="213"/>
      <c r="G2" s="213"/>
      <c r="H2" s="213"/>
      <c r="I2" s="213"/>
      <c r="J2" s="213"/>
      <c r="K2" s="213"/>
      <c r="L2" s="213"/>
      <c r="M2" s="213"/>
      <c r="N2" s="213"/>
      <c r="O2" s="213"/>
      <c r="P2" s="213"/>
      <c r="Q2" s="213"/>
      <c r="R2" s="213"/>
      <c r="S2" s="213"/>
      <c r="T2" s="213"/>
      <c r="U2" s="213"/>
      <c r="V2" s="213"/>
      <c r="W2" s="214"/>
    </row>
    <row r="3" spans="1:23" ht="14.25" customHeight="1" x14ac:dyDescent="0.55000000000000004">
      <c r="A3" s="37" t="s">
        <v>72</v>
      </c>
      <c r="B3" s="232" t="s">
        <v>73</v>
      </c>
      <c r="C3" s="149"/>
      <c r="D3" s="232" t="s">
        <v>74</v>
      </c>
      <c r="E3" s="148"/>
      <c r="F3" s="148"/>
      <c r="G3" s="148"/>
      <c r="H3" s="148"/>
      <c r="I3" s="148"/>
      <c r="J3" s="148"/>
      <c r="K3" s="148"/>
      <c r="L3" s="148"/>
      <c r="M3" s="149"/>
      <c r="N3" s="232" t="s">
        <v>75</v>
      </c>
      <c r="O3" s="148"/>
      <c r="P3" s="148"/>
      <c r="Q3" s="148"/>
      <c r="R3" s="148"/>
      <c r="S3" s="148"/>
      <c r="T3" s="148"/>
      <c r="U3" s="148"/>
      <c r="V3" s="148"/>
      <c r="W3" s="149"/>
    </row>
    <row r="4" spans="1:23" ht="43.5" customHeight="1" x14ac:dyDescent="0.55000000000000004">
      <c r="A4" s="38" t="e">
        <f>#REF!</f>
        <v>#REF!</v>
      </c>
      <c r="B4" s="221" t="e">
        <f>IF(#REF!=0,"",#REF! &amp; " - " &amp;#REF!)</f>
        <v>#REF!</v>
      </c>
      <c r="C4" s="222"/>
      <c r="D4" s="223"/>
      <c r="E4" s="224"/>
      <c r="F4" s="224"/>
      <c r="G4" s="224"/>
      <c r="H4" s="224"/>
      <c r="I4" s="224"/>
      <c r="J4" s="224"/>
      <c r="K4" s="224"/>
      <c r="L4" s="224"/>
      <c r="M4" s="222"/>
      <c r="N4" s="223"/>
      <c r="O4" s="224"/>
      <c r="P4" s="224"/>
      <c r="Q4" s="224"/>
      <c r="R4" s="224"/>
      <c r="S4" s="224"/>
      <c r="T4" s="224"/>
      <c r="U4" s="224"/>
      <c r="V4" s="224"/>
      <c r="W4" s="222"/>
    </row>
    <row r="5" spans="1:23" ht="43.5" customHeight="1" x14ac:dyDescent="0.55000000000000004">
      <c r="A5" s="39" t="e">
        <f>#REF!</f>
        <v>#REF!</v>
      </c>
      <c r="B5" s="225" t="e">
        <f>IF(#REF!=0,"",#REF! &amp; " - " &amp;#REF!)</f>
        <v>#REF!</v>
      </c>
      <c r="C5" s="226"/>
      <c r="D5" s="227"/>
      <c r="E5" s="126"/>
      <c r="F5" s="126"/>
      <c r="G5" s="126"/>
      <c r="H5" s="126"/>
      <c r="I5" s="126"/>
      <c r="J5" s="126"/>
      <c r="K5" s="126"/>
      <c r="L5" s="126"/>
      <c r="M5" s="226"/>
      <c r="N5" s="227"/>
      <c r="O5" s="126"/>
      <c r="P5" s="126"/>
      <c r="Q5" s="126"/>
      <c r="R5" s="126"/>
      <c r="S5" s="126"/>
      <c r="T5" s="126"/>
      <c r="U5" s="126"/>
      <c r="V5" s="126"/>
      <c r="W5" s="226"/>
    </row>
    <row r="6" spans="1:23" ht="43.5" customHeight="1" x14ac:dyDescent="0.55000000000000004">
      <c r="A6" s="39" t="e">
        <f>#REF!</f>
        <v>#REF!</v>
      </c>
      <c r="B6" s="225" t="e">
        <f>IF(#REF!=0,"",#REF! &amp; " - " &amp;#REF!)</f>
        <v>#REF!</v>
      </c>
      <c r="C6" s="226"/>
      <c r="D6" s="227"/>
      <c r="E6" s="126"/>
      <c r="F6" s="126"/>
      <c r="G6" s="126"/>
      <c r="H6" s="126"/>
      <c r="I6" s="126"/>
      <c r="J6" s="126"/>
      <c r="K6" s="126"/>
      <c r="L6" s="126"/>
      <c r="M6" s="226"/>
      <c r="N6" s="227"/>
      <c r="O6" s="126"/>
      <c r="P6" s="126"/>
      <c r="Q6" s="126"/>
      <c r="R6" s="126"/>
      <c r="S6" s="126"/>
      <c r="T6" s="126"/>
      <c r="U6" s="126"/>
      <c r="V6" s="126"/>
      <c r="W6" s="226"/>
    </row>
    <row r="7" spans="1:23" ht="43.5" customHeight="1" x14ac:dyDescent="0.55000000000000004">
      <c r="A7" s="40" t="e">
        <f>#REF!</f>
        <v>#REF!</v>
      </c>
      <c r="B7" s="219" t="e">
        <f>IF(#REF!=0,"",#REF! &amp; " - " &amp;#REF!)</f>
        <v>#REF!</v>
      </c>
      <c r="C7" s="220"/>
      <c r="D7" s="217"/>
      <c r="E7" s="218"/>
      <c r="F7" s="218"/>
      <c r="G7" s="218"/>
      <c r="H7" s="218"/>
      <c r="I7" s="218"/>
      <c r="J7" s="218"/>
      <c r="K7" s="218"/>
      <c r="L7" s="218"/>
      <c r="M7" s="216"/>
      <c r="N7" s="217"/>
      <c r="O7" s="218"/>
      <c r="P7" s="218"/>
      <c r="Q7" s="218"/>
      <c r="R7" s="218"/>
      <c r="S7" s="218"/>
      <c r="T7" s="218"/>
      <c r="U7" s="218"/>
      <c r="V7" s="218"/>
      <c r="W7" s="216"/>
    </row>
    <row r="8" spans="1:23" ht="43.5" customHeight="1" x14ac:dyDescent="0.55000000000000004">
      <c r="A8" s="38" t="e">
        <f>#REF!</f>
        <v>#REF!</v>
      </c>
      <c r="B8" s="221" t="e">
        <f>IF(#REF!=0,"",#REF! &amp; " - " &amp;#REF!)</f>
        <v>#REF!</v>
      </c>
      <c r="C8" s="222"/>
      <c r="D8" s="223"/>
      <c r="E8" s="224"/>
      <c r="F8" s="224"/>
      <c r="G8" s="224"/>
      <c r="H8" s="224"/>
      <c r="I8" s="224"/>
      <c r="J8" s="224"/>
      <c r="K8" s="224"/>
      <c r="L8" s="224"/>
      <c r="M8" s="222"/>
      <c r="N8" s="223"/>
      <c r="O8" s="224"/>
      <c r="P8" s="224"/>
      <c r="Q8" s="224"/>
      <c r="R8" s="224"/>
      <c r="S8" s="224"/>
      <c r="T8" s="224"/>
      <c r="U8" s="224"/>
      <c r="V8" s="224"/>
      <c r="W8" s="222"/>
    </row>
    <row r="9" spans="1:23" ht="43.5" customHeight="1" x14ac:dyDescent="0.55000000000000004">
      <c r="A9" s="39" t="e">
        <f>#REF!</f>
        <v>#REF!</v>
      </c>
      <c r="B9" s="225" t="e">
        <f>IF(#REF!=0,"",#REF! &amp; " - " &amp;#REF!)</f>
        <v>#REF!</v>
      </c>
      <c r="C9" s="226"/>
      <c r="D9" s="228"/>
      <c r="E9" s="126"/>
      <c r="F9" s="126"/>
      <c r="G9" s="126"/>
      <c r="H9" s="126"/>
      <c r="I9" s="126"/>
      <c r="J9" s="126"/>
      <c r="K9" s="126"/>
      <c r="L9" s="126"/>
      <c r="M9" s="226"/>
      <c r="N9" s="228"/>
      <c r="O9" s="126"/>
      <c r="P9" s="126"/>
      <c r="Q9" s="126"/>
      <c r="R9" s="126"/>
      <c r="S9" s="126"/>
      <c r="T9" s="126"/>
      <c r="U9" s="126"/>
      <c r="V9" s="126"/>
      <c r="W9" s="226"/>
    </row>
    <row r="10" spans="1:23" ht="43.5" customHeight="1" x14ac:dyDescent="0.55000000000000004">
      <c r="A10" s="39" t="e">
        <f>#REF!</f>
        <v>#REF!</v>
      </c>
      <c r="B10" s="225" t="e">
        <f>IF(#REF!=0,"",#REF! &amp; " - " &amp;#REF!)</f>
        <v>#REF!</v>
      </c>
      <c r="C10" s="226"/>
      <c r="D10" s="228"/>
      <c r="E10" s="126"/>
      <c r="F10" s="126"/>
      <c r="G10" s="126"/>
      <c r="H10" s="126"/>
      <c r="I10" s="126"/>
      <c r="J10" s="126"/>
      <c r="K10" s="126"/>
      <c r="L10" s="126"/>
      <c r="M10" s="226"/>
      <c r="N10" s="228"/>
      <c r="O10" s="126"/>
      <c r="P10" s="126"/>
      <c r="Q10" s="126"/>
      <c r="R10" s="126"/>
      <c r="S10" s="126"/>
      <c r="T10" s="126"/>
      <c r="U10" s="126"/>
      <c r="V10" s="126"/>
      <c r="W10" s="226"/>
    </row>
    <row r="11" spans="1:23" ht="43.5" customHeight="1" x14ac:dyDescent="0.55000000000000004">
      <c r="A11" s="40" t="e">
        <f>#REF!</f>
        <v>#REF!</v>
      </c>
      <c r="B11" s="219" t="e">
        <f>IF(#REF!=0,"",#REF! &amp; " - " &amp;#REF!)</f>
        <v>#REF!</v>
      </c>
      <c r="C11" s="220"/>
      <c r="D11" s="217"/>
      <c r="E11" s="218"/>
      <c r="F11" s="218"/>
      <c r="G11" s="218"/>
      <c r="H11" s="218"/>
      <c r="I11" s="218"/>
      <c r="J11" s="218"/>
      <c r="K11" s="218"/>
      <c r="L11" s="218"/>
      <c r="M11" s="216"/>
      <c r="N11" s="217"/>
      <c r="O11" s="218"/>
      <c r="P11" s="218"/>
      <c r="Q11" s="218"/>
      <c r="R11" s="218"/>
      <c r="S11" s="218"/>
      <c r="T11" s="218"/>
      <c r="U11" s="218"/>
      <c r="V11" s="218"/>
      <c r="W11" s="216"/>
    </row>
    <row r="12" spans="1:23" ht="43.5" customHeight="1" x14ac:dyDescent="0.55000000000000004">
      <c r="A12" s="38" t="e">
        <f>#REF!</f>
        <v>#REF!</v>
      </c>
      <c r="B12" s="221" t="e">
        <f>IF(#REF!=0,"",#REF! &amp; " - " &amp;#REF!)</f>
        <v>#REF!</v>
      </c>
      <c r="C12" s="222"/>
      <c r="D12" s="223"/>
      <c r="E12" s="224"/>
      <c r="F12" s="224"/>
      <c r="G12" s="224"/>
      <c r="H12" s="224"/>
      <c r="I12" s="224"/>
      <c r="J12" s="224"/>
      <c r="K12" s="224"/>
      <c r="L12" s="224"/>
      <c r="M12" s="222"/>
      <c r="N12" s="223"/>
      <c r="O12" s="224"/>
      <c r="P12" s="224"/>
      <c r="Q12" s="224"/>
      <c r="R12" s="224"/>
      <c r="S12" s="224"/>
      <c r="T12" s="224"/>
      <c r="U12" s="224"/>
      <c r="V12" s="224"/>
      <c r="W12" s="222"/>
    </row>
    <row r="13" spans="1:23" ht="43.5" customHeight="1" x14ac:dyDescent="0.55000000000000004">
      <c r="A13" s="39" t="e">
        <f>#REF!</f>
        <v>#REF!</v>
      </c>
      <c r="B13" s="225" t="e">
        <f>IF(#REF!=0,"",#REF! &amp; " - " &amp;#REF!)</f>
        <v>#REF!</v>
      </c>
      <c r="C13" s="226"/>
      <c r="D13" s="227"/>
      <c r="E13" s="126"/>
      <c r="F13" s="126"/>
      <c r="G13" s="126"/>
      <c r="H13" s="126"/>
      <c r="I13" s="126"/>
      <c r="J13" s="126"/>
      <c r="K13" s="126"/>
      <c r="L13" s="126"/>
      <c r="M13" s="226"/>
      <c r="N13" s="227"/>
      <c r="O13" s="126"/>
      <c r="P13" s="126"/>
      <c r="Q13" s="126"/>
      <c r="R13" s="126"/>
      <c r="S13" s="126"/>
      <c r="T13" s="126"/>
      <c r="U13" s="126"/>
      <c r="V13" s="126"/>
      <c r="W13" s="226"/>
    </row>
    <row r="14" spans="1:23" ht="43.5" customHeight="1" x14ac:dyDescent="0.55000000000000004">
      <c r="A14" s="39" t="e">
        <f>#REF!</f>
        <v>#REF!</v>
      </c>
      <c r="B14" s="225" t="e">
        <f>IF(#REF!=0,"",#REF! &amp; " - " &amp;#REF!)</f>
        <v>#REF!</v>
      </c>
      <c r="C14" s="226"/>
      <c r="D14" s="227"/>
      <c r="E14" s="126"/>
      <c r="F14" s="126"/>
      <c r="G14" s="126"/>
      <c r="H14" s="126"/>
      <c r="I14" s="126"/>
      <c r="J14" s="126"/>
      <c r="K14" s="126"/>
      <c r="L14" s="126"/>
      <c r="M14" s="226"/>
      <c r="N14" s="227"/>
      <c r="O14" s="126"/>
      <c r="P14" s="126"/>
      <c r="Q14" s="126"/>
      <c r="R14" s="126"/>
      <c r="S14" s="126"/>
      <c r="T14" s="126"/>
      <c r="U14" s="126"/>
      <c r="V14" s="126"/>
      <c r="W14" s="226"/>
    </row>
    <row r="15" spans="1:23" ht="41.25" customHeight="1" x14ac:dyDescent="0.55000000000000004">
      <c r="A15" s="41" t="e">
        <f>#REF!</f>
        <v>#REF!</v>
      </c>
      <c r="B15" s="215" t="e">
        <f>IF(#REF!=0,"",#REF! &amp; " - " &amp;#REF!)</f>
        <v>#REF!</v>
      </c>
      <c r="C15" s="216"/>
      <c r="D15" s="217"/>
      <c r="E15" s="218"/>
      <c r="F15" s="218"/>
      <c r="G15" s="218"/>
      <c r="H15" s="218"/>
      <c r="I15" s="218"/>
      <c r="J15" s="218"/>
      <c r="K15" s="218"/>
      <c r="L15" s="218"/>
      <c r="M15" s="216"/>
      <c r="N15" s="217"/>
      <c r="O15" s="218"/>
      <c r="P15" s="218"/>
      <c r="Q15" s="218"/>
      <c r="R15" s="218"/>
      <c r="S15" s="218"/>
      <c r="T15" s="218"/>
      <c r="U15" s="218"/>
      <c r="V15" s="218"/>
      <c r="W15" s="216"/>
    </row>
    <row r="16" spans="1:23" ht="14.25" customHeight="1" x14ac:dyDescent="0.55000000000000004"/>
    <row r="17" ht="14.25" customHeight="1" x14ac:dyDescent="0.55000000000000004"/>
    <row r="18" ht="14.25" customHeight="1" x14ac:dyDescent="0.55000000000000004"/>
    <row r="19" ht="14.25" customHeight="1" x14ac:dyDescent="0.55000000000000004"/>
    <row r="20" ht="14.25" customHeight="1" x14ac:dyDescent="0.55000000000000004"/>
    <row r="21" ht="14.25" customHeight="1" x14ac:dyDescent="0.55000000000000004"/>
    <row r="22" ht="14.25" customHeight="1" x14ac:dyDescent="0.55000000000000004"/>
    <row r="23" ht="14.25" customHeight="1" x14ac:dyDescent="0.55000000000000004"/>
    <row r="24" ht="14.25" customHeight="1" x14ac:dyDescent="0.55000000000000004"/>
    <row r="25" ht="14.25" customHeight="1" x14ac:dyDescent="0.55000000000000004"/>
    <row r="26" ht="14.25" customHeight="1" x14ac:dyDescent="0.55000000000000004"/>
    <row r="27" ht="14.25" customHeight="1" x14ac:dyDescent="0.55000000000000004"/>
    <row r="28" ht="14.25" customHeight="1" x14ac:dyDescent="0.55000000000000004"/>
    <row r="29" ht="14.25" customHeight="1" x14ac:dyDescent="0.55000000000000004"/>
    <row r="30" ht="14.25" customHeight="1" x14ac:dyDescent="0.55000000000000004"/>
    <row r="31" ht="14.25" customHeight="1" x14ac:dyDescent="0.55000000000000004"/>
    <row r="32"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mergeCells count="40">
    <mergeCell ref="A1:W2"/>
    <mergeCell ref="B3:C3"/>
    <mergeCell ref="D3:M3"/>
    <mergeCell ref="N3:W3"/>
    <mergeCell ref="B4:C4"/>
    <mergeCell ref="D4:M4"/>
    <mergeCell ref="N4:W4"/>
    <mergeCell ref="D7:M7"/>
    <mergeCell ref="N7:W7"/>
    <mergeCell ref="B5:C5"/>
    <mergeCell ref="D5:M5"/>
    <mergeCell ref="N5:W5"/>
    <mergeCell ref="B6:C6"/>
    <mergeCell ref="D6:M6"/>
    <mergeCell ref="N6:W6"/>
    <mergeCell ref="B7:C7"/>
    <mergeCell ref="D10:M10"/>
    <mergeCell ref="N10:W10"/>
    <mergeCell ref="B8:C8"/>
    <mergeCell ref="D8:M8"/>
    <mergeCell ref="N8:W8"/>
    <mergeCell ref="B9:C9"/>
    <mergeCell ref="D9:M9"/>
    <mergeCell ref="N9:W9"/>
    <mergeCell ref="B10:C10"/>
    <mergeCell ref="B15:C15"/>
    <mergeCell ref="D15:M15"/>
    <mergeCell ref="N15:W15"/>
    <mergeCell ref="B11:C11"/>
    <mergeCell ref="D11:M11"/>
    <mergeCell ref="N11:W11"/>
    <mergeCell ref="B12:C12"/>
    <mergeCell ref="D12:M12"/>
    <mergeCell ref="N12:W12"/>
    <mergeCell ref="B13:C13"/>
    <mergeCell ref="D13:M13"/>
    <mergeCell ref="N13:W13"/>
    <mergeCell ref="B14:C14"/>
    <mergeCell ref="D14:M14"/>
    <mergeCell ref="N14:W14"/>
  </mergeCells>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sheetViews>
  <sheetFormatPr defaultColWidth="14.41796875" defaultRowHeight="15" customHeight="1" x14ac:dyDescent="0.55000000000000004"/>
  <cols>
    <col min="1" max="2" width="9.15625" customWidth="1"/>
    <col min="3" max="4" width="24" customWidth="1"/>
    <col min="5" max="5" width="29.26171875" customWidth="1"/>
    <col min="6" max="7" width="25.68359375" customWidth="1"/>
    <col min="8" max="26" width="9.15625" customWidth="1"/>
  </cols>
  <sheetData>
    <row r="1" spans="1:26" ht="14.25" customHeight="1" x14ac:dyDescent="0.55000000000000004"/>
    <row r="2" spans="1:26" ht="14.25" customHeight="1" x14ac:dyDescent="0.55000000000000004"/>
    <row r="3" spans="1:26" ht="14.25" customHeight="1" x14ac:dyDescent="0.7">
      <c r="A3" s="42"/>
      <c r="B3" s="233" t="s">
        <v>76</v>
      </c>
      <c r="C3" s="146"/>
      <c r="D3" s="146"/>
      <c r="E3" s="146"/>
      <c r="F3" s="146"/>
      <c r="G3" s="146"/>
      <c r="H3" s="43"/>
      <c r="I3" s="43"/>
      <c r="J3" s="43"/>
      <c r="K3" s="43"/>
      <c r="L3" s="43"/>
      <c r="M3" s="43"/>
      <c r="N3" s="42"/>
      <c r="O3" s="42"/>
      <c r="P3" s="42"/>
      <c r="Q3" s="42"/>
      <c r="R3" s="42"/>
      <c r="S3" s="42"/>
      <c r="T3" s="42"/>
      <c r="U3" s="42"/>
      <c r="V3" s="42"/>
      <c r="W3" s="42"/>
      <c r="X3" s="42"/>
      <c r="Y3" s="42"/>
      <c r="Z3" s="42"/>
    </row>
    <row r="4" spans="1:26" ht="14.25" customHeight="1" x14ac:dyDescent="0.6">
      <c r="B4" s="234" t="s">
        <v>77</v>
      </c>
      <c r="C4" s="126"/>
      <c r="D4" s="126"/>
      <c r="E4" s="126"/>
      <c r="F4" s="126"/>
      <c r="G4" s="127"/>
      <c r="H4" s="44"/>
      <c r="I4" s="44"/>
      <c r="J4" s="44"/>
      <c r="K4" s="44"/>
      <c r="L4" s="44"/>
      <c r="M4" s="44"/>
      <c r="N4" s="45"/>
      <c r="O4" s="45"/>
      <c r="P4" s="45"/>
      <c r="Q4" s="45"/>
      <c r="R4" s="45"/>
      <c r="S4" s="45"/>
    </row>
    <row r="5" spans="1:26" ht="14.25" customHeight="1" x14ac:dyDescent="0.6">
      <c r="A5" s="46"/>
      <c r="B5" s="47" t="s">
        <v>78</v>
      </c>
      <c r="C5" s="47" t="s">
        <v>79</v>
      </c>
      <c r="D5" s="48" t="s">
        <v>80</v>
      </c>
      <c r="E5" s="48" t="s">
        <v>81</v>
      </c>
      <c r="F5" s="48" t="s">
        <v>82</v>
      </c>
      <c r="G5" s="48" t="s">
        <v>83</v>
      </c>
      <c r="H5" s="46"/>
      <c r="I5" s="46"/>
      <c r="J5" s="46"/>
      <c r="K5" s="46"/>
      <c r="L5" s="46"/>
      <c r="M5" s="46"/>
      <c r="N5" s="46"/>
      <c r="O5" s="46"/>
      <c r="P5" s="46"/>
      <c r="Q5" s="46"/>
      <c r="R5" s="46"/>
      <c r="S5" s="46"/>
      <c r="T5" s="46"/>
      <c r="U5" s="46"/>
      <c r="V5" s="46"/>
      <c r="W5" s="46"/>
      <c r="X5" s="46"/>
      <c r="Y5" s="46"/>
      <c r="Z5" s="46"/>
    </row>
    <row r="6" spans="1:26" ht="14.25" customHeight="1" x14ac:dyDescent="0.6">
      <c r="B6" s="5">
        <v>4.0999999999999996</v>
      </c>
      <c r="C6" s="49" t="s">
        <v>84</v>
      </c>
      <c r="D6" s="49" t="s">
        <v>85</v>
      </c>
      <c r="E6" s="50" t="s">
        <v>86</v>
      </c>
      <c r="F6" s="49" t="s">
        <v>87</v>
      </c>
      <c r="G6" s="49" t="s">
        <v>88</v>
      </c>
    </row>
    <row r="7" spans="1:26" ht="14.25" customHeight="1" x14ac:dyDescent="0.6">
      <c r="B7" s="5">
        <v>4.2</v>
      </c>
      <c r="C7" s="49" t="s">
        <v>89</v>
      </c>
      <c r="D7" s="49" t="s">
        <v>90</v>
      </c>
      <c r="E7" s="50" t="s">
        <v>91</v>
      </c>
      <c r="F7" s="49" t="s">
        <v>92</v>
      </c>
      <c r="G7" s="49" t="s">
        <v>93</v>
      </c>
    </row>
    <row r="8" spans="1:26" ht="14.25" customHeight="1" x14ac:dyDescent="0.55000000000000004"/>
    <row r="9" spans="1:26" ht="14.25" customHeight="1" x14ac:dyDescent="0.55000000000000004"/>
    <row r="10" spans="1:26" ht="14.25" customHeight="1" x14ac:dyDescent="0.55000000000000004"/>
    <row r="11" spans="1:26" ht="14.25" customHeight="1" x14ac:dyDescent="0.55000000000000004"/>
    <row r="12" spans="1:26" ht="14.25" customHeight="1" x14ac:dyDescent="0.55000000000000004"/>
    <row r="13" spans="1:26" ht="14.25" customHeight="1" x14ac:dyDescent="0.55000000000000004"/>
    <row r="14" spans="1:26" ht="14.25" customHeight="1" x14ac:dyDescent="0.55000000000000004"/>
    <row r="15" spans="1:26" ht="14.25" customHeight="1" x14ac:dyDescent="0.55000000000000004"/>
    <row r="16" spans="1:26" ht="14.25" customHeight="1" x14ac:dyDescent="0.55000000000000004"/>
    <row r="17" ht="14.25" customHeight="1" x14ac:dyDescent="0.55000000000000004"/>
    <row r="18" ht="14.25" customHeight="1" x14ac:dyDescent="0.55000000000000004"/>
    <row r="19" ht="14.25" customHeight="1" x14ac:dyDescent="0.55000000000000004"/>
    <row r="20" ht="14.25" customHeight="1" x14ac:dyDescent="0.55000000000000004"/>
    <row r="21" ht="14.25" customHeight="1" x14ac:dyDescent="0.55000000000000004"/>
    <row r="22" ht="14.25" customHeight="1" x14ac:dyDescent="0.55000000000000004"/>
    <row r="23" ht="14.25" customHeight="1" x14ac:dyDescent="0.55000000000000004"/>
    <row r="24" ht="14.25" customHeight="1" x14ac:dyDescent="0.55000000000000004"/>
    <row r="25" ht="14.25" customHeight="1" x14ac:dyDescent="0.55000000000000004"/>
    <row r="26" ht="14.25" customHeight="1" x14ac:dyDescent="0.55000000000000004"/>
    <row r="27" ht="14.25" customHeight="1" x14ac:dyDescent="0.55000000000000004"/>
    <row r="28" ht="14.25" customHeight="1" x14ac:dyDescent="0.55000000000000004"/>
    <row r="29" ht="14.25" customHeight="1" x14ac:dyDescent="0.55000000000000004"/>
    <row r="30" ht="14.25" customHeight="1" x14ac:dyDescent="0.55000000000000004"/>
    <row r="31" ht="14.25" customHeight="1" x14ac:dyDescent="0.55000000000000004"/>
    <row r="32"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mergeCells count="2">
    <mergeCell ref="B3:G3"/>
    <mergeCell ref="B4:G4"/>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defaultColWidth="14.41796875" defaultRowHeight="15" customHeight="1" x14ac:dyDescent="0.55000000000000004"/>
  <cols>
    <col min="1" max="2" width="9.15625" customWidth="1"/>
    <col min="3" max="4" width="24" customWidth="1"/>
    <col min="5" max="5" width="28.41796875" customWidth="1"/>
    <col min="6" max="7" width="25.68359375" customWidth="1"/>
    <col min="8" max="26" width="9.15625" customWidth="1"/>
  </cols>
  <sheetData>
    <row r="1" spans="1:26" ht="14.25" customHeight="1" x14ac:dyDescent="0.55000000000000004"/>
    <row r="2" spans="1:26" ht="14.25" customHeight="1" x14ac:dyDescent="0.55000000000000004"/>
    <row r="3" spans="1:26" ht="14.25" customHeight="1" x14ac:dyDescent="0.7">
      <c r="B3" s="233" t="s">
        <v>76</v>
      </c>
      <c r="C3" s="146"/>
      <c r="D3" s="146"/>
      <c r="E3" s="146"/>
      <c r="F3" s="146"/>
      <c r="G3" s="146"/>
      <c r="H3" s="43"/>
      <c r="I3" s="43"/>
      <c r="J3" s="43"/>
      <c r="K3" s="43"/>
      <c r="L3" s="43"/>
      <c r="M3" s="43"/>
    </row>
    <row r="4" spans="1:26" ht="15.75" customHeight="1" x14ac:dyDescent="0.6">
      <c r="A4" s="6"/>
      <c r="B4" s="235" t="s">
        <v>94</v>
      </c>
      <c r="C4" s="126"/>
      <c r="D4" s="126"/>
      <c r="E4" s="126"/>
      <c r="F4" s="126"/>
      <c r="G4" s="127"/>
      <c r="H4" s="51"/>
      <c r="I4" s="51"/>
      <c r="J4" s="51"/>
      <c r="K4" s="51"/>
      <c r="L4" s="51"/>
      <c r="M4" s="51"/>
      <c r="N4" s="52"/>
      <c r="O4" s="52"/>
      <c r="P4" s="52"/>
      <c r="Q4" s="52"/>
      <c r="R4" s="52"/>
      <c r="S4" s="52"/>
      <c r="T4" s="6"/>
      <c r="U4" s="6"/>
      <c r="V4" s="6"/>
      <c r="W4" s="6"/>
      <c r="X4" s="6"/>
      <c r="Y4" s="6"/>
      <c r="Z4" s="6"/>
    </row>
    <row r="5" spans="1:26" ht="14.25" customHeight="1" x14ac:dyDescent="0.6">
      <c r="A5" s="46"/>
      <c r="B5" s="47" t="s">
        <v>78</v>
      </c>
      <c r="C5" s="47" t="s">
        <v>79</v>
      </c>
      <c r="D5" s="48" t="s">
        <v>80</v>
      </c>
      <c r="E5" s="48" t="s">
        <v>81</v>
      </c>
      <c r="F5" s="48" t="s">
        <v>82</v>
      </c>
      <c r="G5" s="48" t="s">
        <v>83</v>
      </c>
      <c r="H5" s="46"/>
      <c r="I5" s="46"/>
      <c r="J5" s="46"/>
      <c r="K5" s="46"/>
      <c r="L5" s="46"/>
      <c r="M5" s="46"/>
      <c r="N5" s="46"/>
      <c r="O5" s="46"/>
      <c r="P5" s="46"/>
      <c r="Q5" s="46"/>
      <c r="R5" s="46"/>
      <c r="S5" s="46"/>
      <c r="T5" s="46"/>
      <c r="U5" s="46"/>
      <c r="V5" s="46"/>
      <c r="W5" s="46"/>
      <c r="X5" s="46"/>
      <c r="Y5" s="46"/>
      <c r="Z5" s="46"/>
    </row>
    <row r="6" spans="1:26" ht="14.25" customHeight="1" x14ac:dyDescent="0.6">
      <c r="B6" s="5">
        <v>4.0999999999999996</v>
      </c>
      <c r="C6" s="53" t="s">
        <v>95</v>
      </c>
      <c r="D6" s="53" t="s">
        <v>96</v>
      </c>
      <c r="E6" s="49" t="s">
        <v>97</v>
      </c>
      <c r="F6" s="49" t="s">
        <v>98</v>
      </c>
      <c r="G6" s="49" t="s">
        <v>99</v>
      </c>
    </row>
    <row r="7" spans="1:26" ht="14.25" customHeight="1" x14ac:dyDescent="0.6">
      <c r="B7" s="5">
        <v>4.2</v>
      </c>
      <c r="C7" s="53" t="s">
        <v>100</v>
      </c>
      <c r="D7" s="49" t="s">
        <v>101</v>
      </c>
      <c r="E7" s="49" t="s">
        <v>102</v>
      </c>
      <c r="F7" s="49" t="s">
        <v>103</v>
      </c>
      <c r="G7" s="49" t="s">
        <v>104</v>
      </c>
    </row>
    <row r="8" spans="1:26" ht="14.25" customHeight="1" x14ac:dyDescent="0.6">
      <c r="B8" s="5">
        <v>4.3</v>
      </c>
      <c r="C8" s="53" t="s">
        <v>105</v>
      </c>
      <c r="D8" s="49" t="s">
        <v>106</v>
      </c>
      <c r="E8" s="49" t="s">
        <v>107</v>
      </c>
      <c r="F8" s="49" t="s">
        <v>108</v>
      </c>
      <c r="G8" s="49" t="s">
        <v>109</v>
      </c>
    </row>
    <row r="9" spans="1:26" ht="14.25" customHeight="1" x14ac:dyDescent="0.6">
      <c r="B9" s="5">
        <v>4.4000000000000004</v>
      </c>
      <c r="C9" s="53" t="s">
        <v>110</v>
      </c>
      <c r="D9" s="49" t="s">
        <v>111</v>
      </c>
      <c r="E9" s="49" t="s">
        <v>112</v>
      </c>
      <c r="F9" s="49" t="s">
        <v>113</v>
      </c>
      <c r="G9" s="49" t="s">
        <v>114</v>
      </c>
    </row>
    <row r="10" spans="1:26" ht="14.25" customHeight="1" x14ac:dyDescent="0.55000000000000004"/>
    <row r="11" spans="1:26" ht="14.25" customHeight="1" x14ac:dyDescent="0.55000000000000004"/>
    <row r="12" spans="1:26" ht="14.25" customHeight="1" x14ac:dyDescent="0.55000000000000004"/>
    <row r="13" spans="1:26" ht="14.25" customHeight="1" x14ac:dyDescent="0.55000000000000004"/>
    <row r="14" spans="1:26" ht="14.25" customHeight="1" x14ac:dyDescent="0.55000000000000004"/>
    <row r="15" spans="1:26" ht="14.25" customHeight="1" x14ac:dyDescent="0.55000000000000004"/>
    <row r="16" spans="1:26" ht="14.25" customHeight="1" x14ac:dyDescent="0.55000000000000004"/>
    <row r="17" ht="14.25" customHeight="1" x14ac:dyDescent="0.55000000000000004"/>
    <row r="18" ht="14.25" customHeight="1" x14ac:dyDescent="0.55000000000000004"/>
    <row r="19" ht="14.25" customHeight="1" x14ac:dyDescent="0.55000000000000004"/>
    <row r="20" ht="14.25" customHeight="1" x14ac:dyDescent="0.55000000000000004"/>
    <row r="21" ht="14.25" customHeight="1" x14ac:dyDescent="0.55000000000000004"/>
    <row r="22" ht="14.25" customHeight="1" x14ac:dyDescent="0.55000000000000004"/>
    <row r="23" ht="14.25" customHeight="1" x14ac:dyDescent="0.55000000000000004"/>
    <row r="24" ht="14.25" customHeight="1" x14ac:dyDescent="0.55000000000000004"/>
    <row r="25" ht="14.25" customHeight="1" x14ac:dyDescent="0.55000000000000004"/>
    <row r="26" ht="14.25" customHeight="1" x14ac:dyDescent="0.55000000000000004"/>
    <row r="27" ht="14.25" customHeight="1" x14ac:dyDescent="0.55000000000000004"/>
    <row r="28" ht="14.25" customHeight="1" x14ac:dyDescent="0.55000000000000004"/>
    <row r="29" ht="14.25" customHeight="1" x14ac:dyDescent="0.55000000000000004"/>
    <row r="30" ht="14.25" customHeight="1" x14ac:dyDescent="0.55000000000000004"/>
    <row r="31" ht="14.25" customHeight="1" x14ac:dyDescent="0.55000000000000004"/>
    <row r="32"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mergeCells count="2">
    <mergeCell ref="B3:G3"/>
    <mergeCell ref="B4:G4"/>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workbookViewId="0"/>
  </sheetViews>
  <sheetFormatPr defaultColWidth="14.41796875" defaultRowHeight="15" customHeight="1" x14ac:dyDescent="0.55000000000000004"/>
  <cols>
    <col min="1" max="2" width="8.83984375" customWidth="1"/>
    <col min="3" max="3" width="42.15625" customWidth="1"/>
    <col min="4" max="4" width="24" customWidth="1"/>
    <col min="5" max="5" width="29.15625" customWidth="1"/>
    <col min="6" max="6" width="28.578125" customWidth="1"/>
    <col min="7" max="7" width="25.83984375" customWidth="1"/>
    <col min="8" max="26" width="8.83984375" customWidth="1"/>
  </cols>
  <sheetData>
    <row r="1" spans="1:26" ht="14.25" customHeight="1" x14ac:dyDescent="0.55000000000000004"/>
    <row r="2" spans="1:26" ht="14.25" customHeight="1" x14ac:dyDescent="0.55000000000000004"/>
    <row r="3" spans="1:26" ht="14.25" customHeight="1" x14ac:dyDescent="0.7">
      <c r="B3" s="233" t="s">
        <v>76</v>
      </c>
      <c r="C3" s="146"/>
      <c r="D3" s="146"/>
      <c r="E3" s="146"/>
      <c r="F3" s="146"/>
      <c r="G3" s="146"/>
      <c r="H3" s="43"/>
      <c r="I3" s="43"/>
      <c r="J3" s="43"/>
      <c r="K3" s="43"/>
      <c r="L3" s="43"/>
      <c r="M3" s="43"/>
    </row>
    <row r="4" spans="1:26" ht="14.25" customHeight="1" x14ac:dyDescent="0.6">
      <c r="B4" s="235" t="s">
        <v>115</v>
      </c>
      <c r="C4" s="126"/>
      <c r="D4" s="126"/>
      <c r="E4" s="126"/>
      <c r="F4" s="126"/>
      <c r="G4" s="127"/>
      <c r="H4" s="44"/>
      <c r="I4" s="44"/>
      <c r="J4" s="44"/>
      <c r="K4" s="44"/>
      <c r="L4" s="44"/>
      <c r="M4" s="44"/>
      <c r="N4" s="45"/>
      <c r="O4" s="45"/>
      <c r="P4" s="45"/>
      <c r="Q4" s="45"/>
      <c r="R4" s="45"/>
      <c r="S4" s="45"/>
    </row>
    <row r="5" spans="1:26" ht="14.25" customHeight="1" x14ac:dyDescent="0.6">
      <c r="A5" s="46"/>
      <c r="B5" s="47" t="s">
        <v>78</v>
      </c>
      <c r="C5" s="47" t="s">
        <v>79</v>
      </c>
      <c r="D5" s="48" t="s">
        <v>80</v>
      </c>
      <c r="E5" s="48" t="s">
        <v>81</v>
      </c>
      <c r="F5" s="48" t="s">
        <v>82</v>
      </c>
      <c r="G5" s="48" t="s">
        <v>83</v>
      </c>
      <c r="H5" s="46"/>
      <c r="I5" s="46"/>
      <c r="J5" s="46"/>
      <c r="K5" s="46"/>
      <c r="L5" s="46"/>
      <c r="M5" s="46"/>
      <c r="N5" s="46"/>
      <c r="O5" s="46"/>
      <c r="P5" s="46"/>
      <c r="Q5" s="46"/>
      <c r="R5" s="46"/>
      <c r="S5" s="46"/>
      <c r="T5" s="46"/>
      <c r="U5" s="46"/>
      <c r="V5" s="46"/>
      <c r="W5" s="46"/>
      <c r="X5" s="46"/>
      <c r="Y5" s="46"/>
      <c r="Z5" s="46"/>
    </row>
    <row r="6" spans="1:26" ht="14.25" customHeight="1" x14ac:dyDescent="0.6">
      <c r="B6" s="5">
        <v>6.1</v>
      </c>
      <c r="C6" s="53" t="s">
        <v>116</v>
      </c>
      <c r="D6" s="53" t="s">
        <v>117</v>
      </c>
      <c r="E6" s="53" t="s">
        <v>118</v>
      </c>
      <c r="F6" s="53" t="s">
        <v>119</v>
      </c>
      <c r="G6" s="53" t="s">
        <v>120</v>
      </c>
    </row>
    <row r="7" spans="1:26" ht="14.25" customHeight="1" x14ac:dyDescent="0.6">
      <c r="B7" s="5">
        <v>6.2</v>
      </c>
      <c r="C7" s="53" t="s">
        <v>121</v>
      </c>
      <c r="D7" s="53" t="s">
        <v>122</v>
      </c>
      <c r="E7" s="53" t="s">
        <v>123</v>
      </c>
      <c r="F7" s="53" t="s">
        <v>124</v>
      </c>
      <c r="G7" s="53" t="s">
        <v>125</v>
      </c>
    </row>
    <row r="8" spans="1:26" ht="14.25" customHeight="1" x14ac:dyDescent="0.6">
      <c r="B8" s="5">
        <v>6.3</v>
      </c>
      <c r="C8" s="53" t="s">
        <v>126</v>
      </c>
      <c r="D8" s="53" t="s">
        <v>127</v>
      </c>
      <c r="E8" s="53" t="s">
        <v>128</v>
      </c>
      <c r="F8" s="53" t="s">
        <v>129</v>
      </c>
      <c r="G8" s="53" t="s">
        <v>130</v>
      </c>
    </row>
    <row r="9" spans="1:26" ht="14.25" customHeight="1" x14ac:dyDescent="0.6">
      <c r="B9" s="5">
        <v>6.4</v>
      </c>
      <c r="C9" s="53" t="s">
        <v>131</v>
      </c>
      <c r="D9" s="53" t="s">
        <v>132</v>
      </c>
      <c r="E9" s="53" t="s">
        <v>133</v>
      </c>
      <c r="F9" s="53" t="s">
        <v>134</v>
      </c>
      <c r="G9" s="53" t="s">
        <v>135</v>
      </c>
    </row>
    <row r="10" spans="1:26" ht="14.25" customHeight="1" x14ac:dyDescent="0.55000000000000004"/>
    <row r="11" spans="1:26" ht="14.25" customHeight="1" x14ac:dyDescent="0.55000000000000004"/>
    <row r="12" spans="1:26" ht="14.25" customHeight="1" x14ac:dyDescent="0.55000000000000004"/>
    <row r="13" spans="1:26" ht="14.25" customHeight="1" x14ac:dyDescent="0.55000000000000004"/>
    <row r="14" spans="1:26" ht="14.25" customHeight="1" x14ac:dyDescent="0.55000000000000004"/>
    <row r="15" spans="1:26" ht="14.25" customHeight="1" x14ac:dyDescent="0.55000000000000004"/>
    <row r="16" spans="1:26" ht="14.25" customHeight="1" x14ac:dyDescent="0.55000000000000004"/>
    <row r="17" ht="14.25" customHeight="1" x14ac:dyDescent="0.55000000000000004"/>
    <row r="18" ht="14.25" customHeight="1" x14ac:dyDescent="0.55000000000000004"/>
    <row r="19" ht="14.25" customHeight="1" x14ac:dyDescent="0.55000000000000004"/>
    <row r="20" ht="14.25" customHeight="1" x14ac:dyDescent="0.55000000000000004"/>
    <row r="21" ht="14.25" customHeight="1" x14ac:dyDescent="0.55000000000000004"/>
    <row r="22" ht="14.25" customHeight="1" x14ac:dyDescent="0.55000000000000004"/>
    <row r="23" ht="14.25" customHeight="1" x14ac:dyDescent="0.55000000000000004"/>
    <row r="24" ht="14.25" customHeight="1" x14ac:dyDescent="0.55000000000000004"/>
    <row r="25" ht="14.25" customHeight="1" x14ac:dyDescent="0.55000000000000004"/>
    <row r="26" ht="14.25" customHeight="1" x14ac:dyDescent="0.55000000000000004"/>
    <row r="27" ht="14.25" customHeight="1" x14ac:dyDescent="0.55000000000000004"/>
    <row r="28" ht="14.25" customHeight="1" x14ac:dyDescent="0.55000000000000004"/>
    <row r="29" ht="14.25" customHeight="1" x14ac:dyDescent="0.55000000000000004"/>
    <row r="30" ht="14.25" customHeight="1" x14ac:dyDescent="0.55000000000000004"/>
    <row r="31" ht="14.25" customHeight="1" x14ac:dyDescent="0.55000000000000004"/>
    <row r="32"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mergeCells count="2">
    <mergeCell ref="B3:G3"/>
    <mergeCell ref="B4:G4"/>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workbookViewId="0"/>
  </sheetViews>
  <sheetFormatPr defaultColWidth="14.41796875" defaultRowHeight="15" customHeight="1" x14ac:dyDescent="0.55000000000000004"/>
  <cols>
    <col min="1" max="2" width="9.15625" customWidth="1"/>
    <col min="3" max="4" width="24" customWidth="1"/>
    <col min="5" max="5" width="29.41796875" customWidth="1"/>
    <col min="6" max="7" width="25.68359375" customWidth="1"/>
    <col min="8" max="26" width="9.15625" customWidth="1"/>
  </cols>
  <sheetData>
    <row r="1" spans="1:26" ht="14.25" customHeight="1" x14ac:dyDescent="0.55000000000000004"/>
    <row r="2" spans="1:26" ht="14.25" customHeight="1" x14ac:dyDescent="0.55000000000000004"/>
    <row r="3" spans="1:26" ht="14.25" customHeight="1" x14ac:dyDescent="0.7">
      <c r="B3" s="236" t="s">
        <v>76</v>
      </c>
      <c r="C3" s="237"/>
      <c r="D3" s="237"/>
      <c r="E3" s="237"/>
      <c r="F3" s="237"/>
      <c r="G3" s="238"/>
      <c r="H3" s="43"/>
      <c r="I3" s="43"/>
      <c r="J3" s="43"/>
      <c r="K3" s="43"/>
      <c r="L3" s="43"/>
      <c r="M3" s="43"/>
    </row>
    <row r="4" spans="1:26" ht="14.25" customHeight="1" x14ac:dyDescent="0.6">
      <c r="B4" s="239" t="s">
        <v>136</v>
      </c>
      <c r="C4" s="126"/>
      <c r="D4" s="126"/>
      <c r="E4" s="126"/>
      <c r="F4" s="126"/>
      <c r="G4" s="127"/>
      <c r="H4" s="44"/>
      <c r="I4" s="44"/>
      <c r="J4" s="44"/>
      <c r="K4" s="44"/>
      <c r="L4" s="44"/>
      <c r="M4" s="44"/>
      <c r="N4" s="45"/>
      <c r="O4" s="45"/>
      <c r="P4" s="45"/>
      <c r="Q4" s="45"/>
      <c r="R4" s="45"/>
      <c r="S4" s="45"/>
    </row>
    <row r="5" spans="1:26" ht="14.25" customHeight="1" x14ac:dyDescent="0.6">
      <c r="A5" s="46"/>
      <c r="B5" s="54" t="s">
        <v>78</v>
      </c>
      <c r="C5" s="54" t="s">
        <v>79</v>
      </c>
      <c r="D5" s="55" t="s">
        <v>80</v>
      </c>
      <c r="E5" s="55" t="s">
        <v>81</v>
      </c>
      <c r="F5" s="55" t="s">
        <v>82</v>
      </c>
      <c r="G5" s="55" t="s">
        <v>83</v>
      </c>
      <c r="H5" s="46"/>
      <c r="I5" s="46"/>
      <c r="J5" s="46"/>
      <c r="K5" s="46"/>
      <c r="L5" s="46"/>
      <c r="M5" s="46"/>
      <c r="N5" s="46"/>
      <c r="O5" s="46"/>
      <c r="P5" s="46"/>
      <c r="Q5" s="46"/>
      <c r="R5" s="46"/>
      <c r="S5" s="46"/>
      <c r="T5" s="46"/>
      <c r="U5" s="46"/>
      <c r="V5" s="46"/>
      <c r="W5" s="46"/>
      <c r="X5" s="46"/>
      <c r="Y5" s="46"/>
      <c r="Z5" s="46"/>
    </row>
    <row r="6" spans="1:26" ht="14.25" customHeight="1" x14ac:dyDescent="0.6">
      <c r="B6" s="56">
        <v>7.1</v>
      </c>
      <c r="C6" s="57" t="s">
        <v>137</v>
      </c>
      <c r="D6" s="57" t="s">
        <v>138</v>
      </c>
      <c r="E6" s="57" t="s">
        <v>139</v>
      </c>
      <c r="F6" s="57" t="s">
        <v>140</v>
      </c>
      <c r="G6" s="57" t="s">
        <v>141</v>
      </c>
    </row>
    <row r="7" spans="1:26" ht="14.25" customHeight="1" x14ac:dyDescent="0.6">
      <c r="B7" s="56">
        <v>7.2</v>
      </c>
      <c r="C7" s="57" t="s">
        <v>142</v>
      </c>
      <c r="D7" s="57" t="s">
        <v>143</v>
      </c>
      <c r="E7" s="57" t="s">
        <v>144</v>
      </c>
      <c r="F7" s="57" t="s">
        <v>145</v>
      </c>
      <c r="G7" s="57" t="s">
        <v>146</v>
      </c>
    </row>
    <row r="8" spans="1:26" ht="14.25" customHeight="1" x14ac:dyDescent="0.6">
      <c r="B8" s="56">
        <v>7.3</v>
      </c>
      <c r="C8" s="57" t="s">
        <v>147</v>
      </c>
      <c r="D8" s="57" t="s">
        <v>148</v>
      </c>
      <c r="E8" s="57" t="s">
        <v>149</v>
      </c>
      <c r="F8" s="57" t="s">
        <v>150</v>
      </c>
      <c r="G8" s="57" t="s">
        <v>151</v>
      </c>
    </row>
    <row r="9" spans="1:26" ht="14.25" customHeight="1" x14ac:dyDescent="0.6">
      <c r="B9" s="56">
        <v>7.4</v>
      </c>
      <c r="C9" s="57" t="s">
        <v>152</v>
      </c>
      <c r="D9" s="57" t="s">
        <v>153</v>
      </c>
      <c r="E9" s="57" t="s">
        <v>154</v>
      </c>
      <c r="F9" s="57" t="s">
        <v>155</v>
      </c>
      <c r="G9" s="57" t="s">
        <v>156</v>
      </c>
    </row>
    <row r="10" spans="1:26" ht="14.25" customHeight="1" x14ac:dyDescent="0.55000000000000004"/>
    <row r="11" spans="1:26" ht="14.25" customHeight="1" x14ac:dyDescent="0.55000000000000004"/>
    <row r="12" spans="1:26" ht="14.25" customHeight="1" x14ac:dyDescent="0.55000000000000004"/>
    <row r="13" spans="1:26" ht="14.25" customHeight="1" x14ac:dyDescent="0.55000000000000004"/>
    <row r="14" spans="1:26" ht="14.25" customHeight="1" x14ac:dyDescent="0.55000000000000004"/>
    <row r="15" spans="1:26" ht="14.25" customHeight="1" x14ac:dyDescent="0.55000000000000004"/>
    <row r="16" spans="1:26" ht="14.25" customHeight="1" x14ac:dyDescent="0.55000000000000004"/>
    <row r="17" ht="14.25" customHeight="1" x14ac:dyDescent="0.55000000000000004"/>
    <row r="18" ht="14.25" customHeight="1" x14ac:dyDescent="0.55000000000000004"/>
    <row r="19" ht="14.25" customHeight="1" x14ac:dyDescent="0.55000000000000004"/>
    <row r="20" ht="14.25" customHeight="1" x14ac:dyDescent="0.55000000000000004"/>
    <row r="21" ht="14.25" customHeight="1" x14ac:dyDescent="0.55000000000000004"/>
    <row r="22" ht="14.25" customHeight="1" x14ac:dyDescent="0.55000000000000004"/>
    <row r="23" ht="14.25" customHeight="1" x14ac:dyDescent="0.55000000000000004"/>
    <row r="24" ht="14.25" customHeight="1" x14ac:dyDescent="0.55000000000000004"/>
    <row r="25" ht="14.25" customHeight="1" x14ac:dyDescent="0.55000000000000004"/>
    <row r="26" ht="14.25" customHeight="1" x14ac:dyDescent="0.55000000000000004"/>
    <row r="27" ht="14.25" customHeight="1" x14ac:dyDescent="0.55000000000000004"/>
    <row r="28" ht="14.25" customHeight="1" x14ac:dyDescent="0.55000000000000004"/>
    <row r="29" ht="14.25" customHeight="1" x14ac:dyDescent="0.55000000000000004"/>
    <row r="30" ht="14.25" customHeight="1" x14ac:dyDescent="0.55000000000000004"/>
    <row r="31" ht="14.25" customHeight="1" x14ac:dyDescent="0.55000000000000004"/>
    <row r="32"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mergeCells count="2">
    <mergeCell ref="B3:G3"/>
    <mergeCell ref="B4:G4"/>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G1000"/>
  <sheetViews>
    <sheetView workbookViewId="0"/>
  </sheetViews>
  <sheetFormatPr defaultColWidth="14.41796875" defaultRowHeight="15" customHeight="1" x14ac:dyDescent="0.55000000000000004"/>
  <cols>
    <col min="1" max="2" width="9.15625" customWidth="1"/>
    <col min="3" max="3" width="31.578125" customWidth="1"/>
    <col min="4" max="7" width="26.41796875" customWidth="1"/>
    <col min="8" max="26" width="9.15625" customWidth="1"/>
  </cols>
  <sheetData>
    <row r="1" spans="2:7" ht="14.25" customHeight="1" x14ac:dyDescent="0.55000000000000004"/>
    <row r="2" spans="2:7" ht="14.25" customHeight="1" x14ac:dyDescent="0.55000000000000004"/>
    <row r="3" spans="2:7" ht="14.25" customHeight="1" x14ac:dyDescent="0.55000000000000004"/>
    <row r="4" spans="2:7" ht="14.25" customHeight="1" x14ac:dyDescent="0.55000000000000004">
      <c r="B4" s="241" t="s">
        <v>157</v>
      </c>
      <c r="C4" s="126"/>
      <c r="D4" s="126"/>
      <c r="E4" s="126"/>
      <c r="F4" s="126"/>
      <c r="G4" s="127"/>
    </row>
    <row r="5" spans="2:7" ht="14.25" customHeight="1" x14ac:dyDescent="0.55000000000000004">
      <c r="B5" s="241" t="s">
        <v>158</v>
      </c>
      <c r="C5" s="126"/>
      <c r="D5" s="126"/>
      <c r="E5" s="126"/>
      <c r="F5" s="126"/>
      <c r="G5" s="127"/>
    </row>
    <row r="6" spans="2:7" ht="14.25" customHeight="1" x14ac:dyDescent="0.55000000000000004">
      <c r="B6" s="242"/>
      <c r="C6" s="242" t="s">
        <v>159</v>
      </c>
      <c r="D6" s="243" t="s">
        <v>160</v>
      </c>
      <c r="E6" s="126"/>
      <c r="F6" s="126"/>
      <c r="G6" s="127"/>
    </row>
    <row r="7" spans="2:7" ht="14.25" customHeight="1" x14ac:dyDescent="0.55000000000000004">
      <c r="B7" s="167"/>
      <c r="C7" s="167"/>
      <c r="D7" s="58" t="s">
        <v>161</v>
      </c>
      <c r="E7" s="58" t="s">
        <v>162</v>
      </c>
      <c r="F7" s="58" t="s">
        <v>163</v>
      </c>
      <c r="G7" s="58" t="s">
        <v>164</v>
      </c>
    </row>
    <row r="8" spans="2:7" ht="14.25" customHeight="1" x14ac:dyDescent="0.55000000000000004">
      <c r="B8" s="168"/>
      <c r="C8" s="168"/>
      <c r="D8" s="58">
        <v>3</v>
      </c>
      <c r="E8" s="58">
        <v>2</v>
      </c>
      <c r="F8" s="58">
        <v>1</v>
      </c>
      <c r="G8" s="58">
        <v>0</v>
      </c>
    </row>
    <row r="9" spans="2:7" ht="14.25" customHeight="1" x14ac:dyDescent="0.55000000000000004">
      <c r="B9" s="59">
        <v>8.1</v>
      </c>
      <c r="C9" s="59" t="s">
        <v>165</v>
      </c>
      <c r="D9" s="60" t="s">
        <v>166</v>
      </c>
      <c r="E9" s="60" t="s">
        <v>167</v>
      </c>
      <c r="F9" s="60" t="s">
        <v>168</v>
      </c>
      <c r="G9" s="60" t="s">
        <v>169</v>
      </c>
    </row>
    <row r="10" spans="2:7" ht="14.25" customHeight="1" x14ac:dyDescent="0.55000000000000004">
      <c r="B10" s="59">
        <v>8.1999999999999993</v>
      </c>
      <c r="C10" s="59" t="s">
        <v>170</v>
      </c>
      <c r="D10" s="60" t="s">
        <v>171</v>
      </c>
      <c r="E10" s="60" t="s">
        <v>172</v>
      </c>
      <c r="F10" s="60" t="s">
        <v>173</v>
      </c>
      <c r="G10" s="60" t="s">
        <v>174</v>
      </c>
    </row>
    <row r="11" spans="2:7" ht="14.25" customHeight="1" x14ac:dyDescent="0.55000000000000004">
      <c r="B11" s="244">
        <v>8.3000000000000007</v>
      </c>
      <c r="C11" s="244" t="s">
        <v>175</v>
      </c>
      <c r="D11" s="240" t="s">
        <v>176</v>
      </c>
      <c r="E11" s="240" t="s">
        <v>177</v>
      </c>
      <c r="F11" s="240" t="s">
        <v>178</v>
      </c>
      <c r="G11" s="240" t="s">
        <v>179</v>
      </c>
    </row>
    <row r="12" spans="2:7" ht="14.25" hidden="1" customHeight="1" x14ac:dyDescent="0.55000000000000004">
      <c r="B12" s="168"/>
      <c r="C12" s="168"/>
      <c r="D12" s="168"/>
      <c r="E12" s="168"/>
      <c r="F12" s="168"/>
      <c r="G12" s="168"/>
    </row>
    <row r="13" spans="2:7" ht="14.25" customHeight="1" x14ac:dyDescent="0.55000000000000004">
      <c r="B13" s="59">
        <v>8.4</v>
      </c>
      <c r="C13" s="59" t="s">
        <v>180</v>
      </c>
      <c r="D13" s="60" t="s">
        <v>181</v>
      </c>
      <c r="E13" s="60" t="s">
        <v>182</v>
      </c>
      <c r="F13" s="60" t="s">
        <v>183</v>
      </c>
      <c r="G13" s="60" t="s">
        <v>184</v>
      </c>
    </row>
    <row r="14" spans="2:7" ht="14.25" customHeight="1" x14ac:dyDescent="0.55000000000000004"/>
    <row r="15" spans="2:7" ht="14.25" customHeight="1" x14ac:dyDescent="0.55000000000000004"/>
    <row r="16" spans="2:7" ht="14.25" customHeight="1" x14ac:dyDescent="0.55000000000000004"/>
    <row r="17" ht="14.25" customHeight="1" x14ac:dyDescent="0.55000000000000004"/>
    <row r="18" ht="14.25" customHeight="1" x14ac:dyDescent="0.55000000000000004"/>
    <row r="19" ht="14.25" customHeight="1" x14ac:dyDescent="0.55000000000000004"/>
    <row r="20" ht="14.25" customHeight="1" x14ac:dyDescent="0.55000000000000004"/>
    <row r="21" ht="14.25" customHeight="1" x14ac:dyDescent="0.55000000000000004"/>
    <row r="22" ht="14.25" customHeight="1" x14ac:dyDescent="0.55000000000000004"/>
    <row r="23" ht="14.25" customHeight="1" x14ac:dyDescent="0.55000000000000004"/>
    <row r="24" ht="14.25" customHeight="1" x14ac:dyDescent="0.55000000000000004"/>
    <row r="25" ht="14.25" customHeight="1" x14ac:dyDescent="0.55000000000000004"/>
    <row r="26" ht="14.25" customHeight="1" x14ac:dyDescent="0.55000000000000004"/>
    <row r="27" ht="14.25" customHeight="1" x14ac:dyDescent="0.55000000000000004"/>
    <row r="28" ht="14.25" customHeight="1" x14ac:dyDescent="0.55000000000000004"/>
    <row r="29" ht="14.25" customHeight="1" x14ac:dyDescent="0.55000000000000004"/>
    <row r="30" ht="14.25" customHeight="1" x14ac:dyDescent="0.55000000000000004"/>
    <row r="31" ht="14.25" customHeight="1" x14ac:dyDescent="0.55000000000000004"/>
    <row r="32"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mergeCells count="11">
    <mergeCell ref="D11:D12"/>
    <mergeCell ref="E11:E12"/>
    <mergeCell ref="F11:F12"/>
    <mergeCell ref="G11:G12"/>
    <mergeCell ref="B4:G4"/>
    <mergeCell ref="B5:G5"/>
    <mergeCell ref="B6:B8"/>
    <mergeCell ref="C6:C8"/>
    <mergeCell ref="D6:G6"/>
    <mergeCell ref="B11:B12"/>
    <mergeCell ref="C11:C12"/>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C1:M1000"/>
  <sheetViews>
    <sheetView workbookViewId="0"/>
  </sheetViews>
  <sheetFormatPr defaultColWidth="14.41796875" defaultRowHeight="15" customHeight="1" x14ac:dyDescent="0.55000000000000004"/>
  <cols>
    <col min="1" max="5" width="8.68359375" customWidth="1"/>
    <col min="6" max="6" width="30.41796875" customWidth="1"/>
    <col min="7" max="7" width="8.68359375" customWidth="1"/>
    <col min="8" max="8" width="9.41796875" customWidth="1"/>
    <col min="9" max="9" width="7.83984375" customWidth="1"/>
    <col min="10" max="11" width="8.68359375" customWidth="1"/>
    <col min="12" max="12" width="12.15625" customWidth="1"/>
    <col min="13" max="13" width="122.41796875" customWidth="1"/>
    <col min="14" max="26" width="8.68359375" customWidth="1"/>
  </cols>
  <sheetData>
    <row r="1" spans="3:13" ht="14.25" customHeight="1" x14ac:dyDescent="0.55000000000000004">
      <c r="L1" s="28" t="s">
        <v>185</v>
      </c>
      <c r="M1" s="1" t="s">
        <v>186</v>
      </c>
    </row>
    <row r="2" spans="3:13" ht="14.25" customHeight="1" x14ac:dyDescent="0.55000000000000004">
      <c r="L2" s="28" t="s">
        <v>4</v>
      </c>
      <c r="M2" s="1" t="s">
        <v>187</v>
      </c>
    </row>
    <row r="3" spans="3:13" ht="14.25" customHeight="1" x14ac:dyDescent="0.55000000000000004">
      <c r="L3" s="28" t="s">
        <v>188</v>
      </c>
      <c r="M3" s="1" t="s">
        <v>189</v>
      </c>
    </row>
    <row r="4" spans="3:13" ht="14.25" customHeight="1" x14ac:dyDescent="0.55000000000000004">
      <c r="L4" s="28" t="s">
        <v>6</v>
      </c>
      <c r="M4" s="1" t="s">
        <v>190</v>
      </c>
    </row>
    <row r="5" spans="3:13" ht="14.25" customHeight="1" x14ac:dyDescent="0.55000000000000004">
      <c r="L5" s="28" t="s">
        <v>191</v>
      </c>
      <c r="M5" s="1" t="s">
        <v>192</v>
      </c>
    </row>
    <row r="6" spans="3:13" ht="14.25" customHeight="1" x14ac:dyDescent="0.55000000000000004">
      <c r="L6" s="28" t="s">
        <v>193</v>
      </c>
      <c r="M6" s="1" t="s">
        <v>194</v>
      </c>
    </row>
    <row r="7" spans="3:13" ht="14.25" customHeight="1" x14ac:dyDescent="0.55000000000000004">
      <c r="L7" s="28" t="s">
        <v>195</v>
      </c>
      <c r="M7" s="1" t="s">
        <v>196</v>
      </c>
    </row>
    <row r="8" spans="3:13" ht="14.25" customHeight="1" x14ac:dyDescent="0.55000000000000004">
      <c r="D8" s="245" t="s">
        <v>197</v>
      </c>
      <c r="E8" s="126"/>
      <c r="F8" s="127"/>
      <c r="L8" s="28"/>
    </row>
    <row r="9" spans="3:13" ht="14.25" customHeight="1" x14ac:dyDescent="0.55000000000000004">
      <c r="C9" s="1">
        <v>0</v>
      </c>
      <c r="D9" s="61">
        <v>0</v>
      </c>
      <c r="E9" s="62" t="s">
        <v>63</v>
      </c>
      <c r="F9" s="63" t="s">
        <v>198</v>
      </c>
    </row>
    <row r="10" spans="3:13" ht="14.25" customHeight="1" x14ac:dyDescent="0.55000000000000004">
      <c r="C10" s="1">
        <v>1</v>
      </c>
      <c r="D10" s="61">
        <v>1</v>
      </c>
      <c r="E10" s="62" t="s">
        <v>64</v>
      </c>
      <c r="F10" s="63" t="s">
        <v>163</v>
      </c>
    </row>
    <row r="11" spans="3:13" ht="14.25" customHeight="1" x14ac:dyDescent="0.55000000000000004">
      <c r="C11" s="1">
        <v>2</v>
      </c>
      <c r="D11" s="61">
        <v>2</v>
      </c>
      <c r="E11" s="62" t="s">
        <v>65</v>
      </c>
      <c r="F11" s="63" t="s">
        <v>199</v>
      </c>
    </row>
    <row r="12" spans="3:13" ht="14.25" customHeight="1" x14ac:dyDescent="0.55000000000000004">
      <c r="C12" s="1">
        <v>3</v>
      </c>
      <c r="D12" s="61">
        <v>3</v>
      </c>
      <c r="E12" s="62" t="s">
        <v>66</v>
      </c>
      <c r="F12" s="63" t="s">
        <v>200</v>
      </c>
      <c r="L12" s="1" t="s">
        <v>201</v>
      </c>
    </row>
    <row r="13" spans="3:13" ht="14.25" customHeight="1" x14ac:dyDescent="0.55000000000000004">
      <c r="L13" s="1" t="s">
        <v>202</v>
      </c>
    </row>
    <row r="14" spans="3:13" ht="14.25" customHeight="1" x14ac:dyDescent="0.55000000000000004">
      <c r="L14" s="1" t="s">
        <v>203</v>
      </c>
    </row>
    <row r="15" spans="3:13" ht="14.25" customHeight="1" x14ac:dyDescent="0.55000000000000004">
      <c r="H15" s="1">
        <v>0</v>
      </c>
      <c r="I15" s="1">
        <v>0</v>
      </c>
      <c r="L15" s="1" t="s">
        <v>10</v>
      </c>
    </row>
    <row r="16" spans="3:13" ht="14.25" customHeight="1" x14ac:dyDescent="0.55000000000000004">
      <c r="H16" s="1">
        <v>1</v>
      </c>
      <c r="I16" s="1">
        <v>1</v>
      </c>
      <c r="L16" s="1" t="s">
        <v>204</v>
      </c>
    </row>
    <row r="17" spans="4:9" ht="14.25" customHeight="1" x14ac:dyDescent="0.55000000000000004">
      <c r="I17" s="1">
        <v>2</v>
      </c>
    </row>
    <row r="18" spans="4:9" ht="14.25" customHeight="1" x14ac:dyDescent="0.55000000000000004">
      <c r="D18" s="246" t="s">
        <v>205</v>
      </c>
      <c r="E18" s="126"/>
      <c r="F18" s="127"/>
      <c r="I18" s="1">
        <v>3</v>
      </c>
    </row>
    <row r="19" spans="4:9" ht="14.25" customHeight="1" x14ac:dyDescent="0.55000000000000004">
      <c r="D19" s="64">
        <v>59</v>
      </c>
      <c r="E19" s="65" t="s">
        <v>63</v>
      </c>
      <c r="F19" s="66" t="s">
        <v>206</v>
      </c>
    </row>
    <row r="20" spans="4:9" ht="14.25" customHeight="1" x14ac:dyDescent="0.55000000000000004">
      <c r="D20" s="64">
        <v>69</v>
      </c>
      <c r="E20" s="65" t="s">
        <v>64</v>
      </c>
      <c r="F20" s="66" t="s">
        <v>207</v>
      </c>
    </row>
    <row r="21" spans="4:9" ht="14.25" customHeight="1" x14ac:dyDescent="0.55000000000000004">
      <c r="D21" s="64">
        <v>84</v>
      </c>
      <c r="E21" s="65" t="s">
        <v>65</v>
      </c>
      <c r="F21" s="66" t="s">
        <v>208</v>
      </c>
    </row>
    <row r="22" spans="4:9" ht="14.25" customHeight="1" x14ac:dyDescent="0.55000000000000004">
      <c r="D22" s="64">
        <v>100</v>
      </c>
      <c r="E22" s="65" t="s">
        <v>66</v>
      </c>
      <c r="F22" s="66" t="s">
        <v>209</v>
      </c>
    </row>
    <row r="23" spans="4:9" ht="14.25" customHeight="1" x14ac:dyDescent="0.55000000000000004"/>
    <row r="24" spans="4:9" ht="14.25" customHeight="1" x14ac:dyDescent="0.55000000000000004"/>
    <row r="25" spans="4:9" ht="14.25" customHeight="1" x14ac:dyDescent="0.55000000000000004"/>
    <row r="26" spans="4:9" ht="14.25" customHeight="1" x14ac:dyDescent="0.55000000000000004"/>
    <row r="27" spans="4:9" ht="14.25" customHeight="1" x14ac:dyDescent="0.55000000000000004"/>
    <row r="28" spans="4:9" ht="14.25" customHeight="1" x14ac:dyDescent="0.55000000000000004"/>
    <row r="29" spans="4:9" ht="14.25" customHeight="1" x14ac:dyDescent="0.55000000000000004"/>
    <row r="30" spans="4:9" ht="14.25" customHeight="1" x14ac:dyDescent="0.55000000000000004"/>
    <row r="31" spans="4:9" ht="14.25" customHeight="1" x14ac:dyDescent="0.55000000000000004"/>
    <row r="32" spans="4:9"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mergeCells count="2">
    <mergeCell ref="D8:F8"/>
    <mergeCell ref="D18:F18"/>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Main</vt:lpstr>
      <vt:lpstr>SO2-PI21 Rubric</vt:lpstr>
      <vt:lpstr>SO2-PI22,PI23&amp;PI24 Rubric</vt:lpstr>
      <vt:lpstr>SO4 Rubric</vt:lpstr>
      <vt:lpstr>SO2 Assessment Results</vt:lpstr>
      <vt:lpstr>SO4 Assessment Results</vt:lpstr>
      <vt:lpstr>Student work Description</vt:lpstr>
      <vt:lpstr>SO4</vt:lpstr>
      <vt:lpstr>SO5</vt:lpstr>
      <vt:lpstr>SO6</vt:lpstr>
      <vt:lpstr>SO7</vt:lpstr>
      <vt:lpstr>SO8</vt:lpstr>
      <vt:lpstr>Lookup Tables</vt:lpstr>
      <vt:lpstr>'SO2 Assessment Results'!Print_Area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Nermeen El Hakim</dc:creator>
  <cp:lastModifiedBy>Maged</cp:lastModifiedBy>
  <cp:lastPrinted>2026-09-25T07:02:36Z</cp:lastPrinted>
  <dcterms:created xsi:type="dcterms:W3CDTF">2012-02-27T07:54:13Z</dcterms:created>
  <dcterms:modified xsi:type="dcterms:W3CDTF">2026-09-28T18:59:03Z</dcterms:modified>
</cp:coreProperties>
</file>